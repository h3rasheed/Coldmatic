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hreadedComments/threadedComment4.xml" ContentType="application/vnd.ms-excel.threadedcomments+xml"/>
  <Override PartName="/xl/comments9.xml" ContentType="application/vnd.openxmlformats-officedocument.spreadsheetml.comments+xml"/>
  <Override PartName="/xl/threadedComments/threadedComment5.xml" ContentType="application/vnd.ms-excel.threadedcomments+xml"/>
  <Override PartName="/xl/comments10.xml" ContentType="application/vnd.openxmlformats-officedocument.spreadsheetml.comments+xml"/>
  <Override PartName="/xl/threadedComments/threadedComment6.xml" ContentType="application/vnd.ms-excel.threadedcomments+xml"/>
  <Override PartName="/xl/comments11.xml" ContentType="application/vnd.openxmlformats-officedocument.spreadsheetml.comments+xml"/>
  <Override PartName="/xl/threadedComments/threadedComment7.xml" ContentType="application/vnd.ms-excel.threadedcomments+xml"/>
  <Override PartName="/xl/comments12.xml" ContentType="application/vnd.openxmlformats-officedocument.spreadsheetml.comments+xml"/>
  <Override PartName="/xl/threadedComments/threadedComment8.xml" ContentType="application/vnd.ms-excel.threadedcomments+xml"/>
  <Override PartName="/xl/comments13.xml" ContentType="application/vnd.openxmlformats-officedocument.spreadsheetml.comments+xml"/>
  <Override PartName="/xl/threadedComments/threadedComment9.xml" ContentType="application/vnd.ms-excel.threadedcomments+xml"/>
  <Override PartName="/xl/drawings/drawing4.xml" ContentType="application/vnd.openxmlformats-officedocument.drawing+xml"/>
  <Override PartName="/xl/comments14.xml" ContentType="application/vnd.openxmlformats-officedocument.spreadsheetml.comments+xml"/>
  <Override PartName="/xl/threadedComments/threadedComment10.xml" ContentType="application/vnd.ms-excel.threadedcomments+xml"/>
  <Override PartName="/xl/comments15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coldmatic.sharepoint.com/sites/Sales/Shared Documents/General/DCP - in works/Quote sheet under works/"/>
    </mc:Choice>
  </mc:AlternateContent>
  <xr:revisionPtr revIDLastSave="67" documentId="8_{198B53F7-E494-4CD4-9312-750836FC5360}" xr6:coauthVersionLast="47" xr6:coauthVersionMax="47" xr10:uidLastSave="{EDB2624E-CABD-49A0-9435-AFA07B050740}"/>
  <bookViews>
    <workbookView xWindow="-110" yWindow="-110" windowWidth="25820" windowHeight="15500" tabRatio="936" firstSheet="3" activeTab="9" xr2:uid="{00000000-000D-0000-FFFF-FFFF00000000}"/>
  </bookViews>
  <sheets>
    <sheet name="Parts Quote" sheetId="14" state="hidden" r:id="rId1"/>
    <sheet name="Warranty Repairs " sheetId="13" state="hidden" r:id="rId2"/>
    <sheet name="Quote (Est.) Template" sheetId="45" state="hidden" r:id="rId3"/>
    <sheet name="Quote Summary Sheet" sheetId="10" r:id="rId4"/>
    <sheet name="Sales Order Sheet - NEW QUOTES" sheetId="15" state="hidden" r:id="rId5"/>
    <sheet name="Guidance Document" sheetId="29" state="hidden" r:id="rId6"/>
    <sheet name="Doors - Step 1" sheetId="32" r:id="rId7"/>
    <sheet name="Door - Step 2" sheetId="22" r:id="rId8"/>
    <sheet name="Cost Sheet" sheetId="19" r:id="rId9"/>
    <sheet name="Calculation Sheet - BOM " sheetId="25" r:id="rId10"/>
    <sheet name="Accessories Install - Labour" sheetId="26" r:id="rId11"/>
    <sheet name="Door and Panel Labor Exp. " sheetId="23" r:id="rId12"/>
    <sheet name="Quotation - Door 2" sheetId="36" r:id="rId13"/>
    <sheet name="Quotation - Door 3" sheetId="37" state="hidden" r:id="rId14"/>
    <sheet name="Quotation - Door 4" sheetId="40" state="hidden" r:id="rId15"/>
    <sheet name="Quotation - Door 5" sheetId="43" state="hidden" r:id="rId16"/>
    <sheet name="Quotation - Door 6" sheetId="44" state="hidden" r:id="rId17"/>
    <sheet name="Quotation - Summary Sheet ROOMS" sheetId="35" r:id="rId18"/>
    <sheet name="Quotation Structure - Room" sheetId="21" r:id="rId19"/>
    <sheet name="Cal. Sheet Door 2" sheetId="30" r:id="rId20"/>
    <sheet name="Cal. Sheet Door 3" sheetId="31" r:id="rId21"/>
    <sheet name="Cal. Sheet Door 4" sheetId="38" state="hidden" r:id="rId22"/>
    <sheet name="Cal. Sheet Door 5" sheetId="41" state="hidden" r:id="rId23"/>
    <sheet name="Cal. Sheet Door 6" sheetId="42" state="hidden" r:id="rId24"/>
    <sheet name="Door Table" sheetId="24" r:id="rId25"/>
    <sheet name="Product Mark-up" sheetId="33" r:id="rId26"/>
    <sheet name="Controller" sheetId="11" r:id="rId27"/>
  </sheets>
  <functionGroups builtInGroupCount="19"/>
  <externalReferences>
    <externalReference r:id="rId28"/>
  </externalReferences>
  <definedNames>
    <definedName name="_xlnm._FilterDatabase" localSheetId="26" hidden="1">Controller!$D$12:$I$357</definedName>
    <definedName name="_xlnm._FilterDatabase" localSheetId="8" hidden="1">'Cost Sheet'!$A$2:$W$231</definedName>
    <definedName name="_xleta.AND" hidden="1" xlm="1">#NAME?</definedName>
    <definedName name="_xleta.CEILING" hidden="1" xlm="1">#NAME?</definedName>
    <definedName name="_xleta.IF" hidden="1" xlm="1">#NAME?</definedName>
    <definedName name="_xleta.INDEX" hidden="1" xlm="1">#NAME?</definedName>
    <definedName name="_xleta.SHEET" hidden="1" xlm="1">#NAME?</definedName>
    <definedName name="_xleta.TYPE" hidden="1" xlm="1">#NAME?</definedName>
    <definedName name="Category">Controller!$H$12:$H$78</definedName>
    <definedName name="Dinch">'Calculation Sheet - BOM '!$D$8</definedName>
    <definedName name="Door_Type">Controller!$E$12:$E$78</definedName>
    <definedName name="Hinch">'Calculation Sheet - BOM '!$D$7</definedName>
    <definedName name="in2ft">'Calculation Sheet - BOM '!$L$2</definedName>
    <definedName name="in2ft2">'Calculation Sheet - BOM '!$L$4</definedName>
    <definedName name="Material_Option_Type" localSheetId="21">Doors[[#All],[Material/Option Type]]</definedName>
    <definedName name="Material_Option_Type" localSheetId="22">Doors[[#All],[Material/Option Type]]</definedName>
    <definedName name="Material_Option_Type" localSheetId="23">Doors[[#All],[Material/Option Type]]</definedName>
    <definedName name="Material_Option_Type" localSheetId="16">Doors[[#All],[Material/Option Type]]</definedName>
    <definedName name="Material_Option_Type">Doors[[#All],[Material/Option Type]]</definedName>
    <definedName name="POEntry">#REF!</definedName>
    <definedName name="_xlnm.Print_Area" localSheetId="7">'Door - Step 2'!$1:$27,'Door - Step 2'!$A$1:$F$113</definedName>
    <definedName name="_xlnm.Print_Area" localSheetId="2">'Quote (Est.) Template'!$A$2:$F$7</definedName>
    <definedName name="Winch">'Calculation Sheet - BOM '!$D$6</definedName>
  </definedNames>
  <calcPr calcId="191028"/>
  <customWorkbookViews>
    <customWorkbookView name="Purchasing" guid="{9BD4D849-EE9B-4035-A9E2-678B76164962}" maximized="1" xWindow="-11" yWindow="-11" windowWidth="2582" windowHeight="1550" tabRatio="50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6" i="25" l="1"/>
  <c r="S15" i="25" a="1"/>
  <c r="S15" i="25" s="1"/>
  <c r="D21" i="23" l="1"/>
  <c r="E21" i="23"/>
  <c r="G21" i="23"/>
  <c r="H21" i="23"/>
  <c r="I21" i="23" s="1"/>
  <c r="J21" i="23"/>
  <c r="K21" i="23" s="1"/>
  <c r="N21" i="23"/>
  <c r="O21" i="23" s="1"/>
  <c r="P21" i="23"/>
  <c r="Q21" i="23"/>
  <c r="E26" i="35"/>
  <c r="H113" i="22"/>
  <c r="I31" i="35"/>
  <c r="E27" i="35"/>
  <c r="E24" i="35"/>
  <c r="L21" i="23" l="1"/>
  <c r="M21" i="23" s="1"/>
  <c r="E4" i="10"/>
  <c r="K3" i="11" s="1"/>
  <c r="H37" i="10"/>
  <c r="C37" i="10"/>
  <c r="H36" i="10"/>
  <c r="H39" i="10" s="1"/>
  <c r="C36" i="10"/>
  <c r="E4" i="45"/>
  <c r="E3" i="45"/>
  <c r="E2" i="45"/>
  <c r="B7" i="45"/>
  <c r="B6" i="45"/>
  <c r="B5" i="45"/>
  <c r="B4" i="45"/>
  <c r="B3" i="45"/>
  <c r="B2" i="45"/>
  <c r="F22" i="45"/>
  <c r="D218" i="25" l="1"/>
  <c r="D217" i="25"/>
  <c r="D216" i="25"/>
  <c r="C219" i="25"/>
  <c r="C218" i="25"/>
  <c r="C217" i="25"/>
  <c r="C216" i="25"/>
  <c r="C233" i="25"/>
  <c r="C234" i="25"/>
  <c r="C235" i="25"/>
  <c r="E84" i="21"/>
  <c r="E85" i="21"/>
  <c r="E86" i="21"/>
  <c r="E87" i="21"/>
  <c r="E83" i="21"/>
  <c r="E79" i="21"/>
  <c r="E80" i="21"/>
  <c r="E81" i="21"/>
  <c r="E82" i="21"/>
  <c r="D84" i="21"/>
  <c r="D85" i="21"/>
  <c r="D86" i="21"/>
  <c r="D235" i="25" s="1"/>
  <c r="D87" i="21"/>
  <c r="D236" i="25" s="1"/>
  <c r="D83" i="21"/>
  <c r="D79" i="21"/>
  <c r="D80" i="21"/>
  <c r="D81" i="21"/>
  <c r="D82" i="21"/>
  <c r="D78" i="21"/>
  <c r="C84" i="21"/>
  <c r="C85" i="21"/>
  <c r="C86" i="21"/>
  <c r="C87" i="21"/>
  <c r="C236" i="25" s="1"/>
  <c r="C83" i="21"/>
  <c r="C79" i="21"/>
  <c r="C80" i="21"/>
  <c r="C81" i="21"/>
  <c r="C82" i="21"/>
  <c r="C78" i="21"/>
  <c r="C227" i="25" s="1"/>
  <c r="F58" i="35"/>
  <c r="F57" i="35"/>
  <c r="F56" i="35"/>
  <c r="K58" i="35"/>
  <c r="K57" i="35"/>
  <c r="K56" i="35"/>
  <c r="K30" i="35"/>
  <c r="K29" i="35"/>
  <c r="F30" i="35"/>
  <c r="F31" i="35"/>
  <c r="F29" i="35"/>
  <c r="E54" i="21"/>
  <c r="E53" i="21"/>
  <c r="E52" i="21"/>
  <c r="E51" i="21"/>
  <c r="E50" i="21"/>
  <c r="D54" i="21"/>
  <c r="D220" i="25" s="1"/>
  <c r="D53" i="21"/>
  <c r="D219" i="25" s="1"/>
  <c r="D52" i="21"/>
  <c r="D51" i="21"/>
  <c r="D50" i="21"/>
  <c r="C53" i="21"/>
  <c r="C52" i="21"/>
  <c r="C51" i="21"/>
  <c r="C50" i="21"/>
  <c r="E48" i="21"/>
  <c r="E49" i="21"/>
  <c r="D49" i="21"/>
  <c r="D215" i="25" s="1"/>
  <c r="C49" i="21"/>
  <c r="C215" i="25" s="1"/>
  <c r="C48" i="21"/>
  <c r="C47" i="21"/>
  <c r="C46" i="21"/>
  <c r="C45" i="21"/>
  <c r="N226" i="19"/>
  <c r="P226" i="19" s="1"/>
  <c r="N228" i="19"/>
  <c r="P228" i="19" s="1"/>
  <c r="N229" i="19"/>
  <c r="P229" i="19" s="1"/>
  <c r="N230" i="19"/>
  <c r="P230" i="19" s="1"/>
  <c r="N231" i="19"/>
  <c r="P231" i="19" s="1"/>
  <c r="K4" i="19"/>
  <c r="M4" i="19"/>
  <c r="O4" i="19"/>
  <c r="R4" i="19"/>
  <c r="U4" i="19"/>
  <c r="J235" i="25" l="1"/>
  <c r="I215" i="25"/>
  <c r="L215" i="25"/>
  <c r="F27" i="35" s="1"/>
  <c r="W4" i="19"/>
  <c r="Y4" i="19"/>
  <c r="AB4" i="19" s="1"/>
  <c r="E215" i="25"/>
  <c r="J215" i="25"/>
  <c r="S4" i="19"/>
  <c r="V4" i="19"/>
  <c r="P4" i="19"/>
  <c r="B13" i="35"/>
  <c r="D75" i="21"/>
  <c r="D74" i="21"/>
  <c r="D73" i="21"/>
  <c r="D72" i="21"/>
  <c r="C72" i="21"/>
  <c r="D41" i="21"/>
  <c r="D40" i="21"/>
  <c r="D39" i="21"/>
  <c r="M227" i="19"/>
  <c r="N227" i="19" s="1"/>
  <c r="M224" i="19"/>
  <c r="N224" i="19" s="1"/>
  <c r="P224" i="19" s="1"/>
  <c r="M225" i="19"/>
  <c r="N225" i="19" s="1"/>
  <c r="K8" i="19"/>
  <c r="W8" i="19" s="1"/>
  <c r="N8" i="19" s="1"/>
  <c r="M7" i="19"/>
  <c r="K7" i="19"/>
  <c r="P225" i="19" l="1"/>
  <c r="F103" i="22"/>
  <c r="F103" i="36"/>
  <c r="P227" i="19"/>
  <c r="W7" i="19"/>
  <c r="N7" i="19" s="1"/>
  <c r="Q52" i="30"/>
  <c r="Q51" i="30"/>
  <c r="Z6" i="30"/>
  <c r="Z5" i="30"/>
  <c r="Z4" i="30"/>
  <c r="Z3" i="30"/>
  <c r="F105" i="36"/>
  <c r="F104" i="36"/>
  <c r="F102" i="36"/>
  <c r="F97" i="36"/>
  <c r="F96" i="36"/>
  <c r="F95" i="36"/>
  <c r="F91" i="36"/>
  <c r="F89" i="36"/>
  <c r="F88" i="36"/>
  <c r="F86" i="36"/>
  <c r="F85" i="36"/>
  <c r="F84" i="36"/>
  <c r="D6" i="23"/>
  <c r="E6" i="23"/>
  <c r="G6" i="23"/>
  <c r="H6" i="23"/>
  <c r="I6" i="23" s="1"/>
  <c r="J6" i="23"/>
  <c r="L6" i="23" s="1"/>
  <c r="M6" i="23" s="1"/>
  <c r="N6" i="23"/>
  <c r="O6" i="23" s="1"/>
  <c r="D7" i="23"/>
  <c r="E7" i="23"/>
  <c r="G7" i="23"/>
  <c r="H7" i="23"/>
  <c r="I7" i="23" s="1"/>
  <c r="J7" i="23"/>
  <c r="K7" i="23" s="1"/>
  <c r="N7" i="23"/>
  <c r="O7" i="23" s="1"/>
  <c r="F80" i="36"/>
  <c r="F79" i="36"/>
  <c r="F78" i="36"/>
  <c r="F77" i="36"/>
  <c r="F76" i="36"/>
  <c r="K21" i="36"/>
  <c r="D66" i="36"/>
  <c r="D64" i="36"/>
  <c r="D63" i="36"/>
  <c r="P7" i="23" l="1"/>
  <c r="Q7" i="23" s="1"/>
  <c r="P6" i="23"/>
  <c r="Q6" i="23" s="1"/>
  <c r="K6" i="23"/>
  <c r="L7" i="23"/>
  <c r="M7" i="23" s="1"/>
  <c r="C82" i="30"/>
  <c r="C81" i="30"/>
  <c r="D80" i="30"/>
  <c r="E80" i="30" s="1"/>
  <c r="D79" i="30"/>
  <c r="E79" i="30" s="1"/>
  <c r="J79" i="30" s="1"/>
  <c r="D78" i="30"/>
  <c r="E78" i="30" s="1"/>
  <c r="J78" i="30" s="1"/>
  <c r="D77" i="30"/>
  <c r="D76" i="30"/>
  <c r="D75" i="30"/>
  <c r="D74" i="30"/>
  <c r="D73" i="30"/>
  <c r="H73" i="30" s="1"/>
  <c r="K73" i="30" s="1"/>
  <c r="D72" i="30"/>
  <c r="H72" i="30" s="1"/>
  <c r="K72" i="30" s="1"/>
  <c r="D71" i="30"/>
  <c r="C71" i="30"/>
  <c r="D70" i="30"/>
  <c r="C70" i="30"/>
  <c r="D69" i="30"/>
  <c r="C69" i="30"/>
  <c r="C68" i="30"/>
  <c r="D67" i="30"/>
  <c r="C67" i="30"/>
  <c r="D66" i="30"/>
  <c r="C66" i="30"/>
  <c r="D65" i="30"/>
  <c r="H65" i="30" s="1"/>
  <c r="K65" i="30" s="1"/>
  <c r="C65" i="30"/>
  <c r="D64" i="30"/>
  <c r="H64" i="30" s="1"/>
  <c r="K64" i="30" s="1"/>
  <c r="C64" i="30"/>
  <c r="C63" i="30"/>
  <c r="D62" i="30"/>
  <c r="H62" i="30" s="1"/>
  <c r="K62" i="30" s="1"/>
  <c r="C62" i="30"/>
  <c r="D61" i="30"/>
  <c r="E61" i="30" s="1"/>
  <c r="C61" i="30"/>
  <c r="D60" i="30"/>
  <c r="E60" i="30" s="1"/>
  <c r="J60" i="30" s="1"/>
  <c r="C60" i="30"/>
  <c r="C59" i="30"/>
  <c r="D58" i="30"/>
  <c r="C58" i="30"/>
  <c r="A58" i="30"/>
  <c r="D53" i="30"/>
  <c r="C53" i="30"/>
  <c r="D52" i="30"/>
  <c r="C52" i="30"/>
  <c r="D51" i="30"/>
  <c r="C51" i="30"/>
  <c r="D50" i="30"/>
  <c r="E50" i="30" s="1"/>
  <c r="C50" i="30"/>
  <c r="C49" i="30"/>
  <c r="C48" i="30"/>
  <c r="C47" i="30"/>
  <c r="C46" i="30"/>
  <c r="C45" i="30"/>
  <c r="C44" i="30"/>
  <c r="C43" i="30"/>
  <c r="C42" i="30"/>
  <c r="C37" i="30"/>
  <c r="B37" i="30"/>
  <c r="C36" i="30"/>
  <c r="B36" i="30"/>
  <c r="C35" i="30"/>
  <c r="B35" i="30"/>
  <c r="C34" i="30"/>
  <c r="B34" i="30"/>
  <c r="D33" i="30"/>
  <c r="C33" i="30"/>
  <c r="B33" i="30"/>
  <c r="D32" i="30"/>
  <c r="C32" i="30"/>
  <c r="B32" i="30"/>
  <c r="D30" i="30"/>
  <c r="D29" i="30"/>
  <c r="D28" i="30"/>
  <c r="D27" i="30"/>
  <c r="D26" i="30"/>
  <c r="E26" i="30" s="1"/>
  <c r="J26" i="30" s="1"/>
  <c r="D25" i="30"/>
  <c r="E25" i="30" s="1"/>
  <c r="D24" i="30"/>
  <c r="C24" i="30"/>
  <c r="D23" i="30"/>
  <c r="I23" i="30" s="1"/>
  <c r="C23" i="30"/>
  <c r="D22" i="30"/>
  <c r="H22" i="30" s="1"/>
  <c r="C22" i="30"/>
  <c r="D21" i="30"/>
  <c r="E21" i="30" s="1"/>
  <c r="C21" i="30"/>
  <c r="D20" i="30"/>
  <c r="C20" i="30"/>
  <c r="D19" i="30"/>
  <c r="H18" i="30" s="1"/>
  <c r="C19" i="30"/>
  <c r="D18" i="30"/>
  <c r="C18" i="30"/>
  <c r="C17" i="30"/>
  <c r="C16" i="30"/>
  <c r="C15" i="30"/>
  <c r="C14" i="30"/>
  <c r="C13" i="30"/>
  <c r="D12" i="30"/>
  <c r="C12" i="30"/>
  <c r="B12" i="30"/>
  <c r="A12" i="30"/>
  <c r="C10" i="30"/>
  <c r="C8" i="30"/>
  <c r="C7" i="30"/>
  <c r="C6" i="30"/>
  <c r="C5" i="30"/>
  <c r="C4" i="30"/>
  <c r="C3" i="30"/>
  <c r="C2" i="30"/>
  <c r="A2" i="30"/>
  <c r="E82" i="30"/>
  <c r="J82" i="30" s="1"/>
  <c r="K80" i="30"/>
  <c r="I70" i="30"/>
  <c r="H70" i="30"/>
  <c r="K70" i="30" s="1"/>
  <c r="H61" i="30"/>
  <c r="K61" i="30" s="1"/>
  <c r="S52" i="30"/>
  <c r="W52" i="30" s="1"/>
  <c r="S51" i="30"/>
  <c r="W51" i="30" s="1"/>
  <c r="K50" i="30"/>
  <c r="F39" i="30"/>
  <c r="G39" i="30" s="1"/>
  <c r="E39" i="30"/>
  <c r="K33" i="30"/>
  <c r="J33" i="30"/>
  <c r="K32" i="30"/>
  <c r="J32" i="30"/>
  <c r="K24" i="30"/>
  <c r="K23" i="30"/>
  <c r="J22" i="30"/>
  <c r="K21" i="30"/>
  <c r="K20" i="30"/>
  <c r="J20" i="30"/>
  <c r="K19" i="30"/>
  <c r="J19" i="30"/>
  <c r="K17" i="30"/>
  <c r="J17" i="30"/>
  <c r="K16" i="30"/>
  <c r="K15" i="30"/>
  <c r="K14" i="30"/>
  <c r="O11" i="30"/>
  <c r="N6" i="30"/>
  <c r="P5" i="30"/>
  <c r="Q8" i="30" s="1"/>
  <c r="R8" i="30" s="1"/>
  <c r="M4" i="30"/>
  <c r="N4" i="30" s="1"/>
  <c r="L4" i="30"/>
  <c r="N2" i="30"/>
  <c r="E52" i="30" l="1"/>
  <c r="H52" i="30"/>
  <c r="K52" i="30" s="1"/>
  <c r="E27" i="30"/>
  <c r="J27" i="30" s="1"/>
  <c r="H27" i="30"/>
  <c r="K27" i="30" s="1"/>
  <c r="I53" i="30"/>
  <c r="H53" i="30"/>
  <c r="E67" i="30"/>
  <c r="J67" i="30" s="1"/>
  <c r="H67" i="30"/>
  <c r="K67" i="30" s="1"/>
  <c r="H28" i="30"/>
  <c r="K28" i="30" s="1"/>
  <c r="E51" i="30"/>
  <c r="H51" i="30"/>
  <c r="K51" i="30" s="1"/>
  <c r="E29" i="30"/>
  <c r="J29" i="30" s="1"/>
  <c r="H29" i="30"/>
  <c r="K29" i="30" s="1"/>
  <c r="H30" i="30"/>
  <c r="K30" i="30" s="1"/>
  <c r="H71" i="30"/>
  <c r="K71" i="30" s="1"/>
  <c r="J52" i="30"/>
  <c r="Q11" i="30"/>
  <c r="R11" i="30" s="1"/>
  <c r="T11" i="30" s="1"/>
  <c r="H69" i="30"/>
  <c r="K69" i="30" s="1"/>
  <c r="H78" i="30"/>
  <c r="K78" i="30" s="1"/>
  <c r="H79" i="30"/>
  <c r="K79" i="30" s="1"/>
  <c r="E62" i="30"/>
  <c r="J62" i="30" s="1"/>
  <c r="E71" i="30"/>
  <c r="E30" i="30"/>
  <c r="J30" i="30" s="1"/>
  <c r="E53" i="30"/>
  <c r="J53" i="30"/>
  <c r="E23" i="30"/>
  <c r="J23" i="30" s="1"/>
  <c r="K53" i="30"/>
  <c r="J50" i="30"/>
  <c r="I50" i="30"/>
  <c r="J51" i="30"/>
  <c r="E65" i="30"/>
  <c r="J65" i="30" s="1"/>
  <c r="E72" i="30"/>
  <c r="J72" i="30" s="1"/>
  <c r="E73" i="30"/>
  <c r="H60" i="30"/>
  <c r="K60" i="30" s="1"/>
  <c r="J80" i="30"/>
  <c r="I80" i="30"/>
  <c r="E28" i="30"/>
  <c r="J28" i="30" s="1"/>
  <c r="E64" i="30"/>
  <c r="K22" i="30"/>
  <c r="I22" i="30"/>
  <c r="J21" i="30"/>
  <c r="I21" i="30"/>
  <c r="T8" i="30"/>
  <c r="J61" i="30"/>
  <c r="I61" i="30"/>
  <c r="I24" i="30"/>
  <c r="E24" i="30"/>
  <c r="J24" i="30" s="1"/>
  <c r="J25" i="30"/>
  <c r="Q9" i="30"/>
  <c r="R9" i="30" s="1"/>
  <c r="T9" i="30" s="1"/>
  <c r="Q10" i="30"/>
  <c r="R10" i="30" s="1"/>
  <c r="T10" i="30" s="1"/>
  <c r="I51" i="30"/>
  <c r="Q7" i="30"/>
  <c r="R7" i="30" s="1"/>
  <c r="T7" i="30" s="1"/>
  <c r="I52" i="30"/>
  <c r="F264" i="25"/>
  <c r="G264" i="25"/>
  <c r="L96" i="32"/>
  <c r="L79" i="32"/>
  <c r="L62" i="32"/>
  <c r="L45" i="32"/>
  <c r="L29" i="32"/>
  <c r="C110" i="36"/>
  <c r="D110" i="36"/>
  <c r="E110" i="36"/>
  <c r="U25" i="19"/>
  <c r="R25" i="19"/>
  <c r="O25" i="19"/>
  <c r="N25" i="19"/>
  <c r="S51" i="25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I79" i="30" l="1"/>
  <c r="I78" i="30"/>
  <c r="I67" i="30"/>
  <c r="I62" i="30"/>
  <c r="I30" i="30"/>
  <c r="S25" i="19"/>
  <c r="P25" i="19"/>
  <c r="V25" i="19"/>
  <c r="I28" i="30"/>
  <c r="I65" i="30"/>
  <c r="I72" i="30"/>
  <c r="I29" i="30"/>
  <c r="I27" i="30"/>
  <c r="I60" i="30"/>
  <c r="I64" i="30"/>
  <c r="J64" i="30"/>
  <c r="J71" i="30"/>
  <c r="I71" i="30"/>
  <c r="J73" i="30"/>
  <c r="I73" i="30"/>
  <c r="F113" i="44"/>
  <c r="E110" i="44"/>
  <c r="D110" i="44"/>
  <c r="C110" i="44"/>
  <c r="E108" i="44"/>
  <c r="D108" i="44"/>
  <c r="C108" i="44"/>
  <c r="F106" i="44"/>
  <c r="F105" i="44"/>
  <c r="F95" i="44"/>
  <c r="F93" i="44"/>
  <c r="D92" i="44"/>
  <c r="E92" i="44" s="1"/>
  <c r="F91" i="44"/>
  <c r="F90" i="44"/>
  <c r="F89" i="44"/>
  <c r="F88" i="44"/>
  <c r="D87" i="44"/>
  <c r="F87" i="44" s="1"/>
  <c r="F86" i="44"/>
  <c r="F85" i="44"/>
  <c r="F84" i="44"/>
  <c r="D83" i="44"/>
  <c r="F83" i="44" s="1"/>
  <c r="F80" i="44"/>
  <c r="F79" i="44"/>
  <c r="F78" i="44"/>
  <c r="F77" i="44"/>
  <c r="E76" i="44"/>
  <c r="D76" i="44"/>
  <c r="E75" i="44"/>
  <c r="D75" i="44"/>
  <c r="E74" i="44"/>
  <c r="D74" i="44"/>
  <c r="D73" i="44"/>
  <c r="D66" i="44"/>
  <c r="F66" i="44" s="1"/>
  <c r="D64" i="44"/>
  <c r="F64" i="44" s="1"/>
  <c r="D63" i="44"/>
  <c r="F63" i="44" s="1"/>
  <c r="F59" i="44"/>
  <c r="B59" i="44"/>
  <c r="F58" i="44"/>
  <c r="B58" i="44"/>
  <c r="F57" i="44"/>
  <c r="B57" i="44"/>
  <c r="F56" i="44"/>
  <c r="B56" i="44"/>
  <c r="F55" i="44"/>
  <c r="B55" i="44"/>
  <c r="F54" i="44"/>
  <c r="F53" i="44"/>
  <c r="F52" i="44"/>
  <c r="F50" i="44"/>
  <c r="F47" i="44"/>
  <c r="D46" i="44"/>
  <c r="D45" i="44"/>
  <c r="D44" i="44"/>
  <c r="D43" i="44"/>
  <c r="D42" i="44"/>
  <c r="D38" i="44"/>
  <c r="D37" i="44"/>
  <c r="D36" i="44"/>
  <c r="D35" i="44"/>
  <c r="D34" i="44"/>
  <c r="D33" i="44"/>
  <c r="D32" i="44"/>
  <c r="D31" i="44"/>
  <c r="D30" i="44"/>
  <c r="E34" i="44" s="1"/>
  <c r="K21" i="44"/>
  <c r="F113" i="43"/>
  <c r="E110" i="43"/>
  <c r="D110" i="43"/>
  <c r="C110" i="43"/>
  <c r="E108" i="43"/>
  <c r="D108" i="43"/>
  <c r="C108" i="43"/>
  <c r="F106" i="43"/>
  <c r="F105" i="43"/>
  <c r="F95" i="43"/>
  <c r="F93" i="43"/>
  <c r="D92" i="43"/>
  <c r="E92" i="43" s="1"/>
  <c r="F91" i="43"/>
  <c r="F90" i="43"/>
  <c r="F89" i="43"/>
  <c r="F88" i="43"/>
  <c r="D87" i="43"/>
  <c r="F87" i="43" s="1"/>
  <c r="F86" i="43"/>
  <c r="F85" i="43"/>
  <c r="F84" i="43"/>
  <c r="D83" i="43"/>
  <c r="F83" i="43" s="1"/>
  <c r="F80" i="43"/>
  <c r="F79" i="43"/>
  <c r="F78" i="43"/>
  <c r="F77" i="43"/>
  <c r="E76" i="43"/>
  <c r="D76" i="43"/>
  <c r="E75" i="43"/>
  <c r="D75" i="43"/>
  <c r="E74" i="43"/>
  <c r="D74" i="43"/>
  <c r="D73" i="43"/>
  <c r="D66" i="43"/>
  <c r="F66" i="43" s="1"/>
  <c r="D64" i="43"/>
  <c r="F64" i="43" s="1"/>
  <c r="D63" i="43"/>
  <c r="F63" i="43" s="1"/>
  <c r="F59" i="43"/>
  <c r="B59" i="43"/>
  <c r="F58" i="43"/>
  <c r="B58" i="43"/>
  <c r="F57" i="43"/>
  <c r="B57" i="43"/>
  <c r="F56" i="43"/>
  <c r="B56" i="43"/>
  <c r="F55" i="43"/>
  <c r="B55" i="43"/>
  <c r="F54" i="43"/>
  <c r="F53" i="43"/>
  <c r="F52" i="43"/>
  <c r="F50" i="43"/>
  <c r="F47" i="43"/>
  <c r="D46" i="43"/>
  <c r="D45" i="43"/>
  <c r="D44" i="43"/>
  <c r="D43" i="43"/>
  <c r="D42" i="43"/>
  <c r="D38" i="43"/>
  <c r="D37" i="43"/>
  <c r="D36" i="43"/>
  <c r="D35" i="43"/>
  <c r="D34" i="43"/>
  <c r="D33" i="43"/>
  <c r="D32" i="43"/>
  <c r="D31" i="43"/>
  <c r="D30" i="43"/>
  <c r="K21" i="43"/>
  <c r="E72" i="42"/>
  <c r="D72" i="42"/>
  <c r="L72" i="42" s="1"/>
  <c r="C72" i="42"/>
  <c r="D71" i="42"/>
  <c r="L71" i="42" s="1"/>
  <c r="C71" i="42"/>
  <c r="D70" i="42"/>
  <c r="K70" i="42" s="1"/>
  <c r="C70" i="42"/>
  <c r="D69" i="42"/>
  <c r="K69" i="42" s="1"/>
  <c r="C69" i="42"/>
  <c r="C68" i="42"/>
  <c r="D67" i="42"/>
  <c r="K67" i="42" s="1"/>
  <c r="C67" i="42"/>
  <c r="D66" i="42"/>
  <c r="K66" i="42" s="1"/>
  <c r="C66" i="42"/>
  <c r="D65" i="42"/>
  <c r="J65" i="42" s="1"/>
  <c r="C65" i="42"/>
  <c r="D64" i="42"/>
  <c r="J64" i="42" s="1"/>
  <c r="C64" i="42"/>
  <c r="C63" i="42"/>
  <c r="D62" i="42"/>
  <c r="E62" i="42" s="1"/>
  <c r="C62" i="42"/>
  <c r="D61" i="42"/>
  <c r="J61" i="42" s="1"/>
  <c r="C61" i="42"/>
  <c r="D60" i="42"/>
  <c r="E60" i="42" s="1"/>
  <c r="C60" i="42"/>
  <c r="C59" i="42"/>
  <c r="D58" i="42"/>
  <c r="C58" i="42"/>
  <c r="A58" i="42"/>
  <c r="D53" i="42"/>
  <c r="I53" i="42" s="1"/>
  <c r="C53" i="42"/>
  <c r="D52" i="42"/>
  <c r="E52" i="42" s="1"/>
  <c r="C52" i="42"/>
  <c r="D51" i="42"/>
  <c r="I51" i="42" s="1"/>
  <c r="C51" i="42"/>
  <c r="D50" i="42"/>
  <c r="E50" i="42" s="1"/>
  <c r="C50" i="42"/>
  <c r="C49" i="42"/>
  <c r="C48" i="42"/>
  <c r="C47" i="42"/>
  <c r="C46" i="42"/>
  <c r="C45" i="42"/>
  <c r="C44" i="42"/>
  <c r="C43" i="42"/>
  <c r="C42" i="42"/>
  <c r="C37" i="42"/>
  <c r="B37" i="42"/>
  <c r="D36" i="42"/>
  <c r="K36" i="42" s="1"/>
  <c r="C36" i="42"/>
  <c r="B36" i="42"/>
  <c r="C35" i="42"/>
  <c r="B35" i="42"/>
  <c r="C34" i="42"/>
  <c r="B34" i="42"/>
  <c r="D33" i="42"/>
  <c r="C33" i="42"/>
  <c r="B33" i="42"/>
  <c r="D32" i="42"/>
  <c r="C32" i="42"/>
  <c r="B32" i="42"/>
  <c r="D30" i="42"/>
  <c r="K30" i="42" s="1"/>
  <c r="C30" i="42"/>
  <c r="AE30" i="42"/>
  <c r="AD30" i="42"/>
  <c r="AC30" i="42"/>
  <c r="D29" i="42"/>
  <c r="K29" i="42" s="1"/>
  <c r="C29" i="42"/>
  <c r="D28" i="42"/>
  <c r="K28" i="42" s="1"/>
  <c r="C28" i="42"/>
  <c r="D27" i="42"/>
  <c r="K27" i="42" s="1"/>
  <c r="C27" i="42"/>
  <c r="D26" i="42"/>
  <c r="J26" i="42" s="1"/>
  <c r="C26" i="42"/>
  <c r="D25" i="42"/>
  <c r="AE25" i="42"/>
  <c r="AF25" i="42" s="1"/>
  <c r="AG25" i="42" s="1"/>
  <c r="AD25" i="42"/>
  <c r="AC25" i="42"/>
  <c r="D24" i="42"/>
  <c r="L24" i="42" s="1"/>
  <c r="C24" i="42"/>
  <c r="D23" i="42"/>
  <c r="L23" i="42" s="1"/>
  <c r="C23" i="42"/>
  <c r="D22" i="42"/>
  <c r="C22" i="42"/>
  <c r="D21" i="42"/>
  <c r="K21" i="42" s="1"/>
  <c r="C21" i="42"/>
  <c r="D20" i="42"/>
  <c r="C20" i="42"/>
  <c r="D19" i="42"/>
  <c r="K18" i="42" s="1"/>
  <c r="C19" i="42"/>
  <c r="D18" i="42"/>
  <c r="C18" i="42"/>
  <c r="C17" i="42"/>
  <c r="C16" i="42"/>
  <c r="C15" i="42"/>
  <c r="C14" i="42"/>
  <c r="C13" i="42"/>
  <c r="D12" i="42"/>
  <c r="C12" i="42"/>
  <c r="B12" i="42"/>
  <c r="A12" i="42"/>
  <c r="O11" i="42"/>
  <c r="C10" i="42"/>
  <c r="C8" i="42"/>
  <c r="C7" i="42"/>
  <c r="Z6" i="42"/>
  <c r="N6" i="42"/>
  <c r="C6" i="42"/>
  <c r="Z5" i="42"/>
  <c r="P5" i="42"/>
  <c r="Q7" i="42" s="1"/>
  <c r="R7" i="42" s="1"/>
  <c r="T7" i="42" s="1"/>
  <c r="C5" i="42"/>
  <c r="Z4" i="42"/>
  <c r="L4" i="42"/>
  <c r="C4" i="42"/>
  <c r="Z3" i="42"/>
  <c r="C3" i="42"/>
  <c r="N2" i="42"/>
  <c r="C2" i="42"/>
  <c r="A2" i="42"/>
  <c r="E72" i="41"/>
  <c r="D72" i="41"/>
  <c r="L72" i="41" s="1"/>
  <c r="C72" i="41"/>
  <c r="D71" i="41"/>
  <c r="L71" i="41" s="1"/>
  <c r="C71" i="41"/>
  <c r="D70" i="41"/>
  <c r="K70" i="41" s="1"/>
  <c r="C70" i="41"/>
  <c r="D69" i="41"/>
  <c r="H69" i="41" s="1"/>
  <c r="C69" i="41"/>
  <c r="C68" i="41"/>
  <c r="D67" i="41"/>
  <c r="J67" i="41" s="1"/>
  <c r="C67" i="41"/>
  <c r="D66" i="41"/>
  <c r="K66" i="41" s="1"/>
  <c r="C66" i="41"/>
  <c r="D65" i="41"/>
  <c r="E65" i="41" s="1"/>
  <c r="C65" i="41"/>
  <c r="D64" i="41"/>
  <c r="E64" i="41" s="1"/>
  <c r="C64" i="41"/>
  <c r="C63" i="41"/>
  <c r="D62" i="41"/>
  <c r="E62" i="41" s="1"/>
  <c r="C62" i="41"/>
  <c r="D61" i="41"/>
  <c r="J61" i="41" s="1"/>
  <c r="C61" i="41"/>
  <c r="D60" i="41"/>
  <c r="J60" i="41" s="1"/>
  <c r="C60" i="41"/>
  <c r="C59" i="41"/>
  <c r="D58" i="41"/>
  <c r="C58" i="41"/>
  <c r="A58" i="41"/>
  <c r="D53" i="41"/>
  <c r="I53" i="41" s="1"/>
  <c r="C53" i="41"/>
  <c r="D52" i="41"/>
  <c r="H52" i="41" s="1"/>
  <c r="C52" i="41"/>
  <c r="D51" i="41"/>
  <c r="I51" i="41" s="1"/>
  <c r="C51" i="41"/>
  <c r="D50" i="41"/>
  <c r="H50" i="41" s="1"/>
  <c r="C50" i="41"/>
  <c r="C49" i="41"/>
  <c r="C48" i="41"/>
  <c r="C47" i="41"/>
  <c r="C46" i="41"/>
  <c r="C45" i="41"/>
  <c r="C44" i="41"/>
  <c r="C43" i="41"/>
  <c r="C42" i="41"/>
  <c r="C37" i="41"/>
  <c r="B37" i="41"/>
  <c r="D36" i="41"/>
  <c r="K36" i="41" s="1"/>
  <c r="C36" i="41"/>
  <c r="B36" i="41"/>
  <c r="C35" i="41"/>
  <c r="B35" i="41"/>
  <c r="C34" i="41"/>
  <c r="B34" i="41"/>
  <c r="D33" i="41"/>
  <c r="C33" i="41"/>
  <c r="B33" i="41"/>
  <c r="D32" i="41"/>
  <c r="C32" i="41"/>
  <c r="B32" i="41"/>
  <c r="D30" i="41"/>
  <c r="J30" i="41" s="1"/>
  <c r="C30" i="41"/>
  <c r="AE30" i="41"/>
  <c r="AD30" i="41"/>
  <c r="AF30" i="41" s="1"/>
  <c r="AG30" i="41" s="1"/>
  <c r="AC30" i="41"/>
  <c r="D29" i="41"/>
  <c r="J29" i="41" s="1"/>
  <c r="C29" i="41"/>
  <c r="D28" i="41"/>
  <c r="K28" i="41" s="1"/>
  <c r="C28" i="41"/>
  <c r="D27" i="41"/>
  <c r="K27" i="41" s="1"/>
  <c r="C27" i="41"/>
  <c r="D26" i="41"/>
  <c r="E26" i="41" s="1"/>
  <c r="C26" i="41"/>
  <c r="D25" i="41"/>
  <c r="AE25" i="41"/>
  <c r="AF25" i="41" s="1"/>
  <c r="AG25" i="41" s="1"/>
  <c r="AD25" i="41"/>
  <c r="AC25" i="41"/>
  <c r="D24" i="41"/>
  <c r="L24" i="41" s="1"/>
  <c r="C24" i="41"/>
  <c r="D23" i="41"/>
  <c r="L23" i="41" s="1"/>
  <c r="C23" i="41"/>
  <c r="D22" i="41"/>
  <c r="K22" i="41" s="1"/>
  <c r="C22" i="41"/>
  <c r="D21" i="41"/>
  <c r="K21" i="41" s="1"/>
  <c r="C21" i="41"/>
  <c r="D20" i="41"/>
  <c r="C20" i="41"/>
  <c r="D19" i="41"/>
  <c r="K18" i="41" s="1"/>
  <c r="C19" i="41"/>
  <c r="D18" i="41"/>
  <c r="C18" i="41"/>
  <c r="C17" i="41"/>
  <c r="C16" i="41"/>
  <c r="C15" i="41"/>
  <c r="C14" i="41"/>
  <c r="C13" i="41"/>
  <c r="D12" i="41"/>
  <c r="C12" i="41"/>
  <c r="B12" i="41"/>
  <c r="A12" i="41"/>
  <c r="O11" i="41"/>
  <c r="C10" i="41"/>
  <c r="C8" i="41"/>
  <c r="C7" i="41"/>
  <c r="Z6" i="41"/>
  <c r="N6" i="41"/>
  <c r="C6" i="41"/>
  <c r="Z5" i="41"/>
  <c r="P5" i="41"/>
  <c r="Q7" i="41" s="1"/>
  <c r="R7" i="41" s="1"/>
  <c r="T7" i="41" s="1"/>
  <c r="C5" i="41"/>
  <c r="Z4" i="41"/>
  <c r="L4" i="41"/>
  <c r="C4" i="41"/>
  <c r="Z3" i="41"/>
  <c r="C3" i="41"/>
  <c r="N2" i="41"/>
  <c r="C2" i="41"/>
  <c r="A2" i="41"/>
  <c r="D72" i="38"/>
  <c r="K72" i="38" s="1"/>
  <c r="D71" i="38"/>
  <c r="D70" i="38"/>
  <c r="E70" i="38" s="1"/>
  <c r="D69" i="38"/>
  <c r="E69" i="38" s="1"/>
  <c r="D67" i="38"/>
  <c r="E67" i="38" s="1"/>
  <c r="D66" i="38"/>
  <c r="E66" i="38" s="1"/>
  <c r="D65" i="38"/>
  <c r="J65" i="38" s="1"/>
  <c r="D64" i="38"/>
  <c r="E64" i="38" s="1"/>
  <c r="D62" i="38"/>
  <c r="E62" i="38" s="1"/>
  <c r="D61" i="38"/>
  <c r="J61" i="38" s="1"/>
  <c r="D60" i="38"/>
  <c r="J60" i="38" s="1"/>
  <c r="D53" i="38"/>
  <c r="J53" i="38" s="1"/>
  <c r="D52" i="38"/>
  <c r="E52" i="38" s="1"/>
  <c r="D51" i="38"/>
  <c r="J51" i="38" s="1"/>
  <c r="D50" i="38"/>
  <c r="J50" i="38" s="1"/>
  <c r="C37" i="38"/>
  <c r="D36" i="38"/>
  <c r="K36" i="38" s="1"/>
  <c r="C36" i="38"/>
  <c r="C35" i="38"/>
  <c r="C34" i="38"/>
  <c r="D33" i="38"/>
  <c r="C33" i="38"/>
  <c r="D32" i="38"/>
  <c r="C32" i="38"/>
  <c r="D30" i="38"/>
  <c r="J30" i="38" s="1"/>
  <c r="C30" i="38"/>
  <c r="D29" i="38"/>
  <c r="J29" i="38" s="1"/>
  <c r="C29" i="38"/>
  <c r="D28" i="38"/>
  <c r="J28" i="38" s="1"/>
  <c r="C28" i="38"/>
  <c r="D27" i="38"/>
  <c r="J27" i="38" s="1"/>
  <c r="C27" i="38"/>
  <c r="D26" i="38"/>
  <c r="J26" i="38" s="1"/>
  <c r="C26" i="38"/>
  <c r="D25" i="38"/>
  <c r="J25" i="38" s="1"/>
  <c r="D24" i="38"/>
  <c r="L24" i="38" s="1"/>
  <c r="C24" i="38"/>
  <c r="D23" i="38"/>
  <c r="E23" i="38" s="1"/>
  <c r="C23" i="38"/>
  <c r="D22" i="38"/>
  <c r="K22" i="38" s="1"/>
  <c r="C22" i="38"/>
  <c r="D21" i="38"/>
  <c r="J21" i="38" s="1"/>
  <c r="C21" i="38"/>
  <c r="D20" i="38"/>
  <c r="C20" i="38"/>
  <c r="D19" i="38"/>
  <c r="K18" i="38" s="1"/>
  <c r="C19" i="38"/>
  <c r="D18" i="38"/>
  <c r="C18" i="38"/>
  <c r="C17" i="38"/>
  <c r="C16" i="38"/>
  <c r="C15" i="38"/>
  <c r="C14" i="38"/>
  <c r="C13" i="38"/>
  <c r="D12" i="38"/>
  <c r="D69" i="31"/>
  <c r="E69" i="31" s="1"/>
  <c r="D67" i="31"/>
  <c r="E67" i="31" s="1"/>
  <c r="D66" i="31"/>
  <c r="E66" i="31" s="1"/>
  <c r="D65" i="31"/>
  <c r="J65" i="31" s="1"/>
  <c r="D64" i="31"/>
  <c r="E64" i="31" s="1"/>
  <c r="D62" i="31"/>
  <c r="E62" i="31" s="1"/>
  <c r="D61" i="31"/>
  <c r="J61" i="31" s="1"/>
  <c r="D60" i="31"/>
  <c r="J60" i="31" s="1"/>
  <c r="D53" i="31"/>
  <c r="J53" i="31" s="1"/>
  <c r="D52" i="31"/>
  <c r="J52" i="31" s="1"/>
  <c r="D51" i="31"/>
  <c r="J51" i="31" s="1"/>
  <c r="D50" i="31"/>
  <c r="J50" i="31" s="1"/>
  <c r="C37" i="31"/>
  <c r="D36" i="31"/>
  <c r="C36" i="31"/>
  <c r="C35" i="31"/>
  <c r="C34" i="31"/>
  <c r="D33" i="31"/>
  <c r="C33" i="31"/>
  <c r="D32" i="31"/>
  <c r="C32" i="31"/>
  <c r="D30" i="31"/>
  <c r="J30" i="31" s="1"/>
  <c r="C30" i="31"/>
  <c r="D29" i="31"/>
  <c r="J29" i="31" s="1"/>
  <c r="C29" i="31"/>
  <c r="D28" i="31"/>
  <c r="J28" i="31" s="1"/>
  <c r="C28" i="31"/>
  <c r="D27" i="31"/>
  <c r="E27" i="31" s="1"/>
  <c r="C27" i="31"/>
  <c r="D26" i="31"/>
  <c r="J26" i="31" s="1"/>
  <c r="C26" i="31"/>
  <c r="D25" i="31"/>
  <c r="J25" i="31" s="1"/>
  <c r="D24" i="31"/>
  <c r="C24" i="31"/>
  <c r="D23" i="31"/>
  <c r="E23" i="31" s="1"/>
  <c r="C23" i="31"/>
  <c r="D22" i="31"/>
  <c r="C22" i="31"/>
  <c r="D21" i="31"/>
  <c r="E21" i="31" s="1"/>
  <c r="C21" i="31"/>
  <c r="D20" i="31"/>
  <c r="C20" i="31"/>
  <c r="D19" i="31"/>
  <c r="C19" i="31"/>
  <c r="D18" i="31"/>
  <c r="C18" i="31"/>
  <c r="C17" i="31"/>
  <c r="C16" i="31"/>
  <c r="C15" i="31"/>
  <c r="C14" i="31"/>
  <c r="C13" i="31"/>
  <c r="D12" i="31"/>
  <c r="I100" i="32"/>
  <c r="I99" i="32"/>
  <c r="I98" i="32"/>
  <c r="I97" i="32"/>
  <c r="I96" i="32"/>
  <c r="I87" i="32"/>
  <c r="I86" i="32"/>
  <c r="I84" i="32"/>
  <c r="I83" i="32"/>
  <c r="I82" i="32"/>
  <c r="I81" i="32"/>
  <c r="I80" i="32"/>
  <c r="I79" i="32"/>
  <c r="I70" i="32"/>
  <c r="I69" i="32"/>
  <c r="I67" i="32"/>
  <c r="I66" i="32"/>
  <c r="I65" i="32"/>
  <c r="I64" i="32"/>
  <c r="I63" i="32"/>
  <c r="I62" i="32"/>
  <c r="I53" i="32"/>
  <c r="I52" i="32"/>
  <c r="I50" i="32"/>
  <c r="I49" i="32"/>
  <c r="I48" i="32"/>
  <c r="I47" i="32"/>
  <c r="I46" i="32"/>
  <c r="I45" i="32"/>
  <c r="I104" i="32"/>
  <c r="I103" i="32"/>
  <c r="I101" i="32"/>
  <c r="D72" i="31"/>
  <c r="D71" i="31"/>
  <c r="D70" i="31"/>
  <c r="E70" i="31" s="1"/>
  <c r="J69" i="38"/>
  <c r="C106" i="32"/>
  <c r="B94" i="32"/>
  <c r="B77" i="32"/>
  <c r="I108" i="32"/>
  <c r="I106" i="32"/>
  <c r="B106" i="32"/>
  <c r="B105" i="32"/>
  <c r="B104" i="32"/>
  <c r="D100" i="32"/>
  <c r="D99" i="32"/>
  <c r="D98" i="32"/>
  <c r="I91" i="32"/>
  <c r="I89" i="32"/>
  <c r="B89" i="32"/>
  <c r="B88" i="32"/>
  <c r="B87" i="32"/>
  <c r="D83" i="32"/>
  <c r="D82" i="32"/>
  <c r="D81" i="32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B72" i="32"/>
  <c r="B71" i="32"/>
  <c r="B70" i="32"/>
  <c r="B55" i="32"/>
  <c r="B54" i="32"/>
  <c r="B53" i="32"/>
  <c r="B39" i="32"/>
  <c r="B38" i="32"/>
  <c r="B37" i="32"/>
  <c r="B60" i="32"/>
  <c r="I74" i="32"/>
  <c r="I72" i="32"/>
  <c r="D66" i="32"/>
  <c r="D65" i="32"/>
  <c r="D64" i="32"/>
  <c r="F113" i="40"/>
  <c r="E110" i="40"/>
  <c r="D110" i="40"/>
  <c r="C110" i="40"/>
  <c r="E108" i="40"/>
  <c r="D108" i="40"/>
  <c r="C108" i="40"/>
  <c r="F106" i="40"/>
  <c r="F105" i="40"/>
  <c r="F95" i="40"/>
  <c r="F93" i="40"/>
  <c r="D92" i="40"/>
  <c r="E92" i="40" s="1"/>
  <c r="F91" i="40"/>
  <c r="F90" i="40"/>
  <c r="F89" i="40"/>
  <c r="F88" i="40"/>
  <c r="D87" i="40"/>
  <c r="F87" i="40" s="1"/>
  <c r="F86" i="40"/>
  <c r="F85" i="40"/>
  <c r="F84" i="40"/>
  <c r="D83" i="40"/>
  <c r="F83" i="40" s="1"/>
  <c r="F80" i="40"/>
  <c r="F79" i="40"/>
  <c r="F78" i="40"/>
  <c r="F77" i="40"/>
  <c r="E76" i="40"/>
  <c r="D76" i="40"/>
  <c r="D49" i="42" s="1"/>
  <c r="E75" i="40"/>
  <c r="D75" i="40"/>
  <c r="D48" i="41" s="1"/>
  <c r="E74" i="40"/>
  <c r="D74" i="40"/>
  <c r="D47" i="38" s="1"/>
  <c r="D73" i="40"/>
  <c r="D46" i="41" s="1"/>
  <c r="D66" i="40"/>
  <c r="F66" i="40" s="1"/>
  <c r="D64" i="40"/>
  <c r="F64" i="40" s="1"/>
  <c r="D63" i="40"/>
  <c r="F63" i="40" s="1"/>
  <c r="F59" i="40"/>
  <c r="F58" i="40"/>
  <c r="F57" i="40"/>
  <c r="F56" i="40"/>
  <c r="F55" i="40"/>
  <c r="F54" i="40"/>
  <c r="F53" i="40"/>
  <c r="F52" i="40"/>
  <c r="F50" i="40"/>
  <c r="F47" i="40"/>
  <c r="D46" i="40"/>
  <c r="D17" i="42" s="1"/>
  <c r="L17" i="42" s="1"/>
  <c r="D45" i="40"/>
  <c r="D16" i="42" s="1"/>
  <c r="D44" i="40"/>
  <c r="D15" i="42" s="1"/>
  <c r="D43" i="40"/>
  <c r="D14" i="38" s="1"/>
  <c r="L14" i="38" s="1"/>
  <c r="D42" i="40"/>
  <c r="D13" i="38" s="1"/>
  <c r="E13" i="38" s="1"/>
  <c r="D38" i="40"/>
  <c r="D10" i="42" s="1"/>
  <c r="D37" i="40"/>
  <c r="D9" i="42" s="1"/>
  <c r="D36" i="40"/>
  <c r="D8" i="42" s="1"/>
  <c r="D35" i="40"/>
  <c r="D34" i="40"/>
  <c r="D6" i="41" s="1"/>
  <c r="D33" i="40"/>
  <c r="D5" i="42" s="1"/>
  <c r="D32" i="40"/>
  <c r="D4" i="42" s="1"/>
  <c r="D31" i="40"/>
  <c r="D3" i="42" s="1"/>
  <c r="D30" i="40"/>
  <c r="K21" i="40"/>
  <c r="E72" i="38"/>
  <c r="C72" i="38"/>
  <c r="L71" i="38"/>
  <c r="K71" i="38"/>
  <c r="H71" i="38"/>
  <c r="C71" i="38"/>
  <c r="C70" i="38"/>
  <c r="C69" i="38"/>
  <c r="C68" i="38"/>
  <c r="C67" i="38"/>
  <c r="C66" i="38"/>
  <c r="C65" i="38"/>
  <c r="C64" i="38"/>
  <c r="C63" i="38"/>
  <c r="C62" i="38"/>
  <c r="C61" i="38"/>
  <c r="C60" i="38"/>
  <c r="C59" i="38"/>
  <c r="D58" i="38"/>
  <c r="C58" i="38"/>
  <c r="A58" i="38"/>
  <c r="C53" i="38"/>
  <c r="C52" i="38"/>
  <c r="C51" i="38"/>
  <c r="C50" i="38"/>
  <c r="C49" i="38"/>
  <c r="C48" i="38"/>
  <c r="C47" i="38"/>
  <c r="C46" i="38"/>
  <c r="C45" i="38"/>
  <c r="C44" i="38"/>
  <c r="C43" i="38"/>
  <c r="C42" i="38"/>
  <c r="B37" i="38"/>
  <c r="B36" i="38"/>
  <c r="B35" i="38"/>
  <c r="B34" i="38"/>
  <c r="B33" i="38"/>
  <c r="B32" i="38"/>
  <c r="AE30" i="38"/>
  <c r="AD30" i="38"/>
  <c r="AC30" i="38"/>
  <c r="AE25" i="38"/>
  <c r="AD25" i="38"/>
  <c r="AC25" i="38"/>
  <c r="AF25" i="38" s="1"/>
  <c r="AG25" i="38" s="1"/>
  <c r="C12" i="38"/>
  <c r="B12" i="38"/>
  <c r="A12" i="38"/>
  <c r="O11" i="38"/>
  <c r="C10" i="38"/>
  <c r="C8" i="38"/>
  <c r="C7" i="38"/>
  <c r="Z6" i="38"/>
  <c r="N6" i="38"/>
  <c r="C6" i="38"/>
  <c r="Z5" i="38"/>
  <c r="P5" i="38"/>
  <c r="Q10" i="38" s="1"/>
  <c r="R10" i="38" s="1"/>
  <c r="T10" i="38" s="1"/>
  <c r="C5" i="38"/>
  <c r="Z4" i="38"/>
  <c r="L4" i="38"/>
  <c r="C4" i="38"/>
  <c r="Z3" i="38"/>
  <c r="C3" i="38"/>
  <c r="N2" i="38"/>
  <c r="C2" i="38"/>
  <c r="A2" i="38"/>
  <c r="F113" i="37"/>
  <c r="E110" i="37"/>
  <c r="D110" i="37"/>
  <c r="C110" i="37"/>
  <c r="E108" i="37"/>
  <c r="D108" i="37"/>
  <c r="C108" i="37"/>
  <c r="F106" i="37"/>
  <c r="F105" i="37"/>
  <c r="F95" i="37"/>
  <c r="F93" i="37"/>
  <c r="I85" i="32" s="1"/>
  <c r="D92" i="37"/>
  <c r="E92" i="37" s="1"/>
  <c r="F91" i="37"/>
  <c r="F90" i="37"/>
  <c r="F89" i="37"/>
  <c r="F88" i="37"/>
  <c r="D87" i="37"/>
  <c r="F87" i="37" s="1"/>
  <c r="F86" i="37"/>
  <c r="F85" i="37"/>
  <c r="F84" i="37"/>
  <c r="D83" i="37"/>
  <c r="F83" i="37" s="1"/>
  <c r="F80" i="37"/>
  <c r="F79" i="37"/>
  <c r="F78" i="37"/>
  <c r="F77" i="37"/>
  <c r="E76" i="37"/>
  <c r="D76" i="37"/>
  <c r="D49" i="31" s="1"/>
  <c r="J49" i="31" s="1"/>
  <c r="E75" i="37"/>
  <c r="D75" i="37"/>
  <c r="D48" i="31" s="1"/>
  <c r="E48" i="31" s="1"/>
  <c r="E74" i="37"/>
  <c r="D74" i="37"/>
  <c r="D47" i="31" s="1"/>
  <c r="J47" i="31" s="1"/>
  <c r="D73" i="37"/>
  <c r="D46" i="31" s="1"/>
  <c r="J46" i="31" s="1"/>
  <c r="D66" i="37"/>
  <c r="F66" i="37" s="1"/>
  <c r="D64" i="37"/>
  <c r="F64" i="37" s="1"/>
  <c r="D63" i="37"/>
  <c r="F63" i="37" s="1"/>
  <c r="F59" i="37"/>
  <c r="F58" i="37"/>
  <c r="F57" i="37"/>
  <c r="F56" i="37"/>
  <c r="F55" i="37"/>
  <c r="F54" i="37"/>
  <c r="F53" i="37"/>
  <c r="F52" i="37"/>
  <c r="F50" i="37"/>
  <c r="F47" i="37"/>
  <c r="D46" i="37"/>
  <c r="D17" i="31" s="1"/>
  <c r="D45" i="37"/>
  <c r="D16" i="31" s="1"/>
  <c r="D44" i="37"/>
  <c r="D15" i="31" s="1"/>
  <c r="D43" i="37"/>
  <c r="D14" i="31" s="1"/>
  <c r="D42" i="37"/>
  <c r="D13" i="31" s="1"/>
  <c r="D38" i="37"/>
  <c r="D10" i="31" s="1"/>
  <c r="D37" i="37"/>
  <c r="D9" i="31" s="1"/>
  <c r="D36" i="37"/>
  <c r="D8" i="31" s="1"/>
  <c r="D35" i="37"/>
  <c r="D7" i="31" s="1"/>
  <c r="D34" i="37"/>
  <c r="D33" i="37"/>
  <c r="E33" i="37" s="1"/>
  <c r="D32" i="37"/>
  <c r="D4" i="31" s="1"/>
  <c r="D31" i="37"/>
  <c r="D30" i="37"/>
  <c r="K21" i="37"/>
  <c r="E111" i="36"/>
  <c r="D111" i="36"/>
  <c r="C111" i="36"/>
  <c r="E109" i="36"/>
  <c r="D109" i="36"/>
  <c r="C109" i="36"/>
  <c r="D49" i="30"/>
  <c r="H49" i="30" s="1"/>
  <c r="D36" i="30"/>
  <c r="F59" i="36"/>
  <c r="F58" i="36"/>
  <c r="F57" i="36"/>
  <c r="F56" i="36"/>
  <c r="F55" i="36"/>
  <c r="F54" i="36"/>
  <c r="F53" i="36"/>
  <c r="F52" i="36"/>
  <c r="F50" i="36"/>
  <c r="D46" i="36"/>
  <c r="D17" i="30" s="1"/>
  <c r="D45" i="36"/>
  <c r="D16" i="30" s="1"/>
  <c r="D44" i="36"/>
  <c r="D15" i="30" s="1"/>
  <c r="D43" i="36"/>
  <c r="D14" i="30" s="1"/>
  <c r="D42" i="36"/>
  <c r="D13" i="30" s="1"/>
  <c r="D38" i="36"/>
  <c r="D37" i="36"/>
  <c r="D9" i="30" s="1"/>
  <c r="D36" i="36"/>
  <c r="D8" i="30" s="1"/>
  <c r="D35" i="36"/>
  <c r="D7" i="30" s="1"/>
  <c r="D34" i="36"/>
  <c r="D33" i="36"/>
  <c r="D32" i="36"/>
  <c r="D4" i="30" s="1"/>
  <c r="D31" i="36"/>
  <c r="D30" i="36"/>
  <c r="H28" i="10" s="1"/>
  <c r="B37" i="35"/>
  <c r="J39" i="35"/>
  <c r="N38" i="35"/>
  <c r="B40" i="35"/>
  <c r="K40" i="35"/>
  <c r="B41" i="35"/>
  <c r="K41" i="35"/>
  <c r="B42" i="35"/>
  <c r="K42" i="35"/>
  <c r="J43" i="35"/>
  <c r="B44" i="35"/>
  <c r="B45" i="35"/>
  <c r="N44" i="35"/>
  <c r="J47" i="35"/>
  <c r="J48" i="35"/>
  <c r="N32" i="35"/>
  <c r="M32" i="35"/>
  <c r="L32" i="35"/>
  <c r="N31" i="35"/>
  <c r="M31" i="35"/>
  <c r="J21" i="35"/>
  <c r="J20" i="35"/>
  <c r="N15" i="35"/>
  <c r="J15" i="35"/>
  <c r="G9" i="33"/>
  <c r="G8" i="33"/>
  <c r="G7" i="33"/>
  <c r="G6" i="33"/>
  <c r="G5" i="33"/>
  <c r="G4" i="33"/>
  <c r="O186" i="25" l="1"/>
  <c r="O191" i="25"/>
  <c r="F191" i="25"/>
  <c r="D3" i="31"/>
  <c r="C29" i="10"/>
  <c r="D71" i="37"/>
  <c r="D44" i="31" s="1"/>
  <c r="D29" i="10"/>
  <c r="G29" i="10"/>
  <c r="E29" i="10"/>
  <c r="F29" i="10"/>
  <c r="D28" i="10"/>
  <c r="F28" i="10"/>
  <c r="E28" i="10"/>
  <c r="E106" i="36"/>
  <c r="D81" i="30" s="1"/>
  <c r="C28" i="10"/>
  <c r="F186" i="25"/>
  <c r="F190" i="25"/>
  <c r="O188" i="25"/>
  <c r="O189" i="25"/>
  <c r="O190" i="25"/>
  <c r="O192" i="25"/>
  <c r="F187" i="25"/>
  <c r="F178" i="25"/>
  <c r="F192" i="25"/>
  <c r="F160" i="25"/>
  <c r="F164" i="25"/>
  <c r="O172" i="25"/>
  <c r="O161" i="25"/>
  <c r="F163" i="25"/>
  <c r="O173" i="25"/>
  <c r="U160" i="25"/>
  <c r="O160" i="25"/>
  <c r="F162" i="25"/>
  <c r="U164" i="25"/>
  <c r="F176" i="25"/>
  <c r="O175" i="25"/>
  <c r="O193" i="25"/>
  <c r="F193" i="25"/>
  <c r="F161" i="25"/>
  <c r="U161" i="25"/>
  <c r="U162" i="25"/>
  <c r="O162" i="25"/>
  <c r="U163" i="25"/>
  <c r="O163" i="25"/>
  <c r="F172" i="25"/>
  <c r="O164" i="25"/>
  <c r="F173" i="25"/>
  <c r="F174" i="25"/>
  <c r="F175" i="25"/>
  <c r="O174" i="25"/>
  <c r="F177" i="25"/>
  <c r="O187" i="25"/>
  <c r="I33" i="30"/>
  <c r="O176" i="25"/>
  <c r="O177" i="25"/>
  <c r="F188" i="25"/>
  <c r="O178" i="25"/>
  <c r="F189" i="25"/>
  <c r="D10" i="30"/>
  <c r="D72" i="36"/>
  <c r="D69" i="36"/>
  <c r="D71" i="36"/>
  <c r="D70" i="36"/>
  <c r="D74" i="36"/>
  <c r="D75" i="36"/>
  <c r="D73" i="36"/>
  <c r="D3" i="30"/>
  <c r="E107" i="36"/>
  <c r="D82" i="30" s="1"/>
  <c r="D34" i="30"/>
  <c r="D35" i="30"/>
  <c r="AE35" i="30"/>
  <c r="AE30" i="30"/>
  <c r="AE31" i="30"/>
  <c r="AE34" i="30"/>
  <c r="Q30" i="30"/>
  <c r="Q27" i="30"/>
  <c r="Q28" i="30"/>
  <c r="AE32" i="30"/>
  <c r="Q36" i="30"/>
  <c r="Q32" i="30"/>
  <c r="AE27" i="30"/>
  <c r="Q31" i="30"/>
  <c r="AE33" i="30"/>
  <c r="AE36" i="30"/>
  <c r="Q29" i="30"/>
  <c r="Q35" i="30"/>
  <c r="AE28" i="30"/>
  <c r="AE29" i="30"/>
  <c r="Q34" i="30"/>
  <c r="Q33" i="30"/>
  <c r="F15" i="30"/>
  <c r="D6" i="30"/>
  <c r="E33" i="36"/>
  <c r="D5" i="30"/>
  <c r="D68" i="30"/>
  <c r="J49" i="30"/>
  <c r="E49" i="30"/>
  <c r="I49" i="30" s="1"/>
  <c r="K49" i="30"/>
  <c r="AH3" i="30"/>
  <c r="D2" i="30"/>
  <c r="D59" i="30"/>
  <c r="D37" i="30"/>
  <c r="D63" i="30"/>
  <c r="L72" i="38"/>
  <c r="H72" i="38"/>
  <c r="C54" i="37" a="1"/>
  <c r="C54" i="37" s="1"/>
  <c r="C25" i="31" s="1"/>
  <c r="D71" i="40"/>
  <c r="D44" i="41" s="1"/>
  <c r="A68" i="24"/>
  <c r="D71" i="43"/>
  <c r="A90" i="24"/>
  <c r="D71" i="44"/>
  <c r="A112" i="24"/>
  <c r="K30" i="38"/>
  <c r="L30" i="38" s="1"/>
  <c r="H30" i="38"/>
  <c r="K21" i="38"/>
  <c r="L21" i="38" s="1"/>
  <c r="Q9" i="41"/>
  <c r="R9" i="41" s="1"/>
  <c r="T9" i="41" s="1"/>
  <c r="H21" i="38"/>
  <c r="Q11" i="41"/>
  <c r="R11" i="41" s="1"/>
  <c r="T11" i="41" s="1"/>
  <c r="Q9" i="42"/>
  <c r="R9" i="42" s="1"/>
  <c r="T9" i="42" s="1"/>
  <c r="Q10" i="42"/>
  <c r="R10" i="42" s="1"/>
  <c r="T10" i="42" s="1"/>
  <c r="Q11" i="42"/>
  <c r="R11" i="42" s="1"/>
  <c r="T11" i="42" s="1"/>
  <c r="K53" i="38"/>
  <c r="K66" i="38"/>
  <c r="K27" i="38"/>
  <c r="L27" i="38" s="1"/>
  <c r="I68" i="32"/>
  <c r="H71" i="42"/>
  <c r="J26" i="41"/>
  <c r="H18" i="42"/>
  <c r="K67" i="41"/>
  <c r="L67" i="41" s="1"/>
  <c r="H30" i="41"/>
  <c r="K30" i="41"/>
  <c r="L30" i="41" s="1"/>
  <c r="E27" i="41"/>
  <c r="H18" i="38"/>
  <c r="E30" i="41"/>
  <c r="J30" i="42"/>
  <c r="L30" i="42" s="1"/>
  <c r="L23" i="38"/>
  <c r="H27" i="38"/>
  <c r="J64" i="41"/>
  <c r="I52" i="42"/>
  <c r="I23" i="38"/>
  <c r="H51" i="41"/>
  <c r="J62" i="42"/>
  <c r="S39" i="31" a="1"/>
  <c r="S39" i="31" s="1"/>
  <c r="D49" i="38"/>
  <c r="J49" i="38" s="1"/>
  <c r="W39" i="31" a="1"/>
  <c r="W39" i="31" s="1"/>
  <c r="D2" i="38"/>
  <c r="D42" i="38" s="1"/>
  <c r="D3" i="38"/>
  <c r="W21" i="31" a="1"/>
  <c r="W21" i="31" s="1"/>
  <c r="D5" i="38"/>
  <c r="S23" i="38" a="1"/>
  <c r="S23" i="38" s="1"/>
  <c r="S35" i="38" s="1"/>
  <c r="D3" i="41"/>
  <c r="D37" i="41"/>
  <c r="D47" i="42"/>
  <c r="K47" i="42" s="1"/>
  <c r="F46" i="37"/>
  <c r="D63" i="42"/>
  <c r="J63" i="42" s="1"/>
  <c r="D72" i="43"/>
  <c r="D63" i="38"/>
  <c r="J63" i="38" s="1"/>
  <c r="F46" i="43"/>
  <c r="D16" i="38"/>
  <c r="F16" i="38" s="1"/>
  <c r="D13" i="41"/>
  <c r="J13" i="41" s="1"/>
  <c r="E34" i="43"/>
  <c r="C29" i="44"/>
  <c r="S15" i="38" a="1"/>
  <c r="S15" i="38" s="1"/>
  <c r="S27" i="38" s="1"/>
  <c r="D34" i="38"/>
  <c r="F92" i="43"/>
  <c r="D49" i="41"/>
  <c r="H49" i="41" s="1"/>
  <c r="E22" i="42"/>
  <c r="AF30" i="42"/>
  <c r="AG30" i="42" s="1"/>
  <c r="E67" i="42"/>
  <c r="K22" i="42"/>
  <c r="L22" i="42" s="1"/>
  <c r="H52" i="42"/>
  <c r="E64" i="42"/>
  <c r="E66" i="42"/>
  <c r="J66" i="42"/>
  <c r="L66" i="42" s="1"/>
  <c r="E26" i="42"/>
  <c r="J52" i="42"/>
  <c r="E61" i="42"/>
  <c r="K52" i="42"/>
  <c r="E69" i="42"/>
  <c r="J69" i="42"/>
  <c r="L69" i="42" s="1"/>
  <c r="E65" i="42"/>
  <c r="K50" i="42"/>
  <c r="E70" i="41"/>
  <c r="H70" i="41"/>
  <c r="J62" i="41"/>
  <c r="J70" i="41"/>
  <c r="L70" i="41" s="1"/>
  <c r="Q10" i="41"/>
  <c r="R10" i="41" s="1"/>
  <c r="T10" i="41" s="1"/>
  <c r="E67" i="41"/>
  <c r="H67" i="41"/>
  <c r="E51" i="41"/>
  <c r="E60" i="41"/>
  <c r="H71" i="41"/>
  <c r="J51" i="41"/>
  <c r="K51" i="41"/>
  <c r="E69" i="41"/>
  <c r="I69" i="41" s="1"/>
  <c r="H72" i="41"/>
  <c r="I72" i="41" s="1"/>
  <c r="J69" i="41"/>
  <c r="K69" i="41"/>
  <c r="K72" i="41"/>
  <c r="J62" i="38"/>
  <c r="Q7" i="38"/>
  <c r="R7" i="38" s="1"/>
  <c r="T7" i="38" s="1"/>
  <c r="E27" i="38"/>
  <c r="Q8" i="38"/>
  <c r="R8" i="38" s="1"/>
  <c r="T8" i="38" s="1"/>
  <c r="Q9" i="38"/>
  <c r="R9" i="38" s="1"/>
  <c r="T9" i="38" s="1"/>
  <c r="E29" i="38"/>
  <c r="Q11" i="38"/>
  <c r="R11" i="38" s="1"/>
  <c r="T11" i="38" s="1"/>
  <c r="AF30" i="38"/>
  <c r="AG30" i="38" s="1"/>
  <c r="E60" i="38"/>
  <c r="E50" i="31"/>
  <c r="E28" i="31"/>
  <c r="J62" i="31"/>
  <c r="F92" i="44"/>
  <c r="E87" i="44"/>
  <c r="F46" i="44"/>
  <c r="E33" i="44"/>
  <c r="E33" i="43"/>
  <c r="E87" i="43"/>
  <c r="C29" i="43"/>
  <c r="E83" i="43"/>
  <c r="L16" i="42"/>
  <c r="J16" i="42"/>
  <c r="I16" i="42"/>
  <c r="F16" i="42"/>
  <c r="E16" i="42"/>
  <c r="J47" i="38"/>
  <c r="E47" i="38"/>
  <c r="F15" i="42"/>
  <c r="E15" i="42"/>
  <c r="J15" i="42"/>
  <c r="L15" i="42"/>
  <c r="I15" i="42"/>
  <c r="J46" i="41"/>
  <c r="K46" i="41"/>
  <c r="H46" i="41"/>
  <c r="H48" i="41"/>
  <c r="K48" i="41"/>
  <c r="J48" i="41"/>
  <c r="J49" i="42"/>
  <c r="K49" i="42"/>
  <c r="I43" i="41"/>
  <c r="K43" i="41"/>
  <c r="J43" i="41"/>
  <c r="H44" i="41"/>
  <c r="S19" i="42" a="1"/>
  <c r="S19" i="42" s="1"/>
  <c r="S31" i="42" s="1"/>
  <c r="W15" i="38" a="1"/>
  <c r="W15" i="38" s="1"/>
  <c r="W27" i="38" s="1"/>
  <c r="S19" i="38" a="1"/>
  <c r="S19" i="38" s="1"/>
  <c r="S31" i="38" s="1"/>
  <c r="I33" i="38"/>
  <c r="S40" i="38" a="1"/>
  <c r="S40" i="38" s="1"/>
  <c r="W45" i="38" a="1"/>
  <c r="W45" i="38" s="1"/>
  <c r="E33" i="40"/>
  <c r="F46" i="40"/>
  <c r="D4" i="38"/>
  <c r="W19" i="38" a="1"/>
  <c r="W19" i="38" s="1"/>
  <c r="W31" i="38" s="1"/>
  <c r="L33" i="38"/>
  <c r="W40" i="38" a="1"/>
  <c r="W40" i="38" s="1"/>
  <c r="D2" i="41"/>
  <c r="D42" i="41" s="1"/>
  <c r="D59" i="41"/>
  <c r="W16" i="42" a="1"/>
  <c r="W16" i="42" s="1"/>
  <c r="W28" i="42" s="1"/>
  <c r="I32" i="42" a="1"/>
  <c r="I32" i="42" s="1"/>
  <c r="D37" i="42"/>
  <c r="W43" i="42" a="1"/>
  <c r="W43" i="42" s="1"/>
  <c r="D68" i="42"/>
  <c r="L32" i="42" a="1"/>
  <c r="L32" i="42" s="1"/>
  <c r="S16" i="38" a="1"/>
  <c r="S16" i="38" s="1"/>
  <c r="S28" i="38" s="1"/>
  <c r="E51" i="38"/>
  <c r="I32" i="41" a="1"/>
  <c r="I32" i="41" s="1"/>
  <c r="W46" i="38" a="1"/>
  <c r="W46" i="38" s="1"/>
  <c r="L32" i="41" a="1"/>
  <c r="L32" i="41" s="1"/>
  <c r="D8" i="38"/>
  <c r="E35" i="38" s="1"/>
  <c r="W20" i="38" a="1"/>
  <c r="W20" i="38" s="1"/>
  <c r="W32" i="38" s="1"/>
  <c r="D35" i="38"/>
  <c r="S42" i="38" a="1"/>
  <c r="S42" i="38" s="1"/>
  <c r="D46" i="38"/>
  <c r="J52" i="38"/>
  <c r="J64" i="38"/>
  <c r="D8" i="41"/>
  <c r="E35" i="41" s="1"/>
  <c r="D14" i="41"/>
  <c r="S17" i="41" a="1"/>
  <c r="S17" i="41" s="1"/>
  <c r="S29" i="41" s="1"/>
  <c r="W43" i="41" a="1"/>
  <c r="W43" i="41" s="1"/>
  <c r="J52" i="41"/>
  <c r="J65" i="41"/>
  <c r="D2" i="42"/>
  <c r="D42" i="42" s="1"/>
  <c r="D13" i="42"/>
  <c r="J13" i="42" s="1"/>
  <c r="W39" i="42" a="1"/>
  <c r="W39" i="42" s="1"/>
  <c r="J60" i="42"/>
  <c r="K71" i="42"/>
  <c r="S47" i="41" a="1"/>
  <c r="S47" i="41" s="1"/>
  <c r="D6" i="42"/>
  <c r="H45" i="42" s="1"/>
  <c r="W16" i="38" a="1"/>
  <c r="W16" i="38" s="1"/>
  <c r="W28" i="38" s="1"/>
  <c r="W24" i="42" a="1"/>
  <c r="W24" i="42" s="1"/>
  <c r="W36" i="42" s="1"/>
  <c r="D9" i="38"/>
  <c r="W42" i="38" a="1"/>
  <c r="W42" i="38" s="1"/>
  <c r="D9" i="41"/>
  <c r="W15" i="41" a="1"/>
  <c r="W15" i="41" s="1"/>
  <c r="W27" i="41" s="1"/>
  <c r="W17" i="41" a="1"/>
  <c r="W17" i="41" s="1"/>
  <c r="W29" i="41" s="1"/>
  <c r="S20" i="41" a="1"/>
  <c r="S20" i="41" s="1"/>
  <c r="S32" i="41" s="1"/>
  <c r="L22" i="41"/>
  <c r="W45" i="41" a="1"/>
  <c r="W45" i="41" s="1"/>
  <c r="D47" i="41"/>
  <c r="K52" i="41"/>
  <c r="L52" i="41" s="1"/>
  <c r="D68" i="41"/>
  <c r="S15" i="42" a="1"/>
  <c r="S15" i="42" s="1"/>
  <c r="S27" i="42" s="1"/>
  <c r="W22" i="42" a="1"/>
  <c r="W22" i="42" s="1"/>
  <c r="W34" i="42" s="1"/>
  <c r="D35" i="42"/>
  <c r="S40" i="42" a="1"/>
  <c r="S40" i="42" s="1"/>
  <c r="H50" i="42"/>
  <c r="J53" i="42"/>
  <c r="W47" i="42" a="1"/>
  <c r="W47" i="42" s="1"/>
  <c r="S45" i="41" a="1"/>
  <c r="S45" i="41" s="1"/>
  <c r="D10" i="38"/>
  <c r="S17" i="38" a="1"/>
  <c r="S17" i="38" s="1"/>
  <c r="S29" i="38" s="1"/>
  <c r="S24" i="38" a="1"/>
  <c r="S24" i="38" s="1"/>
  <c r="S36" i="38" s="1"/>
  <c r="S43" i="38" a="1"/>
  <c r="S43" i="38" s="1"/>
  <c r="S47" i="38" a="1"/>
  <c r="S47" i="38" s="1"/>
  <c r="D59" i="38"/>
  <c r="D4" i="41"/>
  <c r="E22" i="41"/>
  <c r="S39" i="41" a="1"/>
  <c r="S39" i="41" s="1"/>
  <c r="D63" i="41"/>
  <c r="D7" i="42"/>
  <c r="Q31" i="42" s="1"/>
  <c r="D14" i="42"/>
  <c r="S17" i="42" a="1"/>
  <c r="S17" i="42" s="1"/>
  <c r="S29" i="42" s="1"/>
  <c r="W40" i="42" a="1"/>
  <c r="W40" i="42" s="1"/>
  <c r="S46" i="42" a="1"/>
  <c r="S46" i="42" s="1"/>
  <c r="I50" i="42"/>
  <c r="K53" i="42"/>
  <c r="W24" i="41" a="1"/>
  <c r="W24" i="41" s="1"/>
  <c r="W36" i="41" s="1"/>
  <c r="D6" i="38"/>
  <c r="S39" i="42" a="1"/>
  <c r="S39" i="42" s="1"/>
  <c r="D7" i="38"/>
  <c r="Q30" i="38" s="1"/>
  <c r="W19" i="42" a="1"/>
  <c r="W19" i="42" s="1"/>
  <c r="W31" i="42" s="1"/>
  <c r="I52" i="38"/>
  <c r="K28" i="38"/>
  <c r="L28" i="38" s="1"/>
  <c r="W17" i="38" a="1"/>
  <c r="W17" i="38" s="1"/>
  <c r="W29" i="38" s="1"/>
  <c r="S21" i="38" a="1"/>
  <c r="S21" i="38" s="1"/>
  <c r="S33" i="38" s="1"/>
  <c r="W24" i="38" a="1"/>
  <c r="W24" i="38" s="1"/>
  <c r="W36" i="38" s="1"/>
  <c r="W43" i="38" a="1"/>
  <c r="W43" i="38" s="1"/>
  <c r="W47" i="38" a="1"/>
  <c r="W47" i="38" s="1"/>
  <c r="D16" i="41"/>
  <c r="D17" i="41"/>
  <c r="L17" i="41" s="1"/>
  <c r="W20" i="41" a="1"/>
  <c r="W20" i="41" s="1"/>
  <c r="W32" i="41" s="1"/>
  <c r="D35" i="41"/>
  <c r="W15" i="42" a="1"/>
  <c r="W15" i="42" s="1"/>
  <c r="W27" i="42" s="1"/>
  <c r="W17" i="42" a="1"/>
  <c r="W17" i="42" s="1"/>
  <c r="W29" i="42" s="1"/>
  <c r="S20" i="42" a="1"/>
  <c r="S20" i="42" s="1"/>
  <c r="S32" i="42" s="1"/>
  <c r="E30" i="42"/>
  <c r="I33" i="42"/>
  <c r="S44" i="42" a="1"/>
  <c r="S44" i="42" s="1"/>
  <c r="S48" i="42" a="1"/>
  <c r="S48" i="42" s="1"/>
  <c r="J50" i="42"/>
  <c r="H66" i="42"/>
  <c r="H69" i="42"/>
  <c r="E28" i="38"/>
  <c r="I52" i="41"/>
  <c r="D72" i="40"/>
  <c r="K50" i="38"/>
  <c r="W21" i="38" a="1"/>
  <c r="W21" i="38" s="1"/>
  <c r="W33" i="38" s="1"/>
  <c r="D10" i="41"/>
  <c r="S18" i="41" a="1"/>
  <c r="S18" i="41" s="1"/>
  <c r="S30" i="41" s="1"/>
  <c r="H27" i="41"/>
  <c r="W39" i="41" a="1"/>
  <c r="W39" i="41" s="1"/>
  <c r="I50" i="41"/>
  <c r="E53" i="41"/>
  <c r="L33" i="42"/>
  <c r="S41" i="42" a="1"/>
  <c r="S41" i="42" s="1"/>
  <c r="W46" i="42" a="1"/>
  <c r="W46" i="42" s="1"/>
  <c r="W45" i="42" a="1"/>
  <c r="W45" i="42" s="1"/>
  <c r="W41" i="38" a="1"/>
  <c r="W41" i="38" s="1"/>
  <c r="W47" i="41" a="1"/>
  <c r="W47" i="41" s="1"/>
  <c r="D17" i="38"/>
  <c r="L17" i="38" s="1"/>
  <c r="D68" i="38"/>
  <c r="E68" i="38" s="1"/>
  <c r="W18" i="41" a="1"/>
  <c r="W18" i="41" s="1"/>
  <c r="W30" i="41" s="1"/>
  <c r="S23" i="41" a="1"/>
  <c r="S23" i="41" s="1"/>
  <c r="S35" i="41" s="1"/>
  <c r="E25" i="41"/>
  <c r="I33" i="41"/>
  <c r="S40" i="41" a="1"/>
  <c r="S40" i="41" s="1"/>
  <c r="S46" i="41" a="1"/>
  <c r="S46" i="41" s="1"/>
  <c r="S48" i="41" a="1"/>
  <c r="S48" i="41" s="1"/>
  <c r="J50" i="41"/>
  <c r="H53" i="41"/>
  <c r="E66" i="41"/>
  <c r="W20" i="42" a="1"/>
  <c r="W20" i="42" s="1"/>
  <c r="W32" i="42" s="1"/>
  <c r="E27" i="42"/>
  <c r="W41" i="42" a="1"/>
  <c r="W41" i="42" s="1"/>
  <c r="W44" i="42" a="1"/>
  <c r="W44" i="42" s="1"/>
  <c r="W48" i="42" a="1"/>
  <c r="W48" i="42" s="1"/>
  <c r="H72" i="42"/>
  <c r="I72" i="42" s="1"/>
  <c r="W19" i="41" a="1"/>
  <c r="W19" i="41" s="1"/>
  <c r="W31" i="41" s="1"/>
  <c r="S43" i="41" a="1"/>
  <c r="S43" i="41" s="1"/>
  <c r="S22" i="42" a="1"/>
  <c r="S22" i="42" s="1"/>
  <c r="S34" i="42" s="1"/>
  <c r="S18" i="38" a="1"/>
  <c r="S18" i="38" s="1"/>
  <c r="S30" i="38" s="1"/>
  <c r="D37" i="38"/>
  <c r="S44" i="38" a="1"/>
  <c r="S44" i="38" s="1"/>
  <c r="S48" i="38" a="1"/>
  <c r="S48" i="38" s="1"/>
  <c r="D5" i="41"/>
  <c r="L33" i="41"/>
  <c r="W40" i="41" a="1"/>
  <c r="W40" i="41" s="1"/>
  <c r="K50" i="41"/>
  <c r="L50" i="41" s="1"/>
  <c r="J53" i="41"/>
  <c r="H66" i="41"/>
  <c r="K71" i="41"/>
  <c r="S18" i="42" a="1"/>
  <c r="S18" i="42" s="1"/>
  <c r="S30" i="42" s="1"/>
  <c r="H27" i="42"/>
  <c r="S42" i="42" a="1"/>
  <c r="S42" i="42" s="1"/>
  <c r="D46" i="42"/>
  <c r="E46" i="42" s="1"/>
  <c r="S24" i="42" a="1"/>
  <c r="S24" i="42" s="1"/>
  <c r="S36" i="42" s="1"/>
  <c r="W23" i="38" a="1"/>
  <c r="W23" i="38" s="1"/>
  <c r="W35" i="38" s="1"/>
  <c r="D7" i="41"/>
  <c r="Q36" i="41" s="1"/>
  <c r="S20" i="38" a="1"/>
  <c r="S20" i="38" s="1"/>
  <c r="S32" i="38" s="1"/>
  <c r="W22" i="41" a="1"/>
  <c r="W22" i="41" s="1"/>
  <c r="W34" i="41" s="1"/>
  <c r="W18" i="38" a="1"/>
  <c r="W18" i="38" s="1"/>
  <c r="W30" i="38" s="1"/>
  <c r="E21" i="38"/>
  <c r="I32" i="38" a="1"/>
  <c r="I32" i="38" s="1"/>
  <c r="W44" i="38" a="1"/>
  <c r="W44" i="38" s="1"/>
  <c r="W48" i="38" a="1"/>
  <c r="W48" i="38" s="1"/>
  <c r="D15" i="41"/>
  <c r="S21" i="41" a="1"/>
  <c r="S21" i="41" s="1"/>
  <c r="S33" i="41" s="1"/>
  <c r="W23" i="41" a="1"/>
  <c r="W23" i="41" s="1"/>
  <c r="W35" i="41" s="1"/>
  <c r="J25" i="41"/>
  <c r="S44" i="41" a="1"/>
  <c r="S44" i="41" s="1"/>
  <c r="W46" i="41" a="1"/>
  <c r="W46" i="41" s="1"/>
  <c r="W48" i="41" a="1"/>
  <c r="W48" i="41" s="1"/>
  <c r="K53" i="41"/>
  <c r="J66" i="41"/>
  <c r="L66" i="41" s="1"/>
  <c r="W18" i="42" a="1"/>
  <c r="W18" i="42" s="1"/>
  <c r="W30" i="42" s="1"/>
  <c r="S23" i="42" a="1"/>
  <c r="S23" i="42" s="1"/>
  <c r="S35" i="42" s="1"/>
  <c r="J27" i="42"/>
  <c r="L27" i="42" s="1"/>
  <c r="W42" i="42" a="1"/>
  <c r="W42" i="42" s="1"/>
  <c r="D48" i="42"/>
  <c r="J51" i="42"/>
  <c r="D59" i="42"/>
  <c r="S15" i="41" a="1"/>
  <c r="S15" i="41" s="1"/>
  <c r="S27" i="41" s="1"/>
  <c r="L32" i="38" a="1"/>
  <c r="L32" i="38" s="1"/>
  <c r="D48" i="38"/>
  <c r="K48" i="38" s="1"/>
  <c r="S16" i="41" a="1"/>
  <c r="S16" i="41" s="1"/>
  <c r="S28" i="41" s="1"/>
  <c r="H18" i="41"/>
  <c r="S41" i="41" a="1"/>
  <c r="S41" i="41" s="1"/>
  <c r="E61" i="41"/>
  <c r="J25" i="42"/>
  <c r="K51" i="42"/>
  <c r="H67" i="42"/>
  <c r="E70" i="42"/>
  <c r="S22" i="41" a="1"/>
  <c r="S22" i="41" s="1"/>
  <c r="S34" i="41" s="1"/>
  <c r="S46" i="38" a="1"/>
  <c r="S46" i="38" s="1"/>
  <c r="D15" i="38"/>
  <c r="S22" i="38" a="1"/>
  <c r="S22" i="38" s="1"/>
  <c r="S34" i="38" s="1"/>
  <c r="S39" i="38" a="1"/>
  <c r="S39" i="38" s="1"/>
  <c r="W21" i="41" a="1"/>
  <c r="W21" i="41" s="1"/>
  <c r="W33" i="41" s="1"/>
  <c r="W41" i="41" a="1"/>
  <c r="W41" i="41" s="1"/>
  <c r="W44" i="41" a="1"/>
  <c r="W44" i="41" s="1"/>
  <c r="S21" i="42" a="1"/>
  <c r="S21" i="42" s="1"/>
  <c r="S33" i="42" s="1"/>
  <c r="W23" i="42" a="1"/>
  <c r="W23" i="42" s="1"/>
  <c r="W35" i="42" s="1"/>
  <c r="J67" i="42"/>
  <c r="L67" i="42" s="1"/>
  <c r="H70" i="42"/>
  <c r="S41" i="38" a="1"/>
  <c r="S41" i="38" s="1"/>
  <c r="W22" i="38" a="1"/>
  <c r="W22" i="38" s="1"/>
  <c r="W34" i="38" s="1"/>
  <c r="W39" i="38" a="1"/>
  <c r="W39" i="38" s="1"/>
  <c r="S45" i="38" a="1"/>
  <c r="S45" i="38" s="1"/>
  <c r="W16" i="41" a="1"/>
  <c r="W16" i="41" s="1"/>
  <c r="W28" i="41" s="1"/>
  <c r="S42" i="41" a="1"/>
  <c r="S42" i="41" s="1"/>
  <c r="S16" i="42" a="1"/>
  <c r="S16" i="42" s="1"/>
  <c r="S28" i="42" s="1"/>
  <c r="D34" i="42"/>
  <c r="S43" i="42" a="1"/>
  <c r="S43" i="42" s="1"/>
  <c r="J70" i="42"/>
  <c r="L70" i="42" s="1"/>
  <c r="S19" i="41" a="1"/>
  <c r="S19" i="41" s="1"/>
  <c r="S31" i="41" s="1"/>
  <c r="S24" i="41" a="1"/>
  <c r="S24" i="41" s="1"/>
  <c r="S36" i="41" s="1"/>
  <c r="K29" i="41"/>
  <c r="L29" i="41" s="1"/>
  <c r="D34" i="41"/>
  <c r="W42" i="41" a="1"/>
  <c r="W42" i="41" s="1"/>
  <c r="W21" i="42" a="1"/>
  <c r="W21" i="42" s="1"/>
  <c r="W33" i="42" s="1"/>
  <c r="S45" i="42" a="1"/>
  <c r="S45" i="42" s="1"/>
  <c r="S47" i="42" a="1"/>
  <c r="S47" i="42" s="1"/>
  <c r="W18" i="31" a="1"/>
  <c r="W18" i="31" s="1"/>
  <c r="I33" i="31"/>
  <c r="S40" i="31" a="1"/>
  <c r="S40" i="31" s="1"/>
  <c r="W45" i="31" a="1"/>
  <c r="W45" i="31" s="1"/>
  <c r="S22" i="31" a="1"/>
  <c r="S22" i="31" s="1"/>
  <c r="L33" i="31"/>
  <c r="F62" i="44" s="1"/>
  <c r="W40" i="31" a="1"/>
  <c r="W40" i="31" s="1"/>
  <c r="E52" i="31"/>
  <c r="S45" i="31" a="1"/>
  <c r="S45" i="31" s="1"/>
  <c r="W22" i="31" a="1"/>
  <c r="W22" i="31" s="1"/>
  <c r="S41" i="31" a="1"/>
  <c r="S41" i="31" s="1"/>
  <c r="S46" i="31" a="1"/>
  <c r="S46" i="31" s="1"/>
  <c r="D2" i="31"/>
  <c r="S15" i="31" a="1"/>
  <c r="S15" i="31" s="1"/>
  <c r="D34" i="31"/>
  <c r="W41" i="31" a="1"/>
  <c r="W41" i="31" s="1"/>
  <c r="W46" i="31" a="1"/>
  <c r="W46" i="31" s="1"/>
  <c r="S18" i="31" a="1"/>
  <c r="S18" i="31" s="1"/>
  <c r="W15" i="31" a="1"/>
  <c r="W15" i="31" s="1"/>
  <c r="S42" i="31" a="1"/>
  <c r="S42" i="31" s="1"/>
  <c r="D59" i="31"/>
  <c r="J59" i="31" s="1"/>
  <c r="S19" i="31" a="1"/>
  <c r="S19" i="31" s="1"/>
  <c r="S23" i="31" a="1"/>
  <c r="S23" i="31" s="1"/>
  <c r="D35" i="31"/>
  <c r="W42" i="31" a="1"/>
  <c r="W42" i="31" s="1"/>
  <c r="S47" i="31" a="1"/>
  <c r="S47" i="31" s="1"/>
  <c r="D68" i="31"/>
  <c r="E68" i="31" s="1"/>
  <c r="D69" i="37"/>
  <c r="D5" i="31"/>
  <c r="W19" i="31" a="1"/>
  <c r="W19" i="31" s="1"/>
  <c r="W23" i="31" a="1"/>
  <c r="W23" i="31" s="1"/>
  <c r="S43" i="31" a="1"/>
  <c r="S43" i="31" s="1"/>
  <c r="E60" i="31"/>
  <c r="D6" i="31"/>
  <c r="J44" i="31" s="1"/>
  <c r="S16" i="31" a="1"/>
  <c r="S16" i="31" s="1"/>
  <c r="E29" i="31"/>
  <c r="W43" i="31" a="1"/>
  <c r="W43" i="31" s="1"/>
  <c r="W47" i="31" a="1"/>
  <c r="W47" i="31" s="1"/>
  <c r="W16" i="31" a="1"/>
  <c r="W16" i="31" s="1"/>
  <c r="A46" i="24"/>
  <c r="C29" i="37"/>
  <c r="A169" i="24"/>
  <c r="S20" i="31" a="1"/>
  <c r="S20" i="31" s="1"/>
  <c r="S24" i="31" a="1"/>
  <c r="S24" i="31" s="1"/>
  <c r="S48" i="31" a="1"/>
  <c r="S48" i="31" s="1"/>
  <c r="W20" i="31" a="1"/>
  <c r="W20" i="31" s="1"/>
  <c r="W24" i="31" a="1"/>
  <c r="W24" i="31" s="1"/>
  <c r="W48" i="31" a="1"/>
  <c r="W48" i="31" s="1"/>
  <c r="S17" i="31" a="1"/>
  <c r="S17" i="31" s="1"/>
  <c r="D37" i="31"/>
  <c r="S44" i="31" a="1"/>
  <c r="S44" i="31" s="1"/>
  <c r="W17" i="31" a="1"/>
  <c r="W17" i="31" s="1"/>
  <c r="I32" i="31" a="1"/>
  <c r="I32" i="31" s="1"/>
  <c r="W44" i="31" a="1"/>
  <c r="W44" i="31" s="1"/>
  <c r="D63" i="31"/>
  <c r="S21" i="31" a="1"/>
  <c r="S21" i="31" s="1"/>
  <c r="L32" i="31" a="1"/>
  <c r="L32" i="31" s="1"/>
  <c r="F61" i="44" s="1"/>
  <c r="D72" i="44"/>
  <c r="E83" i="44"/>
  <c r="E35" i="44"/>
  <c r="C54" i="44" a="1"/>
  <c r="C54" i="44" s="1"/>
  <c r="D69" i="44"/>
  <c r="D70" i="44"/>
  <c r="E35" i="43"/>
  <c r="C54" i="43" a="1"/>
  <c r="C54" i="43" s="1"/>
  <c r="D69" i="43"/>
  <c r="D70" i="43"/>
  <c r="Q8" i="42"/>
  <c r="R8" i="42" s="1"/>
  <c r="T8" i="42" s="1"/>
  <c r="I17" i="42"/>
  <c r="E21" i="42"/>
  <c r="E28" i="42"/>
  <c r="I44" i="42"/>
  <c r="N4" i="42"/>
  <c r="H21" i="42"/>
  <c r="H28" i="42"/>
  <c r="E29" i="42"/>
  <c r="J18" i="42"/>
  <c r="L18" i="42" s="1"/>
  <c r="J21" i="42"/>
  <c r="L21" i="42" s="1"/>
  <c r="E25" i="42"/>
  <c r="J28" i="42"/>
  <c r="L28" i="42" s="1"/>
  <c r="H29" i="42"/>
  <c r="E49" i="42"/>
  <c r="E51" i="42"/>
  <c r="E53" i="42"/>
  <c r="H49" i="42"/>
  <c r="H51" i="42"/>
  <c r="H53" i="42"/>
  <c r="H22" i="42"/>
  <c r="I22" i="42" s="1"/>
  <c r="J29" i="42"/>
  <c r="L29" i="42" s="1"/>
  <c r="E35" i="42"/>
  <c r="E23" i="42"/>
  <c r="I23" i="42"/>
  <c r="E24" i="42"/>
  <c r="I24" i="42"/>
  <c r="H30" i="42"/>
  <c r="H36" i="42"/>
  <c r="K72" i="42"/>
  <c r="Q24" i="42"/>
  <c r="N4" i="41"/>
  <c r="Q8" i="41"/>
  <c r="R8" i="41" s="1"/>
  <c r="T8" i="41" s="1"/>
  <c r="E18" i="41"/>
  <c r="E21" i="41"/>
  <c r="E28" i="41"/>
  <c r="I44" i="41"/>
  <c r="H21" i="41"/>
  <c r="J27" i="41"/>
  <c r="L27" i="41" s="1"/>
  <c r="H28" i="41"/>
  <c r="J44" i="41"/>
  <c r="E29" i="41"/>
  <c r="K44" i="41"/>
  <c r="J18" i="41"/>
  <c r="L18" i="41" s="1"/>
  <c r="J21" i="41"/>
  <c r="L21" i="41" s="1"/>
  <c r="J28" i="41"/>
  <c r="L28" i="41" s="1"/>
  <c r="H29" i="41"/>
  <c r="F34" i="41"/>
  <c r="H45" i="41"/>
  <c r="I45" i="41"/>
  <c r="H22" i="41"/>
  <c r="I22" i="41" s="1"/>
  <c r="J45" i="41"/>
  <c r="E46" i="41"/>
  <c r="F35" i="41"/>
  <c r="K45" i="41"/>
  <c r="E23" i="41"/>
  <c r="I23" i="41"/>
  <c r="E24" i="41"/>
  <c r="F42" i="41"/>
  <c r="F45" i="41" s="1"/>
  <c r="I24" i="41"/>
  <c r="H42" i="41"/>
  <c r="H36" i="41"/>
  <c r="J42" i="41"/>
  <c r="E48" i="41"/>
  <c r="E50" i="41"/>
  <c r="E52" i="41"/>
  <c r="K42" i="41"/>
  <c r="H43" i="41"/>
  <c r="E65" i="38"/>
  <c r="E50" i="38"/>
  <c r="E61" i="38"/>
  <c r="I14" i="38"/>
  <c r="E25" i="38"/>
  <c r="E14" i="38"/>
  <c r="F14" i="38"/>
  <c r="J14" i="38"/>
  <c r="E26" i="38"/>
  <c r="E30" i="38"/>
  <c r="E26" i="31"/>
  <c r="K51" i="38"/>
  <c r="J21" i="31"/>
  <c r="E46" i="31"/>
  <c r="J27" i="31"/>
  <c r="E49" i="31"/>
  <c r="E65" i="31"/>
  <c r="K70" i="38"/>
  <c r="J48" i="31"/>
  <c r="J64" i="31"/>
  <c r="H28" i="38"/>
  <c r="I50" i="38"/>
  <c r="E61" i="31"/>
  <c r="H67" i="38"/>
  <c r="I67" i="38" s="1"/>
  <c r="K67" i="38"/>
  <c r="I23" i="31"/>
  <c r="E30" i="31"/>
  <c r="E25" i="31"/>
  <c r="E47" i="31"/>
  <c r="E51" i="31"/>
  <c r="J13" i="38"/>
  <c r="K47" i="38"/>
  <c r="I72" i="38"/>
  <c r="J67" i="38"/>
  <c r="K52" i="38"/>
  <c r="K69" i="38"/>
  <c r="L69" i="38" s="1"/>
  <c r="H69" i="38"/>
  <c r="I69" i="38" s="1"/>
  <c r="J70" i="38"/>
  <c r="L22" i="38"/>
  <c r="J66" i="38"/>
  <c r="H70" i="38"/>
  <c r="I70" i="38" s="1"/>
  <c r="K29" i="38"/>
  <c r="L29" i="38" s="1"/>
  <c r="E22" i="38"/>
  <c r="H66" i="38"/>
  <c r="I66" i="38" s="1"/>
  <c r="C29" i="36"/>
  <c r="E34" i="36"/>
  <c r="C54" i="36" a="1"/>
  <c r="E35" i="36"/>
  <c r="E34" i="40"/>
  <c r="F92" i="40"/>
  <c r="D72" i="37"/>
  <c r="D45" i="31" s="1"/>
  <c r="F92" i="37"/>
  <c r="E35" i="37"/>
  <c r="C29" i="40"/>
  <c r="E34" i="37"/>
  <c r="E83" i="40"/>
  <c r="E35" i="40"/>
  <c r="C54" i="40" a="1"/>
  <c r="E87" i="40"/>
  <c r="D69" i="40"/>
  <c r="D70" i="40"/>
  <c r="N4" i="38"/>
  <c r="H29" i="38"/>
  <c r="E53" i="38"/>
  <c r="H51" i="38"/>
  <c r="H53" i="38"/>
  <c r="H22" i="38"/>
  <c r="I22" i="38" s="1"/>
  <c r="I51" i="38"/>
  <c r="I53" i="38"/>
  <c r="E24" i="38"/>
  <c r="I24" i="38"/>
  <c r="H47" i="38"/>
  <c r="H36" i="38"/>
  <c r="H50" i="38"/>
  <c r="H52" i="38"/>
  <c r="E83" i="37"/>
  <c r="E87" i="37"/>
  <c r="D70" i="37"/>
  <c r="D43" i="31" s="1"/>
  <c r="D64" i="22"/>
  <c r="D45" i="22"/>
  <c r="D44" i="22"/>
  <c r="D43" i="22"/>
  <c r="D42" i="22"/>
  <c r="I19" i="32"/>
  <c r="I30" i="38" l="1"/>
  <c r="L66" i="38"/>
  <c r="H43" i="42"/>
  <c r="J42" i="42"/>
  <c r="Q46" i="30"/>
  <c r="AE47" i="30"/>
  <c r="F18" i="30"/>
  <c r="F13" i="30"/>
  <c r="Q23" i="30"/>
  <c r="Q48" i="30"/>
  <c r="AE46" i="30"/>
  <c r="AE17" i="30"/>
  <c r="Q16" i="30"/>
  <c r="AE15" i="30"/>
  <c r="AE24" i="30"/>
  <c r="Q15" i="30"/>
  <c r="Q24" i="30"/>
  <c r="AE23" i="30"/>
  <c r="AE22" i="30"/>
  <c r="Q22" i="30"/>
  <c r="Q47" i="30"/>
  <c r="Q17" i="30"/>
  <c r="Q18" i="30"/>
  <c r="AE16" i="30"/>
  <c r="AE48" i="30"/>
  <c r="AE18" i="30"/>
  <c r="L24" i="30"/>
  <c r="L65" i="30"/>
  <c r="L70" i="30"/>
  <c r="L80" i="30"/>
  <c r="L64" i="30"/>
  <c r="L72" i="30"/>
  <c r="L23" i="30"/>
  <c r="L50" i="30"/>
  <c r="L79" i="30"/>
  <c r="L61" i="30"/>
  <c r="L60" i="30"/>
  <c r="L78" i="30"/>
  <c r="L62" i="30"/>
  <c r="L73" i="30"/>
  <c r="L22" i="30"/>
  <c r="L33" i="30"/>
  <c r="L53" i="30"/>
  <c r="L67" i="30"/>
  <c r="L52" i="30"/>
  <c r="L30" i="30"/>
  <c r="L51" i="30"/>
  <c r="L21" i="30"/>
  <c r="L71" i="30"/>
  <c r="L49" i="30"/>
  <c r="L28" i="30"/>
  <c r="L29" i="30"/>
  <c r="L27" i="30"/>
  <c r="E13" i="42"/>
  <c r="L53" i="38"/>
  <c r="J45" i="42"/>
  <c r="Q46" i="42"/>
  <c r="F34" i="42"/>
  <c r="Q29" i="38"/>
  <c r="Q41" i="42"/>
  <c r="Q35" i="38"/>
  <c r="I46" i="41"/>
  <c r="Q27" i="42"/>
  <c r="D44" i="42"/>
  <c r="D44" i="38"/>
  <c r="K45" i="42"/>
  <c r="F81" i="30"/>
  <c r="F82" i="30"/>
  <c r="Q20" i="30"/>
  <c r="AE19" i="30"/>
  <c r="AE44" i="30"/>
  <c r="Q44" i="30"/>
  <c r="Q39" i="30"/>
  <c r="F34" i="30"/>
  <c r="Q21" i="30"/>
  <c r="Q40" i="30"/>
  <c r="AE43" i="30"/>
  <c r="Q19" i="30"/>
  <c r="Q41" i="30"/>
  <c r="AE20" i="30"/>
  <c r="AE21" i="30"/>
  <c r="AE39" i="30"/>
  <c r="AE45" i="30"/>
  <c r="F36" i="30"/>
  <c r="AE42" i="30"/>
  <c r="Q43" i="30"/>
  <c r="F70" i="30"/>
  <c r="F42" i="30"/>
  <c r="F45" i="30" s="1"/>
  <c r="AE40" i="30"/>
  <c r="F35" i="30"/>
  <c r="Q45" i="30"/>
  <c r="AE41" i="30"/>
  <c r="F37" i="30"/>
  <c r="Q42" i="30"/>
  <c r="C28" i="30"/>
  <c r="C26" i="30"/>
  <c r="C27" i="30"/>
  <c r="C29" i="30"/>
  <c r="C30" i="30"/>
  <c r="E37" i="30"/>
  <c r="D42" i="30"/>
  <c r="D45" i="30"/>
  <c r="D48" i="30"/>
  <c r="D46" i="30"/>
  <c r="D44" i="30"/>
  <c r="D43" i="30"/>
  <c r="D47" i="30"/>
  <c r="I21" i="38"/>
  <c r="I67" i="42"/>
  <c r="I27" i="41"/>
  <c r="Q43" i="38"/>
  <c r="L50" i="38"/>
  <c r="F35" i="42"/>
  <c r="J35" i="42" s="1"/>
  <c r="Q35" i="42"/>
  <c r="E18" i="42"/>
  <c r="I18" i="42" s="1"/>
  <c r="Q23" i="42"/>
  <c r="Q28" i="42"/>
  <c r="Q21" i="42"/>
  <c r="H42" i="42"/>
  <c r="K44" i="42"/>
  <c r="Q16" i="42"/>
  <c r="I45" i="42"/>
  <c r="J44" i="42"/>
  <c r="Q44" i="42"/>
  <c r="F42" i="42"/>
  <c r="F45" i="42" s="1"/>
  <c r="F13" i="42"/>
  <c r="K42" i="42"/>
  <c r="Q19" i="42"/>
  <c r="J16" i="38"/>
  <c r="E16" i="38"/>
  <c r="I16" i="38"/>
  <c r="Q35" i="41"/>
  <c r="H42" i="38"/>
  <c r="F36" i="41"/>
  <c r="Q16" i="41"/>
  <c r="H49" i="38"/>
  <c r="Q28" i="41"/>
  <c r="Q31" i="41"/>
  <c r="F42" i="38"/>
  <c r="F45" i="38" s="1"/>
  <c r="J44" i="38"/>
  <c r="Q31" i="38"/>
  <c r="Q40" i="41"/>
  <c r="K44" i="38"/>
  <c r="Q34" i="41"/>
  <c r="F37" i="41"/>
  <c r="Q44" i="38"/>
  <c r="Q29" i="41"/>
  <c r="F13" i="38"/>
  <c r="Q18" i="38"/>
  <c r="F13" i="41"/>
  <c r="H44" i="38"/>
  <c r="K45" i="38"/>
  <c r="K43" i="38"/>
  <c r="Q22" i="41"/>
  <c r="K42" i="38"/>
  <c r="F35" i="38"/>
  <c r="J35" i="38" s="1"/>
  <c r="E13" i="41"/>
  <c r="L16" i="38"/>
  <c r="Q47" i="41"/>
  <c r="Q24" i="41"/>
  <c r="Q18" i="41"/>
  <c r="Q39" i="41"/>
  <c r="Q17" i="41"/>
  <c r="Q41" i="38"/>
  <c r="Q46" i="38"/>
  <c r="Q23" i="38"/>
  <c r="Q45" i="38"/>
  <c r="Q42" i="38"/>
  <c r="H45" i="38"/>
  <c r="Q29" i="42"/>
  <c r="Q39" i="38"/>
  <c r="F37" i="38"/>
  <c r="J45" i="38"/>
  <c r="Q20" i="41"/>
  <c r="Q39" i="42"/>
  <c r="Q18" i="42"/>
  <c r="E68" i="24" a="1"/>
  <c r="E68" i="24" s="1"/>
  <c r="F68" i="24" a="1"/>
  <c r="F68" i="24" s="1"/>
  <c r="D68" i="24" a="1"/>
  <c r="D68" i="24" s="1"/>
  <c r="Q33" i="41"/>
  <c r="J18" i="38"/>
  <c r="L18" i="38" s="1"/>
  <c r="F34" i="38"/>
  <c r="Q22" i="42"/>
  <c r="Q17" i="42"/>
  <c r="Q23" i="41"/>
  <c r="Q32" i="42"/>
  <c r="F36" i="38"/>
  <c r="Q40" i="38"/>
  <c r="Q16" i="38"/>
  <c r="Q27" i="41"/>
  <c r="F36" i="42"/>
  <c r="Q45" i="42"/>
  <c r="F37" i="42"/>
  <c r="Q33" i="38"/>
  <c r="I44" i="38"/>
  <c r="J42" i="38"/>
  <c r="Q46" i="41"/>
  <c r="Q40" i="42"/>
  <c r="Q32" i="38"/>
  <c r="Q20" i="38"/>
  <c r="Q47" i="42"/>
  <c r="Q30" i="42"/>
  <c r="Q43" i="42"/>
  <c r="Q17" i="38"/>
  <c r="I17" i="38"/>
  <c r="Q32" i="41"/>
  <c r="Q33" i="42"/>
  <c r="H43" i="38"/>
  <c r="I45" i="38"/>
  <c r="Q30" i="41"/>
  <c r="Q42" i="42"/>
  <c r="Q20" i="42"/>
  <c r="I29" i="38"/>
  <c r="I69" i="42"/>
  <c r="K49" i="41"/>
  <c r="L49" i="41" s="1"/>
  <c r="E49" i="41"/>
  <c r="I49" i="41" s="1"/>
  <c r="J49" i="41"/>
  <c r="I18" i="41"/>
  <c r="E37" i="41"/>
  <c r="J37" i="41"/>
  <c r="I28" i="38"/>
  <c r="E63" i="42"/>
  <c r="J47" i="42"/>
  <c r="I30" i="41"/>
  <c r="L53" i="42"/>
  <c r="L50" i="42"/>
  <c r="I27" i="38"/>
  <c r="I67" i="41"/>
  <c r="L52" i="42"/>
  <c r="E59" i="31"/>
  <c r="L51" i="38"/>
  <c r="I30" i="42"/>
  <c r="L51" i="41"/>
  <c r="E47" i="42"/>
  <c r="H47" i="42"/>
  <c r="L47" i="42" s="1"/>
  <c r="L69" i="41"/>
  <c r="I66" i="42"/>
  <c r="E49" i="38"/>
  <c r="K49" i="38"/>
  <c r="J42" i="31"/>
  <c r="L44" i="41"/>
  <c r="L49" i="42"/>
  <c r="E63" i="38"/>
  <c r="I27" i="42"/>
  <c r="E37" i="42"/>
  <c r="J37" i="42"/>
  <c r="L51" i="42"/>
  <c r="I70" i="42"/>
  <c r="Q45" i="41"/>
  <c r="Q21" i="41"/>
  <c r="L48" i="41"/>
  <c r="I66" i="41"/>
  <c r="L53" i="41"/>
  <c r="Q43" i="41"/>
  <c r="I70" i="41"/>
  <c r="Q48" i="38"/>
  <c r="H48" i="38"/>
  <c r="L48" i="38" s="1"/>
  <c r="Q19" i="38"/>
  <c r="Q47" i="38"/>
  <c r="Q27" i="38"/>
  <c r="Q28" i="38"/>
  <c r="Q21" i="38"/>
  <c r="Q22" i="38"/>
  <c r="Q15" i="38"/>
  <c r="Q24" i="38"/>
  <c r="F62" i="43"/>
  <c r="L42" i="41"/>
  <c r="J48" i="38"/>
  <c r="E48" i="38"/>
  <c r="Q48" i="41"/>
  <c r="L46" i="41"/>
  <c r="L15" i="38"/>
  <c r="J15" i="38"/>
  <c r="I15" i="38"/>
  <c r="F15" i="38"/>
  <c r="E15" i="38"/>
  <c r="Q15" i="41"/>
  <c r="J46" i="38"/>
  <c r="E46" i="38"/>
  <c r="J37" i="38"/>
  <c r="E37" i="38"/>
  <c r="K46" i="38"/>
  <c r="K47" i="41"/>
  <c r="H47" i="41"/>
  <c r="I48" i="41"/>
  <c r="J47" i="41"/>
  <c r="K46" i="42"/>
  <c r="J46" i="42"/>
  <c r="H46" i="42"/>
  <c r="I46" i="42" s="1"/>
  <c r="L14" i="42"/>
  <c r="J14" i="42"/>
  <c r="I14" i="42"/>
  <c r="F14" i="42"/>
  <c r="E14" i="42"/>
  <c r="J59" i="42"/>
  <c r="E59" i="42"/>
  <c r="Q36" i="42"/>
  <c r="Q34" i="42"/>
  <c r="J59" i="41"/>
  <c r="E59" i="41"/>
  <c r="H46" i="38"/>
  <c r="D43" i="42"/>
  <c r="D43" i="38"/>
  <c r="D43" i="41"/>
  <c r="Q42" i="41"/>
  <c r="Q19" i="41"/>
  <c r="Q44" i="41"/>
  <c r="Q41" i="41"/>
  <c r="J63" i="41"/>
  <c r="E63" i="41"/>
  <c r="L16" i="41"/>
  <c r="J16" i="41"/>
  <c r="I16" i="41"/>
  <c r="F16" i="41"/>
  <c r="E16" i="41"/>
  <c r="E48" i="42"/>
  <c r="K48" i="42"/>
  <c r="J48" i="42"/>
  <c r="H48" i="42"/>
  <c r="J15" i="41"/>
  <c r="I15" i="41"/>
  <c r="F15" i="41"/>
  <c r="E15" i="41"/>
  <c r="L15" i="41"/>
  <c r="I29" i="41"/>
  <c r="I28" i="41"/>
  <c r="Q36" i="38"/>
  <c r="Q34" i="38"/>
  <c r="L70" i="38"/>
  <c r="E47" i="41"/>
  <c r="I21" i="41"/>
  <c r="I49" i="42"/>
  <c r="I43" i="42"/>
  <c r="H44" i="42"/>
  <c r="Q48" i="42"/>
  <c r="K43" i="42"/>
  <c r="J43" i="42"/>
  <c r="Q15" i="42"/>
  <c r="L14" i="41"/>
  <c r="J14" i="41"/>
  <c r="I14" i="41"/>
  <c r="F14" i="41"/>
  <c r="E14" i="41"/>
  <c r="K68" i="42"/>
  <c r="H68" i="42"/>
  <c r="E68" i="42"/>
  <c r="D45" i="42"/>
  <c r="D45" i="41"/>
  <c r="D45" i="38"/>
  <c r="J43" i="38"/>
  <c r="E18" i="38"/>
  <c r="I18" i="38" s="1"/>
  <c r="I43" i="38"/>
  <c r="I17" i="41"/>
  <c r="J59" i="38"/>
  <c r="E59" i="38"/>
  <c r="K68" i="41"/>
  <c r="H68" i="41"/>
  <c r="E68" i="41"/>
  <c r="J45" i="31"/>
  <c r="J43" i="31"/>
  <c r="J18" i="31"/>
  <c r="E18" i="31"/>
  <c r="E63" i="31"/>
  <c r="J63" i="31"/>
  <c r="F61" i="43"/>
  <c r="J37" i="31"/>
  <c r="E37" i="31"/>
  <c r="I29" i="42"/>
  <c r="I28" i="42"/>
  <c r="I21" i="42"/>
  <c r="J35" i="41"/>
  <c r="L47" i="38"/>
  <c r="L67" i="38"/>
  <c r="L52" i="38"/>
  <c r="C54" i="36"/>
  <c r="C25" i="30" s="1"/>
  <c r="C54" i="40"/>
  <c r="C25" i="42" s="1"/>
  <c r="K68" i="38"/>
  <c r="H68" i="38"/>
  <c r="I47" i="38"/>
  <c r="M54" i="19"/>
  <c r="N54" i="19" s="1"/>
  <c r="F88" i="22"/>
  <c r="B22" i="32"/>
  <c r="B21" i="32"/>
  <c r="B20" i="32"/>
  <c r="F102" i="22"/>
  <c r="K80" i="25"/>
  <c r="D80" i="25"/>
  <c r="E80" i="25" s="1"/>
  <c r="I80" i="25" s="1"/>
  <c r="D79" i="25"/>
  <c r="H79" i="25" s="1"/>
  <c r="K79" i="25" s="1"/>
  <c r="D78" i="25"/>
  <c r="E78" i="25" s="1"/>
  <c r="J78" i="25" s="1"/>
  <c r="D77" i="25"/>
  <c r="D76" i="25"/>
  <c r="D75" i="25"/>
  <c r="D74" i="25"/>
  <c r="D73" i="25"/>
  <c r="H73" i="25" s="1"/>
  <c r="D72" i="25"/>
  <c r="H72" i="25" s="1"/>
  <c r="K72" i="25" s="1"/>
  <c r="P117" i="23"/>
  <c r="Q117" i="23" s="1"/>
  <c r="I117" i="23"/>
  <c r="E117" i="23"/>
  <c r="D117" i="23"/>
  <c r="M4" i="25"/>
  <c r="F16" i="30" l="1"/>
  <c r="F14" i="30"/>
  <c r="L44" i="42"/>
  <c r="L44" i="38"/>
  <c r="J37" i="30"/>
  <c r="J46" i="30"/>
  <c r="I49" i="38"/>
  <c r="L49" i="38"/>
  <c r="L42" i="42"/>
  <c r="L42" i="38"/>
  <c r="I46" i="38"/>
  <c r="I48" i="38"/>
  <c r="L46" i="38"/>
  <c r="L43" i="38"/>
  <c r="I47" i="42"/>
  <c r="L45" i="38"/>
  <c r="L46" i="42"/>
  <c r="I68" i="42"/>
  <c r="L48" i="42"/>
  <c r="L43" i="42"/>
  <c r="I48" i="42"/>
  <c r="L47" i="41"/>
  <c r="L45" i="41"/>
  <c r="I47" i="41"/>
  <c r="L43" i="41"/>
  <c r="I68" i="41"/>
  <c r="L45" i="42"/>
  <c r="C25" i="38"/>
  <c r="C25" i="41"/>
  <c r="I68" i="38"/>
  <c r="H78" i="25"/>
  <c r="K78" i="25" s="1"/>
  <c r="E72" i="25"/>
  <c r="J72" i="25" s="1"/>
  <c r="J80" i="25"/>
  <c r="E73" i="25"/>
  <c r="K73" i="25"/>
  <c r="K86" i="26"/>
  <c r="K89" i="26" s="1"/>
  <c r="D84" i="26" s="1"/>
  <c r="I72" i="25" l="1"/>
  <c r="I78" i="25"/>
  <c r="I73" i="25"/>
  <c r="J73" i="25"/>
  <c r="F2" i="26"/>
  <c r="F76" i="26" s="1"/>
  <c r="H47" i="30" s="1"/>
  <c r="K47" i="30" s="1"/>
  <c r="F24" i="26" l="1"/>
  <c r="F21" i="26"/>
  <c r="F84" i="26"/>
  <c r="F42" i="26"/>
  <c r="S52" i="25"/>
  <c r="W52" i="25" s="1"/>
  <c r="F22" i="23"/>
  <c r="J22" i="23" s="1"/>
  <c r="L22" i="23" s="1"/>
  <c r="D70" i="25"/>
  <c r="C70" i="25"/>
  <c r="D16" i="32"/>
  <c r="D15" i="32"/>
  <c r="F40" i="23"/>
  <c r="F58" i="23" s="1"/>
  <c r="F59" i="23" s="1"/>
  <c r="F39" i="23"/>
  <c r="F57" i="23" s="1"/>
  <c r="F38" i="23"/>
  <c r="F56" i="23" s="1"/>
  <c r="F37" i="23"/>
  <c r="F55" i="23" s="1"/>
  <c r="F36" i="23"/>
  <c r="F54" i="23" s="1"/>
  <c r="F35" i="23"/>
  <c r="F53" i="23" s="1"/>
  <c r="F34" i="23"/>
  <c r="F52" i="23" s="1"/>
  <c r="F33" i="23"/>
  <c r="F51" i="23" s="1"/>
  <c r="F32" i="23"/>
  <c r="F50" i="23" s="1"/>
  <c r="F31" i="23"/>
  <c r="F49" i="23" s="1"/>
  <c r="F30" i="23"/>
  <c r="F29" i="23"/>
  <c r="F47" i="23" s="1"/>
  <c r="F28" i="23"/>
  <c r="F46" i="23" s="1"/>
  <c r="F27" i="23"/>
  <c r="F45" i="23" s="1"/>
  <c r="F26" i="23"/>
  <c r="F44" i="23" s="1"/>
  <c r="F48" i="26"/>
  <c r="F47" i="26"/>
  <c r="F45" i="26"/>
  <c r="F44" i="26"/>
  <c r="F48" i="23"/>
  <c r="F41" i="23"/>
  <c r="D50" i="25"/>
  <c r="P58" i="23"/>
  <c r="Q58" i="23" s="1"/>
  <c r="E58" i="23"/>
  <c r="D58" i="23"/>
  <c r="N20" i="19"/>
  <c r="N19" i="19"/>
  <c r="N18" i="19"/>
  <c r="H70" i="25" l="1"/>
  <c r="K70" i="25" s="1"/>
  <c r="N58" i="23"/>
  <c r="O58" i="23" s="1"/>
  <c r="G58" i="23"/>
  <c r="I58" i="23"/>
  <c r="K33" i="25" l="1"/>
  <c r="J33" i="25"/>
  <c r="K32" i="25"/>
  <c r="J32" i="25"/>
  <c r="E116" i="23"/>
  <c r="D116" i="23"/>
  <c r="E115" i="23"/>
  <c r="D115" i="23"/>
  <c r="E114" i="23"/>
  <c r="D114" i="23"/>
  <c r="E113" i="23"/>
  <c r="D113" i="23"/>
  <c r="E112" i="23"/>
  <c r="D112" i="23"/>
  <c r="E111" i="23"/>
  <c r="D111" i="23"/>
  <c r="E110" i="23"/>
  <c r="D110" i="23"/>
  <c r="E109" i="23"/>
  <c r="D109" i="23"/>
  <c r="E108" i="23"/>
  <c r="D108" i="23"/>
  <c r="E107" i="23"/>
  <c r="D107" i="23"/>
  <c r="E106" i="23"/>
  <c r="D106" i="23"/>
  <c r="E105" i="23"/>
  <c r="D105" i="23"/>
  <c r="E104" i="23"/>
  <c r="D104" i="23"/>
  <c r="E103" i="23"/>
  <c r="D103" i="23"/>
  <c r="E102" i="23"/>
  <c r="D102" i="23"/>
  <c r="E101" i="23"/>
  <c r="D101" i="23"/>
  <c r="E100" i="23"/>
  <c r="D100" i="23"/>
  <c r="F99" i="23"/>
  <c r="N99" i="23" s="1"/>
  <c r="O99" i="23" s="1"/>
  <c r="E99" i="23"/>
  <c r="D99" i="23"/>
  <c r="F98" i="23"/>
  <c r="F116" i="23" s="1"/>
  <c r="F117" i="23" s="1"/>
  <c r="E98" i="23"/>
  <c r="D98" i="23"/>
  <c r="F97" i="23"/>
  <c r="J97" i="23" s="1"/>
  <c r="E97" i="23"/>
  <c r="D97" i="23"/>
  <c r="F96" i="23"/>
  <c r="H96" i="23" s="1"/>
  <c r="E96" i="23"/>
  <c r="D96" i="23"/>
  <c r="F95" i="23"/>
  <c r="F113" i="23" s="1"/>
  <c r="E95" i="23"/>
  <c r="D95" i="23"/>
  <c r="F94" i="23"/>
  <c r="F112" i="23" s="1"/>
  <c r="E94" i="23"/>
  <c r="D94" i="23"/>
  <c r="F93" i="23"/>
  <c r="F111" i="23" s="1"/>
  <c r="E93" i="23"/>
  <c r="D93" i="23"/>
  <c r="F92" i="23"/>
  <c r="J92" i="23" s="1"/>
  <c r="E92" i="23"/>
  <c r="D92" i="23"/>
  <c r="F91" i="23"/>
  <c r="N91" i="23" s="1"/>
  <c r="O91" i="23" s="1"/>
  <c r="E91" i="23"/>
  <c r="D91" i="23"/>
  <c r="F90" i="23"/>
  <c r="F108" i="23" s="1"/>
  <c r="E90" i="23"/>
  <c r="D90" i="23"/>
  <c r="F89" i="23"/>
  <c r="J89" i="23" s="1"/>
  <c r="E89" i="23"/>
  <c r="D89" i="23"/>
  <c r="F88" i="23"/>
  <c r="H88" i="23" s="1"/>
  <c r="E88" i="23"/>
  <c r="D88" i="23"/>
  <c r="F87" i="23"/>
  <c r="F105" i="23" s="1"/>
  <c r="E87" i="23"/>
  <c r="D87" i="23"/>
  <c r="F86" i="23"/>
  <c r="F104" i="23" s="1"/>
  <c r="E86" i="23"/>
  <c r="D86" i="23"/>
  <c r="F85" i="23"/>
  <c r="F103" i="23" s="1"/>
  <c r="E85" i="23"/>
  <c r="D85" i="23"/>
  <c r="F84" i="23"/>
  <c r="J84" i="23" s="1"/>
  <c r="E84" i="23"/>
  <c r="D84" i="23"/>
  <c r="F83" i="23"/>
  <c r="N83" i="23" s="1"/>
  <c r="O83" i="23" s="1"/>
  <c r="E83" i="23"/>
  <c r="D83" i="23"/>
  <c r="F82" i="23"/>
  <c r="F100" i="23" s="1"/>
  <c r="E82" i="23"/>
  <c r="D82" i="23"/>
  <c r="N81" i="23"/>
  <c r="O81" i="23" s="1"/>
  <c r="J81" i="23"/>
  <c r="J99" i="23" s="1"/>
  <c r="K99" i="23" s="1"/>
  <c r="H81" i="23"/>
  <c r="I81" i="23" s="1"/>
  <c r="G81" i="23"/>
  <c r="E81" i="23"/>
  <c r="D81" i="23"/>
  <c r="F80" i="23"/>
  <c r="G80" i="23" s="1"/>
  <c r="E80" i="23"/>
  <c r="D80" i="23"/>
  <c r="F79" i="23"/>
  <c r="N79" i="23" s="1"/>
  <c r="O79" i="23" s="1"/>
  <c r="E79" i="23"/>
  <c r="D79" i="23"/>
  <c r="F78" i="23"/>
  <c r="H78" i="23" s="1"/>
  <c r="E78" i="23"/>
  <c r="D78" i="23"/>
  <c r="F77" i="23"/>
  <c r="N77" i="23" s="1"/>
  <c r="O77" i="23" s="1"/>
  <c r="E77" i="23"/>
  <c r="D77" i="23"/>
  <c r="F76" i="23"/>
  <c r="N76" i="23" s="1"/>
  <c r="O76" i="23" s="1"/>
  <c r="E76" i="23"/>
  <c r="D76" i="23"/>
  <c r="F75" i="23"/>
  <c r="N75" i="23" s="1"/>
  <c r="O75" i="23" s="1"/>
  <c r="E75" i="23"/>
  <c r="D75" i="23"/>
  <c r="F74" i="23"/>
  <c r="J74" i="23" s="1"/>
  <c r="K74" i="23" s="1"/>
  <c r="E74" i="23"/>
  <c r="D74" i="23"/>
  <c r="F73" i="23"/>
  <c r="H73" i="23" s="1"/>
  <c r="E73" i="23"/>
  <c r="D73" i="23"/>
  <c r="F72" i="23"/>
  <c r="G72" i="23" s="1"/>
  <c r="E72" i="23"/>
  <c r="D72" i="23"/>
  <c r="N71" i="23"/>
  <c r="O71" i="23" s="1"/>
  <c r="J71" i="23"/>
  <c r="K71" i="23" s="1"/>
  <c r="H71" i="23"/>
  <c r="P71" i="23" s="1"/>
  <c r="Q71" i="23" s="1"/>
  <c r="G71" i="23"/>
  <c r="E71" i="23"/>
  <c r="D71" i="23"/>
  <c r="N70" i="23"/>
  <c r="O70" i="23" s="1"/>
  <c r="J70" i="23"/>
  <c r="K70" i="23" s="1"/>
  <c r="H70" i="23"/>
  <c r="L70" i="23" s="1"/>
  <c r="M70" i="23" s="1"/>
  <c r="G70" i="23"/>
  <c r="E70" i="23"/>
  <c r="D70" i="23"/>
  <c r="N69" i="23"/>
  <c r="O69" i="23" s="1"/>
  <c r="J69" i="23"/>
  <c r="K69" i="23" s="1"/>
  <c r="H69" i="23"/>
  <c r="P69" i="23" s="1"/>
  <c r="Q69" i="23" s="1"/>
  <c r="G69" i="23"/>
  <c r="E69" i="23"/>
  <c r="D69" i="23"/>
  <c r="N68" i="23"/>
  <c r="O68" i="23" s="1"/>
  <c r="J68" i="23"/>
  <c r="K68" i="23" s="1"/>
  <c r="H68" i="23"/>
  <c r="L68" i="23" s="1"/>
  <c r="M68" i="23" s="1"/>
  <c r="G68" i="23"/>
  <c r="E68" i="23"/>
  <c r="D68" i="23"/>
  <c r="N67" i="23"/>
  <c r="O67" i="23" s="1"/>
  <c r="J67" i="23"/>
  <c r="K67" i="23" s="1"/>
  <c r="H67" i="23"/>
  <c r="I67" i="23" s="1"/>
  <c r="G67" i="23"/>
  <c r="E67" i="23"/>
  <c r="D67" i="23"/>
  <c r="N66" i="23"/>
  <c r="O66" i="23" s="1"/>
  <c r="J66" i="23"/>
  <c r="K66" i="23" s="1"/>
  <c r="H66" i="23"/>
  <c r="I66" i="23" s="1"/>
  <c r="G66" i="23"/>
  <c r="E66" i="23"/>
  <c r="D66" i="23"/>
  <c r="J39" i="23"/>
  <c r="L39" i="23" s="1"/>
  <c r="J38" i="23"/>
  <c r="J37" i="23"/>
  <c r="J36" i="23"/>
  <c r="J35" i="23"/>
  <c r="J33" i="23"/>
  <c r="J32" i="23"/>
  <c r="J28" i="23"/>
  <c r="J23" i="23"/>
  <c r="J12" i="23"/>
  <c r="L12" i="23" s="1"/>
  <c r="J11" i="23"/>
  <c r="L11" i="23" s="1"/>
  <c r="J10" i="23"/>
  <c r="L10" i="23" s="1"/>
  <c r="J9" i="23"/>
  <c r="L9" i="23" s="1"/>
  <c r="J8" i="23"/>
  <c r="L8" i="23" s="1"/>
  <c r="J5" i="23"/>
  <c r="L5" i="23" s="1"/>
  <c r="F20" i="23"/>
  <c r="J20" i="23" s="1"/>
  <c r="L20" i="23" s="1"/>
  <c r="F19" i="23"/>
  <c r="J19" i="23" s="1"/>
  <c r="L19" i="23" s="1"/>
  <c r="F18" i="23"/>
  <c r="J18" i="23" s="1"/>
  <c r="L18" i="23" s="1"/>
  <c r="F17" i="23"/>
  <c r="J17" i="23" s="1"/>
  <c r="L17" i="23" s="1"/>
  <c r="F16" i="23"/>
  <c r="J16" i="23" s="1"/>
  <c r="L16" i="23" s="1"/>
  <c r="F15" i="23"/>
  <c r="J15" i="23" s="1"/>
  <c r="L15" i="23" s="1"/>
  <c r="F14" i="23"/>
  <c r="H14" i="23" s="1"/>
  <c r="F13" i="23"/>
  <c r="J13" i="23" s="1"/>
  <c r="L13" i="23" s="1"/>
  <c r="P44" i="23"/>
  <c r="Q44" i="23" s="1"/>
  <c r="H40" i="23"/>
  <c r="P40" i="23" s="1"/>
  <c r="Q40" i="23" s="1"/>
  <c r="H31" i="23"/>
  <c r="H30" i="23"/>
  <c r="P48" i="23" s="1"/>
  <c r="Q48" i="23" s="1"/>
  <c r="H29" i="23"/>
  <c r="H28" i="23"/>
  <c r="H27" i="23"/>
  <c r="I45" i="23" s="1"/>
  <c r="H26" i="23"/>
  <c r="H23" i="23"/>
  <c r="G50" i="23"/>
  <c r="G49" i="23"/>
  <c r="N48" i="23"/>
  <c r="O48" i="23" s="1"/>
  <c r="N47" i="23"/>
  <c r="O47" i="23" s="1"/>
  <c r="G44" i="23"/>
  <c r="E59" i="23"/>
  <c r="D59" i="23"/>
  <c r="E57" i="23"/>
  <c r="D57" i="23"/>
  <c r="E56" i="23"/>
  <c r="D56" i="23"/>
  <c r="E55" i="23"/>
  <c r="D55" i="23"/>
  <c r="E54" i="23"/>
  <c r="D54" i="23"/>
  <c r="E53" i="23"/>
  <c r="D53" i="23"/>
  <c r="E52" i="23"/>
  <c r="D52" i="23"/>
  <c r="G51" i="23"/>
  <c r="N51" i="23"/>
  <c r="O51" i="23" s="1"/>
  <c r="E51" i="23"/>
  <c r="D51" i="23"/>
  <c r="E50" i="23"/>
  <c r="D50" i="23"/>
  <c r="E49" i="23"/>
  <c r="D49" i="23"/>
  <c r="E48" i="23"/>
  <c r="D48" i="23"/>
  <c r="E47" i="23"/>
  <c r="D47" i="23"/>
  <c r="N46" i="23"/>
  <c r="O46" i="23" s="1"/>
  <c r="E46" i="23"/>
  <c r="D46" i="23"/>
  <c r="E45" i="23"/>
  <c r="D45" i="23"/>
  <c r="E44" i="23"/>
  <c r="D44" i="23"/>
  <c r="E43" i="23"/>
  <c r="D43" i="23"/>
  <c r="E42" i="23"/>
  <c r="D42" i="23"/>
  <c r="P41" i="23"/>
  <c r="Q41" i="23" s="1"/>
  <c r="E41" i="23"/>
  <c r="D41" i="23"/>
  <c r="G40" i="23"/>
  <c r="H39" i="23"/>
  <c r="G38" i="23"/>
  <c r="G37" i="23"/>
  <c r="N35" i="23"/>
  <c r="O35" i="23" s="1"/>
  <c r="G34" i="23"/>
  <c r="G39" i="23"/>
  <c r="G33" i="23"/>
  <c r="H32" i="23"/>
  <c r="J31" i="23"/>
  <c r="J30" i="23"/>
  <c r="J29" i="23"/>
  <c r="J27" i="23"/>
  <c r="J26" i="23"/>
  <c r="F25" i="23"/>
  <c r="H25" i="23" s="1"/>
  <c r="I43" i="23" s="1"/>
  <c r="F24" i="23"/>
  <c r="H24" i="23" s="1"/>
  <c r="E40" i="23"/>
  <c r="E39" i="23"/>
  <c r="D40" i="23"/>
  <c r="D39" i="23"/>
  <c r="D38" i="23"/>
  <c r="E38" i="23"/>
  <c r="D37" i="23"/>
  <c r="E37" i="23"/>
  <c r="D36" i="23"/>
  <c r="E36" i="23"/>
  <c r="D35" i="23"/>
  <c r="E35" i="23"/>
  <c r="D34" i="23"/>
  <c r="E34" i="23"/>
  <c r="D33" i="23"/>
  <c r="E33" i="23"/>
  <c r="H12" i="23"/>
  <c r="H11" i="23"/>
  <c r="H10" i="23"/>
  <c r="H9" i="23"/>
  <c r="H8" i="23"/>
  <c r="H5" i="23"/>
  <c r="H22" i="23"/>
  <c r="H19" i="23"/>
  <c r="H18" i="23"/>
  <c r="H16" i="23"/>
  <c r="D22" i="23"/>
  <c r="E22" i="23"/>
  <c r="D20" i="23"/>
  <c r="E20" i="23"/>
  <c r="D19" i="23"/>
  <c r="E19" i="23"/>
  <c r="D18" i="23"/>
  <c r="E18" i="23"/>
  <c r="D17" i="23"/>
  <c r="E17" i="23"/>
  <c r="H20" i="23" l="1"/>
  <c r="P20" i="23" s="1"/>
  <c r="Q20" i="23" s="1"/>
  <c r="H15" i="23"/>
  <c r="G91" i="23"/>
  <c r="J14" i="23"/>
  <c r="L14" i="23" s="1"/>
  <c r="N92" i="23"/>
  <c r="O92" i="23" s="1"/>
  <c r="G92" i="23"/>
  <c r="P68" i="23"/>
  <c r="Q68" i="23" s="1"/>
  <c r="J41" i="23"/>
  <c r="L41" i="23" s="1"/>
  <c r="M41" i="23" s="1"/>
  <c r="L23" i="23"/>
  <c r="H80" i="23"/>
  <c r="I80" i="23" s="1"/>
  <c r="J46" i="23"/>
  <c r="L28" i="23"/>
  <c r="J80" i="23"/>
  <c r="K80" i="23" s="1"/>
  <c r="G117" i="23"/>
  <c r="N117" i="23"/>
  <c r="O117" i="23" s="1"/>
  <c r="J50" i="23"/>
  <c r="L50" i="23" s="1"/>
  <c r="M50" i="23" s="1"/>
  <c r="L32" i="23"/>
  <c r="G98" i="23"/>
  <c r="J51" i="23"/>
  <c r="L51" i="23" s="1"/>
  <c r="L33" i="23"/>
  <c r="H72" i="23"/>
  <c r="G89" i="23"/>
  <c r="N98" i="23"/>
  <c r="O98" i="23" s="1"/>
  <c r="J53" i="23"/>
  <c r="L53" i="23" s="1"/>
  <c r="L35" i="23"/>
  <c r="N72" i="23"/>
  <c r="O72" i="23" s="1"/>
  <c r="J54" i="23"/>
  <c r="L54" i="23" s="1"/>
  <c r="L36" i="23"/>
  <c r="J55" i="23"/>
  <c r="L55" i="23" s="1"/>
  <c r="L37" i="23"/>
  <c r="I70" i="23"/>
  <c r="J56" i="23"/>
  <c r="L56" i="23" s="1"/>
  <c r="L38" i="23"/>
  <c r="F42" i="23"/>
  <c r="N42" i="23" s="1"/>
  <c r="O42" i="23" s="1"/>
  <c r="F43" i="23"/>
  <c r="G43" i="23" s="1"/>
  <c r="J44" i="23"/>
  <c r="L44" i="23" s="1"/>
  <c r="L26" i="23"/>
  <c r="P70" i="23"/>
  <c r="Q70" i="23" s="1"/>
  <c r="H87" i="23"/>
  <c r="H105" i="23" s="1"/>
  <c r="I105" i="23" s="1"/>
  <c r="J47" i="23"/>
  <c r="L47" i="23" s="1"/>
  <c r="M47" i="23" s="1"/>
  <c r="L29" i="23"/>
  <c r="J87" i="23"/>
  <c r="J105" i="23" s="1"/>
  <c r="K105" i="23" s="1"/>
  <c r="J45" i="23"/>
  <c r="L27" i="23"/>
  <c r="J48" i="23"/>
  <c r="L48" i="23" s="1"/>
  <c r="M48" i="23" s="1"/>
  <c r="L30" i="23"/>
  <c r="N74" i="23"/>
  <c r="O74" i="23" s="1"/>
  <c r="G79" i="23"/>
  <c r="N87" i="23"/>
  <c r="O87" i="23" s="1"/>
  <c r="J49" i="23"/>
  <c r="L49" i="23" s="1"/>
  <c r="M49" i="23" s="1"/>
  <c r="L31" i="23"/>
  <c r="F110" i="23"/>
  <c r="G110" i="23" s="1"/>
  <c r="J57" i="23"/>
  <c r="L57" i="23" s="1"/>
  <c r="J58" i="23"/>
  <c r="P47" i="23"/>
  <c r="Q47" i="23" s="1"/>
  <c r="I47" i="23"/>
  <c r="P42" i="23"/>
  <c r="Q42" i="23" s="1"/>
  <c r="I42" i="23"/>
  <c r="P49" i="23"/>
  <c r="Q49" i="23" s="1"/>
  <c r="M39" i="23"/>
  <c r="I39" i="23"/>
  <c r="P39" i="23"/>
  <c r="Q39" i="23" s="1"/>
  <c r="P46" i="23"/>
  <c r="Q46" i="23" s="1"/>
  <c r="I50" i="23"/>
  <c r="P50" i="23"/>
  <c r="Q50" i="23" s="1"/>
  <c r="G84" i="23"/>
  <c r="G90" i="23"/>
  <c r="J96" i="23"/>
  <c r="J114" i="23" s="1"/>
  <c r="K114" i="23" s="1"/>
  <c r="J34" i="23"/>
  <c r="H84" i="23"/>
  <c r="H90" i="23"/>
  <c r="H108" i="23" s="1"/>
  <c r="J90" i="23"/>
  <c r="K90" i="23" s="1"/>
  <c r="K36" i="23"/>
  <c r="N80" i="23"/>
  <c r="O80" i="23" s="1"/>
  <c r="N52" i="23"/>
  <c r="O52" i="23" s="1"/>
  <c r="J24" i="23"/>
  <c r="J40" i="23"/>
  <c r="L40" i="23" s="1"/>
  <c r="M40" i="23" s="1"/>
  <c r="L67" i="23"/>
  <c r="M67" i="23" s="1"/>
  <c r="N73" i="23"/>
  <c r="O73" i="23" s="1"/>
  <c r="P80" i="23"/>
  <c r="Q80" i="23" s="1"/>
  <c r="N82" i="23"/>
  <c r="O82" i="23" s="1"/>
  <c r="N97" i="23"/>
  <c r="O97" i="23" s="1"/>
  <c r="N90" i="23"/>
  <c r="O90" i="23" s="1"/>
  <c r="J82" i="23"/>
  <c r="K82" i="23" s="1"/>
  <c r="N53" i="23"/>
  <c r="O53" i="23" s="1"/>
  <c r="H33" i="23"/>
  <c r="J25" i="23"/>
  <c r="G95" i="23"/>
  <c r="I40" i="23"/>
  <c r="H97" i="23"/>
  <c r="P97" i="23" s="1"/>
  <c r="Q97" i="23" s="1"/>
  <c r="N54" i="23"/>
  <c r="O54" i="23" s="1"/>
  <c r="H34" i="23"/>
  <c r="K17" i="23"/>
  <c r="P67" i="23"/>
  <c r="Q67" i="23" s="1"/>
  <c r="H95" i="23"/>
  <c r="I95" i="23" s="1"/>
  <c r="F101" i="23"/>
  <c r="N101" i="23" s="1"/>
  <c r="O101" i="23" s="1"/>
  <c r="G82" i="23"/>
  <c r="G99" i="23"/>
  <c r="J88" i="23"/>
  <c r="J106" i="23" s="1"/>
  <c r="K106" i="23" s="1"/>
  <c r="I44" i="23"/>
  <c r="H35" i="23"/>
  <c r="H89" i="23"/>
  <c r="H107" i="23" s="1"/>
  <c r="J95" i="23"/>
  <c r="J113" i="23" s="1"/>
  <c r="K113" i="23" s="1"/>
  <c r="G97" i="23"/>
  <c r="N36" i="23"/>
  <c r="O36" i="23" s="1"/>
  <c r="K41" i="23"/>
  <c r="N95" i="23"/>
  <c r="O95" i="23" s="1"/>
  <c r="J73" i="23"/>
  <c r="K73" i="23" s="1"/>
  <c r="H36" i="23"/>
  <c r="H37" i="23"/>
  <c r="H79" i="23"/>
  <c r="P79" i="23" s="1"/>
  <c r="Q79" i="23" s="1"/>
  <c r="G83" i="23"/>
  <c r="N89" i="23"/>
  <c r="O89" i="23" s="1"/>
  <c r="H98" i="23"/>
  <c r="F102" i="23"/>
  <c r="N102" i="23" s="1"/>
  <c r="O102" i="23" s="1"/>
  <c r="F109" i="23"/>
  <c r="N109" i="23" s="1"/>
  <c r="O109" i="23" s="1"/>
  <c r="M19" i="23"/>
  <c r="H13" i="23"/>
  <c r="I41" i="23"/>
  <c r="N59" i="23"/>
  <c r="O59" i="23" s="1"/>
  <c r="H38" i="23"/>
  <c r="J72" i="23"/>
  <c r="K72" i="23" s="1"/>
  <c r="J79" i="23"/>
  <c r="K79" i="23" s="1"/>
  <c r="K81" i="23"/>
  <c r="G87" i="23"/>
  <c r="N84" i="23"/>
  <c r="O84" i="23" s="1"/>
  <c r="G73" i="23"/>
  <c r="H82" i="23"/>
  <c r="N50" i="23"/>
  <c r="O50" i="23" s="1"/>
  <c r="L81" i="23"/>
  <c r="M81" i="23" s="1"/>
  <c r="J98" i="23"/>
  <c r="K84" i="23"/>
  <c r="J102" i="23"/>
  <c r="K102" i="23" s="1"/>
  <c r="N108" i="23"/>
  <c r="O108" i="23" s="1"/>
  <c r="G108" i="23"/>
  <c r="I96" i="23"/>
  <c r="L96" i="23"/>
  <c r="M96" i="23" s="1"/>
  <c r="H114" i="23"/>
  <c r="P96" i="23"/>
  <c r="Q96" i="23" s="1"/>
  <c r="N105" i="23"/>
  <c r="O105" i="23" s="1"/>
  <c r="G105" i="23"/>
  <c r="G111" i="23"/>
  <c r="N111" i="23"/>
  <c r="O111" i="23" s="1"/>
  <c r="N100" i="23"/>
  <c r="O100" i="23" s="1"/>
  <c r="G100" i="23"/>
  <c r="L73" i="23"/>
  <c r="M73" i="23" s="1"/>
  <c r="I73" i="23"/>
  <c r="P73" i="23"/>
  <c r="Q73" i="23" s="1"/>
  <c r="K97" i="23"/>
  <c r="J115" i="23"/>
  <c r="K115" i="23" s="1"/>
  <c r="I88" i="23"/>
  <c r="L88" i="23"/>
  <c r="M88" i="23" s="1"/>
  <c r="H106" i="23"/>
  <c r="P88" i="23"/>
  <c r="Q88" i="23" s="1"/>
  <c r="G112" i="23"/>
  <c r="N112" i="23"/>
  <c r="O112" i="23" s="1"/>
  <c r="K92" i="23"/>
  <c r="J110" i="23"/>
  <c r="K110" i="23" s="1"/>
  <c r="G103" i="23"/>
  <c r="N103" i="23"/>
  <c r="O103" i="23" s="1"/>
  <c r="P78" i="23"/>
  <c r="Q78" i="23" s="1"/>
  <c r="L78" i="23"/>
  <c r="M78" i="23" s="1"/>
  <c r="I78" i="23"/>
  <c r="N113" i="23"/>
  <c r="O113" i="23" s="1"/>
  <c r="G113" i="23"/>
  <c r="K89" i="23"/>
  <c r="J107" i="23"/>
  <c r="K107" i="23" s="1"/>
  <c r="G104" i="23"/>
  <c r="N104" i="23"/>
  <c r="O104" i="23" s="1"/>
  <c r="N116" i="23"/>
  <c r="O116" i="23" s="1"/>
  <c r="G116" i="23"/>
  <c r="H86" i="23"/>
  <c r="G93" i="23"/>
  <c r="L66" i="23"/>
  <c r="M66" i="23" s="1"/>
  <c r="G77" i="23"/>
  <c r="P81" i="23"/>
  <c r="Q81" i="23" s="1"/>
  <c r="H85" i="23"/>
  <c r="J86" i="23"/>
  <c r="N88" i="23"/>
  <c r="O88" i="23" s="1"/>
  <c r="H93" i="23"/>
  <c r="J94" i="23"/>
  <c r="N96" i="23"/>
  <c r="O96" i="23" s="1"/>
  <c r="G102" i="23"/>
  <c r="L71" i="23"/>
  <c r="M71" i="23" s="1"/>
  <c r="H77" i="23"/>
  <c r="J78" i="23"/>
  <c r="K78" i="23" s="1"/>
  <c r="G78" i="23"/>
  <c r="G76" i="23"/>
  <c r="J85" i="23"/>
  <c r="H92" i="23"/>
  <c r="J93" i="23"/>
  <c r="F107" i="23"/>
  <c r="F115" i="23"/>
  <c r="H116" i="23"/>
  <c r="H94" i="23"/>
  <c r="H76" i="23"/>
  <c r="J77" i="23"/>
  <c r="K77" i="23" s="1"/>
  <c r="I71" i="23"/>
  <c r="G85" i="23"/>
  <c r="P66" i="23"/>
  <c r="Q66" i="23" s="1"/>
  <c r="I69" i="23"/>
  <c r="G75" i="23"/>
  <c r="H83" i="23"/>
  <c r="N86" i="23"/>
  <c r="O86" i="23" s="1"/>
  <c r="H91" i="23"/>
  <c r="N94" i="23"/>
  <c r="O94" i="23" s="1"/>
  <c r="H99" i="23"/>
  <c r="F106" i="23"/>
  <c r="N110" i="23"/>
  <c r="O110" i="23" s="1"/>
  <c r="F114" i="23"/>
  <c r="H75" i="23"/>
  <c r="J76" i="23"/>
  <c r="K76" i="23" s="1"/>
  <c r="N78" i="23"/>
  <c r="O78" i="23" s="1"/>
  <c r="G74" i="23"/>
  <c r="J83" i="23"/>
  <c r="L84" i="23"/>
  <c r="M84" i="23" s="1"/>
  <c r="N85" i="23"/>
  <c r="O85" i="23" s="1"/>
  <c r="J91" i="23"/>
  <c r="N93" i="23"/>
  <c r="O93" i="23" s="1"/>
  <c r="G86" i="23"/>
  <c r="I68" i="23"/>
  <c r="L69" i="23"/>
  <c r="M69" i="23" s="1"/>
  <c r="H74" i="23"/>
  <c r="J75" i="23"/>
  <c r="K75" i="23" s="1"/>
  <c r="G94" i="23"/>
  <c r="G88" i="23"/>
  <c r="G96" i="23"/>
  <c r="K39" i="23"/>
  <c r="P45" i="23"/>
  <c r="Q45" i="23" s="1"/>
  <c r="I46" i="23"/>
  <c r="P43" i="23"/>
  <c r="Q43" i="23" s="1"/>
  <c r="M44" i="23"/>
  <c r="I49" i="23"/>
  <c r="I48" i="23"/>
  <c r="N41" i="23"/>
  <c r="O41" i="23" s="1"/>
  <c r="G41" i="23"/>
  <c r="G45" i="23"/>
  <c r="G47" i="23"/>
  <c r="N38" i="23"/>
  <c r="O38" i="23" s="1"/>
  <c r="N40" i="23"/>
  <c r="O40" i="23" s="1"/>
  <c r="K38" i="23"/>
  <c r="N45" i="23"/>
  <c r="O45" i="23" s="1"/>
  <c r="N37" i="23"/>
  <c r="O37" i="23" s="1"/>
  <c r="N55" i="23"/>
  <c r="O55" i="23" s="1"/>
  <c r="K37" i="23"/>
  <c r="N39" i="23"/>
  <c r="O39" i="23" s="1"/>
  <c r="N56" i="23"/>
  <c r="O56" i="23" s="1"/>
  <c r="G53" i="23"/>
  <c r="N44" i="23"/>
  <c r="O44" i="23" s="1"/>
  <c r="G48" i="23"/>
  <c r="K54" i="23"/>
  <c r="N49" i="23"/>
  <c r="O49" i="23" s="1"/>
  <c r="G46" i="23"/>
  <c r="G56" i="23"/>
  <c r="N33" i="23"/>
  <c r="O33" i="23" s="1"/>
  <c r="K35" i="23"/>
  <c r="K33" i="23"/>
  <c r="G35" i="23"/>
  <c r="N19" i="23"/>
  <c r="O19" i="23" s="1"/>
  <c r="G36" i="23"/>
  <c r="N34" i="23"/>
  <c r="O34" i="23" s="1"/>
  <c r="K20" i="23"/>
  <c r="G20" i="23"/>
  <c r="G17" i="23"/>
  <c r="M20" i="23"/>
  <c r="I18" i="23"/>
  <c r="P18" i="23"/>
  <c r="Q18" i="23" s="1"/>
  <c r="M18" i="23"/>
  <c r="I22" i="23"/>
  <c r="M22" i="23"/>
  <c r="P22" i="23"/>
  <c r="Q22" i="23" s="1"/>
  <c r="G19" i="23"/>
  <c r="N22" i="23"/>
  <c r="O22" i="23" s="1"/>
  <c r="N18" i="23"/>
  <c r="O18" i="23" s="1"/>
  <c r="K22" i="23"/>
  <c r="K18" i="23"/>
  <c r="G18" i="23"/>
  <c r="H17" i="23"/>
  <c r="G22" i="23"/>
  <c r="N17" i="23"/>
  <c r="O17" i="23" s="1"/>
  <c r="K19" i="23"/>
  <c r="N20" i="23"/>
  <c r="O20" i="23" s="1"/>
  <c r="P19" i="23"/>
  <c r="Q19" i="23" s="1"/>
  <c r="I19" i="23"/>
  <c r="K24" i="25"/>
  <c r="K23" i="25"/>
  <c r="K20" i="25"/>
  <c r="J20" i="25"/>
  <c r="K19" i="25"/>
  <c r="J19" i="25"/>
  <c r="K17" i="25"/>
  <c r="J17" i="25"/>
  <c r="K16" i="25"/>
  <c r="K15" i="25"/>
  <c r="K14" i="25"/>
  <c r="I20" i="23" l="1"/>
  <c r="L87" i="23"/>
  <c r="M87" i="23" s="1"/>
  <c r="L80" i="23"/>
  <c r="M80" i="23" s="1"/>
  <c r="K47" i="23"/>
  <c r="K53" i="23"/>
  <c r="K57" i="23"/>
  <c r="K49" i="23"/>
  <c r="J100" i="23"/>
  <c r="K100" i="23" s="1"/>
  <c r="K44" i="23"/>
  <c r="K56" i="23"/>
  <c r="K50" i="23"/>
  <c r="I79" i="23"/>
  <c r="K48" i="23"/>
  <c r="G42" i="23"/>
  <c r="P87" i="23"/>
  <c r="Q87" i="23" s="1"/>
  <c r="N43" i="23"/>
  <c r="O43" i="23" s="1"/>
  <c r="K51" i="23"/>
  <c r="K87" i="23"/>
  <c r="L79" i="23"/>
  <c r="M79" i="23" s="1"/>
  <c r="J43" i="23"/>
  <c r="L25" i="23"/>
  <c r="K45" i="23"/>
  <c r="L45" i="23"/>
  <c r="M45" i="23" s="1"/>
  <c r="K98" i="23"/>
  <c r="J117" i="23"/>
  <c r="L72" i="23"/>
  <c r="M72" i="23" s="1"/>
  <c r="P72" i="23"/>
  <c r="Q72" i="23" s="1"/>
  <c r="J52" i="23"/>
  <c r="L34" i="23"/>
  <c r="M34" i="23" s="1"/>
  <c r="H115" i="23"/>
  <c r="L115" i="23" s="1"/>
  <c r="M115" i="23" s="1"/>
  <c r="K58" i="23"/>
  <c r="L58" i="23"/>
  <c r="M58" i="23" s="1"/>
  <c r="P105" i="23"/>
  <c r="Q105" i="23" s="1"/>
  <c r="J42" i="23"/>
  <c r="L24" i="23"/>
  <c r="L105" i="23"/>
  <c r="M105" i="23" s="1"/>
  <c r="I72" i="23"/>
  <c r="K46" i="23"/>
  <c r="L46" i="23"/>
  <c r="M46" i="23" s="1"/>
  <c r="J108" i="23"/>
  <c r="K108" i="23" s="1"/>
  <c r="K96" i="23"/>
  <c r="I87" i="23"/>
  <c r="J116" i="23"/>
  <c r="K116" i="23" s="1"/>
  <c r="K88" i="23"/>
  <c r="J59" i="23"/>
  <c r="K40" i="23"/>
  <c r="P36" i="23"/>
  <c r="Q36" i="23" s="1"/>
  <c r="G59" i="23"/>
  <c r="M57" i="23"/>
  <c r="P57" i="23"/>
  <c r="Q57" i="23" s="1"/>
  <c r="I57" i="23"/>
  <c r="G109" i="23"/>
  <c r="I89" i="23"/>
  <c r="L89" i="23"/>
  <c r="M89" i="23" s="1"/>
  <c r="L90" i="23"/>
  <c r="M90" i="23" s="1"/>
  <c r="P90" i="23"/>
  <c r="Q90" i="23" s="1"/>
  <c r="I90" i="23"/>
  <c r="L98" i="23"/>
  <c r="M98" i="23" s="1"/>
  <c r="I98" i="23"/>
  <c r="P98" i="23"/>
  <c r="Q98" i="23" s="1"/>
  <c r="I35" i="23"/>
  <c r="M35" i="23"/>
  <c r="P35" i="23"/>
  <c r="Q35" i="23" s="1"/>
  <c r="M33" i="23"/>
  <c r="P33" i="23"/>
  <c r="Q33" i="23" s="1"/>
  <c r="I33" i="23"/>
  <c r="P84" i="23"/>
  <c r="Q84" i="23" s="1"/>
  <c r="H102" i="23"/>
  <c r="I84" i="23"/>
  <c r="I34" i="23"/>
  <c r="P34" i="23"/>
  <c r="Q34" i="23" s="1"/>
  <c r="G101" i="23"/>
  <c r="K55" i="23"/>
  <c r="G55" i="23"/>
  <c r="G57" i="23"/>
  <c r="N57" i="23"/>
  <c r="O57" i="23" s="1"/>
  <c r="L95" i="23"/>
  <c r="M95" i="23" s="1"/>
  <c r="P59" i="23"/>
  <c r="Q59" i="23" s="1"/>
  <c r="I59" i="23"/>
  <c r="I97" i="23"/>
  <c r="L97" i="23"/>
  <c r="M97" i="23" s="1"/>
  <c r="P95" i="23"/>
  <c r="Q95" i="23" s="1"/>
  <c r="K95" i="23"/>
  <c r="L82" i="23"/>
  <c r="M82" i="23" s="1"/>
  <c r="I82" i="23"/>
  <c r="P82" i="23"/>
  <c r="Q82" i="23" s="1"/>
  <c r="I36" i="23"/>
  <c r="M36" i="23"/>
  <c r="H113" i="23"/>
  <c r="I113" i="23" s="1"/>
  <c r="H100" i="23"/>
  <c r="P100" i="23" s="1"/>
  <c r="Q100" i="23" s="1"/>
  <c r="M38" i="23"/>
  <c r="I38" i="23"/>
  <c r="P38" i="23"/>
  <c r="Q38" i="23" s="1"/>
  <c r="G54" i="23"/>
  <c r="G52" i="23"/>
  <c r="K34" i="23"/>
  <c r="P89" i="23"/>
  <c r="Q89" i="23" s="1"/>
  <c r="I37" i="23"/>
  <c r="M37" i="23"/>
  <c r="P37" i="23"/>
  <c r="Q37" i="23" s="1"/>
  <c r="P93" i="23"/>
  <c r="Q93" i="23" s="1"/>
  <c r="L93" i="23"/>
  <c r="M93" i="23" s="1"/>
  <c r="I93" i="23"/>
  <c r="H111" i="23"/>
  <c r="N107" i="23"/>
  <c r="O107" i="23" s="1"/>
  <c r="G107" i="23"/>
  <c r="L113" i="23"/>
  <c r="M113" i="23" s="1"/>
  <c r="L114" i="23"/>
  <c r="M114" i="23" s="1"/>
  <c r="I114" i="23"/>
  <c r="P114" i="23"/>
  <c r="Q114" i="23" s="1"/>
  <c r="N115" i="23"/>
  <c r="O115" i="23" s="1"/>
  <c r="G115" i="23"/>
  <c r="K83" i="23"/>
  <c r="J101" i="23"/>
  <c r="K101" i="23" s="1"/>
  <c r="L74" i="23"/>
  <c r="M74" i="23" s="1"/>
  <c r="P74" i="23"/>
  <c r="Q74" i="23" s="1"/>
  <c r="I74" i="23"/>
  <c r="P85" i="23"/>
  <c r="Q85" i="23" s="1"/>
  <c r="H103" i="23"/>
  <c r="L85" i="23"/>
  <c r="M85" i="23" s="1"/>
  <c r="I85" i="23"/>
  <c r="H104" i="23"/>
  <c r="P86" i="23"/>
  <c r="Q86" i="23" s="1"/>
  <c r="I86" i="23"/>
  <c r="L86" i="23"/>
  <c r="M86" i="23" s="1"/>
  <c r="P116" i="23"/>
  <c r="Q116" i="23" s="1"/>
  <c r="L116" i="23"/>
  <c r="M116" i="23" s="1"/>
  <c r="I116" i="23"/>
  <c r="P108" i="23"/>
  <c r="Q108" i="23" s="1"/>
  <c r="L108" i="23"/>
  <c r="M108" i="23" s="1"/>
  <c r="I108" i="23"/>
  <c r="J112" i="23"/>
  <c r="K112" i="23" s="1"/>
  <c r="K94" i="23"/>
  <c r="L75" i="23"/>
  <c r="M75" i="23" s="1"/>
  <c r="P75" i="23"/>
  <c r="Q75" i="23" s="1"/>
  <c r="I75" i="23"/>
  <c r="G114" i="23"/>
  <c r="N114" i="23"/>
  <c r="O114" i="23" s="1"/>
  <c r="J104" i="23"/>
  <c r="K104" i="23" s="1"/>
  <c r="K86" i="23"/>
  <c r="L107" i="23"/>
  <c r="M107" i="23" s="1"/>
  <c r="I107" i="23"/>
  <c r="P107" i="23"/>
  <c r="Q107" i="23" s="1"/>
  <c r="L99" i="23"/>
  <c r="M99" i="23" s="1"/>
  <c r="P99" i="23"/>
  <c r="Q99" i="23" s="1"/>
  <c r="I99" i="23"/>
  <c r="P91" i="23"/>
  <c r="Q91" i="23" s="1"/>
  <c r="L91" i="23"/>
  <c r="M91" i="23" s="1"/>
  <c r="I91" i="23"/>
  <c r="H109" i="23"/>
  <c r="J111" i="23"/>
  <c r="K111" i="23" s="1"/>
  <c r="K93" i="23"/>
  <c r="P92" i="23"/>
  <c r="Q92" i="23" s="1"/>
  <c r="L92" i="23"/>
  <c r="M92" i="23" s="1"/>
  <c r="I92" i="23"/>
  <c r="H110" i="23"/>
  <c r="G106" i="23"/>
  <c r="N106" i="23"/>
  <c r="O106" i="23" s="1"/>
  <c r="P76" i="23"/>
  <c r="Q76" i="23" s="1"/>
  <c r="L76" i="23"/>
  <c r="M76" i="23" s="1"/>
  <c r="I76" i="23"/>
  <c r="P83" i="23"/>
  <c r="Q83" i="23" s="1"/>
  <c r="L83" i="23"/>
  <c r="M83" i="23" s="1"/>
  <c r="I83" i="23"/>
  <c r="H101" i="23"/>
  <c r="J103" i="23"/>
  <c r="K103" i="23" s="1"/>
  <c r="K85" i="23"/>
  <c r="L106" i="23"/>
  <c r="M106" i="23" s="1"/>
  <c r="I106" i="23"/>
  <c r="P106" i="23"/>
  <c r="Q106" i="23" s="1"/>
  <c r="K91" i="23"/>
  <c r="J109" i="23"/>
  <c r="K109" i="23" s="1"/>
  <c r="H112" i="23"/>
  <c r="P94" i="23"/>
  <c r="Q94" i="23" s="1"/>
  <c r="L94" i="23"/>
  <c r="M94" i="23" s="1"/>
  <c r="I94" i="23"/>
  <c r="P77" i="23"/>
  <c r="Q77" i="23" s="1"/>
  <c r="L77" i="23"/>
  <c r="M77" i="23" s="1"/>
  <c r="I77" i="23"/>
  <c r="P17" i="23"/>
  <c r="Q17" i="23" s="1"/>
  <c r="M17" i="23"/>
  <c r="I17" i="23"/>
  <c r="L245" i="25"/>
  <c r="D60" i="26"/>
  <c r="D58" i="26"/>
  <c r="D57" i="26"/>
  <c r="I115" i="23" l="1"/>
  <c r="P113" i="23"/>
  <c r="Q113" i="23" s="1"/>
  <c r="I100" i="23"/>
  <c r="K52" i="23"/>
  <c r="L52" i="23"/>
  <c r="M52" i="23" s="1"/>
  <c r="K42" i="23"/>
  <c r="L42" i="23"/>
  <c r="M42" i="23" s="1"/>
  <c r="P115" i="23"/>
  <c r="Q115" i="23" s="1"/>
  <c r="K43" i="23"/>
  <c r="L43" i="23"/>
  <c r="M43" i="23" s="1"/>
  <c r="K59" i="23"/>
  <c r="L59" i="23"/>
  <c r="M59" i="23" s="1"/>
  <c r="L117" i="23"/>
  <c r="M117" i="23" s="1"/>
  <c r="K117" i="23"/>
  <c r="L100" i="23"/>
  <c r="M100" i="23" s="1"/>
  <c r="P52" i="23"/>
  <c r="Q52" i="23" s="1"/>
  <c r="I52" i="23"/>
  <c r="I55" i="23"/>
  <c r="P55" i="23"/>
  <c r="Q55" i="23" s="1"/>
  <c r="M55" i="23"/>
  <c r="P51" i="23"/>
  <c r="Q51" i="23" s="1"/>
  <c r="I51" i="23"/>
  <c r="M51" i="23"/>
  <c r="I56" i="23"/>
  <c r="P56" i="23"/>
  <c r="Q56" i="23" s="1"/>
  <c r="M56" i="23"/>
  <c r="P53" i="23"/>
  <c r="Q53" i="23" s="1"/>
  <c r="M53" i="23"/>
  <c r="I53" i="23"/>
  <c r="M54" i="23"/>
  <c r="P54" i="23"/>
  <c r="Q54" i="23" s="1"/>
  <c r="I54" i="23"/>
  <c r="P102" i="23"/>
  <c r="Q102" i="23" s="1"/>
  <c r="L102" i="23"/>
  <c r="M102" i="23" s="1"/>
  <c r="I102" i="23"/>
  <c r="D59" i="26"/>
  <c r="I103" i="23"/>
  <c r="P103" i="23"/>
  <c r="Q103" i="23" s="1"/>
  <c r="L103" i="23"/>
  <c r="M103" i="23" s="1"/>
  <c r="I111" i="23"/>
  <c r="P111" i="23"/>
  <c r="Q111" i="23" s="1"/>
  <c r="L111" i="23"/>
  <c r="M111" i="23" s="1"/>
  <c r="P110" i="23"/>
  <c r="Q110" i="23" s="1"/>
  <c r="L110" i="23"/>
  <c r="M110" i="23" s="1"/>
  <c r="I110" i="23"/>
  <c r="I104" i="23"/>
  <c r="L104" i="23"/>
  <c r="M104" i="23" s="1"/>
  <c r="P104" i="23"/>
  <c r="Q104" i="23" s="1"/>
  <c r="P109" i="23"/>
  <c r="Q109" i="23" s="1"/>
  <c r="L109" i="23"/>
  <c r="M109" i="23" s="1"/>
  <c r="I109" i="23"/>
  <c r="P101" i="23"/>
  <c r="Q101" i="23" s="1"/>
  <c r="L101" i="23"/>
  <c r="M101" i="23" s="1"/>
  <c r="I101" i="23"/>
  <c r="I112" i="23"/>
  <c r="L112" i="23"/>
  <c r="M112" i="23" s="1"/>
  <c r="P112" i="23"/>
  <c r="Q112" i="23" s="1"/>
  <c r="F39" i="25" l="1"/>
  <c r="E39" i="25"/>
  <c r="G39" i="25" l="1"/>
  <c r="F274" i="25"/>
  <c r="F263" i="25"/>
  <c r="E278" i="25"/>
  <c r="E277" i="25"/>
  <c r="E276" i="25"/>
  <c r="E275" i="25"/>
  <c r="E274" i="25"/>
  <c r="E273" i="25"/>
  <c r="E272" i="25"/>
  <c r="E271" i="25"/>
  <c r="E270" i="25"/>
  <c r="E264" i="25"/>
  <c r="E263" i="25"/>
  <c r="E262" i="25"/>
  <c r="E261" i="25"/>
  <c r="E260" i="25"/>
  <c r="E259" i="25"/>
  <c r="F278" i="25"/>
  <c r="F277" i="25"/>
  <c r="F270" i="25"/>
  <c r="G255" i="25" s="1"/>
  <c r="D270" i="25"/>
  <c r="F259" i="25"/>
  <c r="G254" i="25" s="1"/>
  <c r="B193" i="24"/>
  <c r="B194" i="24"/>
  <c r="B195" i="24"/>
  <c r="B192" i="24"/>
  <c r="J119" i="25"/>
  <c r="E2" i="26"/>
  <c r="E76" i="26" s="1"/>
  <c r="E25" i="26" l="1"/>
  <c r="E41" i="26"/>
  <c r="H68" i="30" s="1"/>
  <c r="E73" i="26"/>
  <c r="E21" i="26"/>
  <c r="E70" i="26"/>
  <c r="E10" i="26"/>
  <c r="E26" i="26"/>
  <c r="E42" i="26"/>
  <c r="E74" i="26"/>
  <c r="E69" i="26"/>
  <c r="E39" i="26"/>
  <c r="E24" i="26"/>
  <c r="E72" i="26"/>
  <c r="E11" i="26"/>
  <c r="E27" i="26"/>
  <c r="E43" i="26"/>
  <c r="E75" i="26"/>
  <c r="E51" i="26"/>
  <c r="E23" i="26"/>
  <c r="E12" i="26"/>
  <c r="E28" i="26"/>
  <c r="E44" i="26"/>
  <c r="E77" i="26"/>
  <c r="E67" i="26"/>
  <c r="E68" i="26"/>
  <c r="E55" i="26"/>
  <c r="E13" i="26"/>
  <c r="E29" i="26"/>
  <c r="E45" i="26"/>
  <c r="E61" i="26"/>
  <c r="H43" i="30" s="1"/>
  <c r="E78" i="26"/>
  <c r="E35" i="26"/>
  <c r="E37" i="26"/>
  <c r="E22" i="26"/>
  <c r="E14" i="26"/>
  <c r="E30" i="26"/>
  <c r="E46" i="26"/>
  <c r="E62" i="26"/>
  <c r="E79" i="26"/>
  <c r="E40" i="26"/>
  <c r="E15" i="26"/>
  <c r="E31" i="26"/>
  <c r="E47" i="26"/>
  <c r="E63" i="26"/>
  <c r="E80" i="26"/>
  <c r="E36" i="26"/>
  <c r="E54" i="26"/>
  <c r="H235" i="25" s="1"/>
  <c r="E16" i="26"/>
  <c r="E32" i="26"/>
  <c r="E48" i="26"/>
  <c r="E64" i="26"/>
  <c r="E81" i="26"/>
  <c r="E17" i="26"/>
  <c r="E33" i="26"/>
  <c r="E49" i="26"/>
  <c r="E65" i="26"/>
  <c r="E82" i="26"/>
  <c r="E52" i="26"/>
  <c r="E53" i="26"/>
  <c r="E18" i="26"/>
  <c r="H66" i="30" s="1"/>
  <c r="E34" i="26"/>
  <c r="E50" i="26"/>
  <c r="E66" i="26"/>
  <c r="E83" i="26"/>
  <c r="E20" i="26"/>
  <c r="E38" i="26"/>
  <c r="E71" i="26"/>
  <c r="E19" i="26"/>
  <c r="E56" i="26"/>
  <c r="E84" i="26"/>
  <c r="E58" i="26"/>
  <c r="E57" i="26"/>
  <c r="E60" i="26"/>
  <c r="E59" i="26"/>
  <c r="F83" i="26"/>
  <c r="F82" i="26"/>
  <c r="F81" i="26"/>
  <c r="F69" i="26"/>
  <c r="F16" i="26"/>
  <c r="F20" i="26"/>
  <c r="F38" i="26"/>
  <c r="F77" i="26"/>
  <c r="F22" i="26"/>
  <c r="F39" i="26"/>
  <c r="F78" i="26"/>
  <c r="F40" i="26"/>
  <c r="F61" i="26"/>
  <c r="F79" i="26"/>
  <c r="F25" i="26"/>
  <c r="F41" i="26"/>
  <c r="F62" i="26"/>
  <c r="F80" i="26"/>
  <c r="F26" i="26"/>
  <c r="F43" i="26"/>
  <c r="F63" i="26"/>
  <c r="H44" i="30" s="1"/>
  <c r="K44" i="30" s="1"/>
  <c r="F75" i="26"/>
  <c r="H48" i="30" s="1"/>
  <c r="F27" i="26"/>
  <c r="H36" i="30" s="1"/>
  <c r="F46" i="26"/>
  <c r="H82" i="30" s="1"/>
  <c r="F64" i="26"/>
  <c r="F28" i="26"/>
  <c r="F49" i="26"/>
  <c r="F65" i="26"/>
  <c r="H45" i="30" s="1"/>
  <c r="K45" i="30" s="1"/>
  <c r="F10" i="26"/>
  <c r="F29" i="26"/>
  <c r="H34" i="30" s="1"/>
  <c r="F50" i="26"/>
  <c r="F66" i="26"/>
  <c r="F19" i="26"/>
  <c r="F11" i="26"/>
  <c r="F30" i="26"/>
  <c r="F51" i="26"/>
  <c r="H81" i="30" s="1"/>
  <c r="K81" i="30" s="1"/>
  <c r="F67" i="26"/>
  <c r="F12" i="26"/>
  <c r="F31" i="26"/>
  <c r="F52" i="26"/>
  <c r="F68" i="26"/>
  <c r="F36" i="26"/>
  <c r="F13" i="26"/>
  <c r="F32" i="26"/>
  <c r="F53" i="26"/>
  <c r="F70" i="26"/>
  <c r="F14" i="26"/>
  <c r="F33" i="26"/>
  <c r="H35" i="30" s="1"/>
  <c r="F54" i="26"/>
  <c r="K235" i="25" s="1"/>
  <c r="F71" i="26"/>
  <c r="F74" i="26"/>
  <c r="F37" i="26"/>
  <c r="F15" i="26"/>
  <c r="F34" i="26"/>
  <c r="F55" i="26"/>
  <c r="F72" i="26"/>
  <c r="F18" i="26"/>
  <c r="F17" i="26"/>
  <c r="F35" i="26"/>
  <c r="F56" i="26"/>
  <c r="F73" i="26"/>
  <c r="F60" i="26"/>
  <c r="F23" i="26"/>
  <c r="F58" i="26"/>
  <c r="F57" i="26"/>
  <c r="F59" i="26"/>
  <c r="H42" i="30" s="1"/>
  <c r="F8" i="26"/>
  <c r="F7" i="26"/>
  <c r="N252" i="25"/>
  <c r="E8" i="26"/>
  <c r="E7" i="26"/>
  <c r="H270" i="25"/>
  <c r="N165" i="19"/>
  <c r="Y165" i="19"/>
  <c r="AB165" i="19" s="1"/>
  <c r="N166" i="19"/>
  <c r="Y166" i="19"/>
  <c r="AB166" i="19" s="1"/>
  <c r="N167" i="19"/>
  <c r="Y167" i="19"/>
  <c r="AB167" i="19" s="1"/>
  <c r="N168" i="19"/>
  <c r="Y168" i="19"/>
  <c r="AB168" i="19" s="1"/>
  <c r="N169" i="19"/>
  <c r="Y169" i="19"/>
  <c r="AB169" i="19" s="1"/>
  <c r="N196" i="19"/>
  <c r="Y196" i="19"/>
  <c r="AB196" i="19" s="1"/>
  <c r="N82" i="19"/>
  <c r="Y82" i="19"/>
  <c r="AB82" i="19" s="1"/>
  <c r="N83" i="19"/>
  <c r="Y83" i="19"/>
  <c r="AB83" i="19" s="1"/>
  <c r="N84" i="19"/>
  <c r="Y84" i="19"/>
  <c r="AB84" i="19" s="1"/>
  <c r="N170" i="19"/>
  <c r="Y170" i="19"/>
  <c r="AB170" i="19" s="1"/>
  <c r="N76" i="19"/>
  <c r="Y76" i="19"/>
  <c r="AB76" i="19" s="1"/>
  <c r="N77" i="19"/>
  <c r="Y77" i="19"/>
  <c r="AB77" i="19" s="1"/>
  <c r="N78" i="19"/>
  <c r="Y78" i="19"/>
  <c r="AB78" i="19" s="1"/>
  <c r="N79" i="19"/>
  <c r="Y79" i="19"/>
  <c r="AB79" i="19" s="1"/>
  <c r="N136" i="19"/>
  <c r="Y136" i="19"/>
  <c r="AB136" i="19" s="1"/>
  <c r="N137" i="19"/>
  <c r="Y137" i="19"/>
  <c r="AB137" i="19" s="1"/>
  <c r="N138" i="19"/>
  <c r="Y138" i="19"/>
  <c r="AB138" i="19" s="1"/>
  <c r="N139" i="19"/>
  <c r="Y139" i="19"/>
  <c r="AB139" i="19" s="1"/>
  <c r="N140" i="19"/>
  <c r="Y140" i="19"/>
  <c r="AB140" i="19" s="1"/>
  <c r="N141" i="19"/>
  <c r="Y141" i="19"/>
  <c r="AB141" i="19" s="1"/>
  <c r="N142" i="19"/>
  <c r="Y142" i="19"/>
  <c r="AB142" i="19" s="1"/>
  <c r="N143" i="19"/>
  <c r="Y143" i="19"/>
  <c r="AB143" i="19" s="1"/>
  <c r="N144" i="19"/>
  <c r="Y144" i="19"/>
  <c r="AB144" i="19" s="1"/>
  <c r="N145" i="19"/>
  <c r="Y145" i="19"/>
  <c r="AB145" i="19" s="1"/>
  <c r="N146" i="19"/>
  <c r="Y146" i="19"/>
  <c r="AB146" i="19" s="1"/>
  <c r="N147" i="19"/>
  <c r="Y147" i="19"/>
  <c r="AB147" i="19" s="1"/>
  <c r="N148" i="19"/>
  <c r="Y148" i="19"/>
  <c r="AB148" i="19" s="1"/>
  <c r="N113" i="19"/>
  <c r="Y113" i="19"/>
  <c r="AB113" i="19" s="1"/>
  <c r="N114" i="19"/>
  <c r="Y114" i="19"/>
  <c r="AB114" i="19" s="1"/>
  <c r="N115" i="19"/>
  <c r="Y115" i="19"/>
  <c r="AB115" i="19" s="1"/>
  <c r="N116" i="19"/>
  <c r="Y116" i="19"/>
  <c r="AB116" i="19" s="1"/>
  <c r="N117" i="19"/>
  <c r="Y117" i="19"/>
  <c r="AB117" i="19" s="1"/>
  <c r="N118" i="19"/>
  <c r="Y118" i="19"/>
  <c r="AB118" i="19" s="1"/>
  <c r="N119" i="19"/>
  <c r="Y119" i="19"/>
  <c r="AB119" i="19" s="1"/>
  <c r="N120" i="19"/>
  <c r="Y120" i="19"/>
  <c r="AB120" i="19" s="1"/>
  <c r="N121" i="19"/>
  <c r="Y121" i="19"/>
  <c r="AB121" i="19" s="1"/>
  <c r="N122" i="19"/>
  <c r="Y122" i="19"/>
  <c r="AB122" i="19" s="1"/>
  <c r="N123" i="19"/>
  <c r="Y123" i="19"/>
  <c r="AB123" i="19" s="1"/>
  <c r="N124" i="19"/>
  <c r="Y124" i="19"/>
  <c r="AB124" i="19" s="1"/>
  <c r="N125" i="19"/>
  <c r="Y125" i="19"/>
  <c r="AB125" i="19" s="1"/>
  <c r="N126" i="19"/>
  <c r="Y126" i="19"/>
  <c r="AB126" i="19" s="1"/>
  <c r="N127" i="19"/>
  <c r="Y127" i="19"/>
  <c r="AB127" i="19" s="1"/>
  <c r="N128" i="19"/>
  <c r="Y128" i="19"/>
  <c r="AB128" i="19" s="1"/>
  <c r="N129" i="19"/>
  <c r="Y129" i="19"/>
  <c r="AB129" i="19" s="1"/>
  <c r="N130" i="19"/>
  <c r="Y130" i="19"/>
  <c r="AB130" i="19" s="1"/>
  <c r="N161" i="19"/>
  <c r="Y161" i="19"/>
  <c r="AB161" i="19" s="1"/>
  <c r="N187" i="19"/>
  <c r="Y187" i="19"/>
  <c r="AB187" i="19" s="1"/>
  <c r="N188" i="19"/>
  <c r="Y188" i="19"/>
  <c r="AB188" i="19" s="1"/>
  <c r="N189" i="19"/>
  <c r="Y189" i="19"/>
  <c r="AB189" i="19" s="1"/>
  <c r="N190" i="19"/>
  <c r="Y190" i="19"/>
  <c r="AB190" i="19" s="1"/>
  <c r="N191" i="19"/>
  <c r="Y191" i="19"/>
  <c r="AB191" i="19" s="1"/>
  <c r="N94" i="19"/>
  <c r="E74" i="30" s="1"/>
  <c r="Y94" i="19"/>
  <c r="AB94" i="19" s="1"/>
  <c r="N52" i="19"/>
  <c r="Y52" i="19"/>
  <c r="AB52" i="19" s="1"/>
  <c r="N48" i="19"/>
  <c r="Y48" i="19"/>
  <c r="AB48" i="19" s="1"/>
  <c r="N34" i="19"/>
  <c r="Y34" i="19"/>
  <c r="AB34" i="19" s="1"/>
  <c r="N33" i="19"/>
  <c r="Y33" i="19"/>
  <c r="AB33" i="19" s="1"/>
  <c r="M6" i="19"/>
  <c r="M17" i="19"/>
  <c r="Y17" i="19" s="1"/>
  <c r="AB17" i="19" s="1"/>
  <c r="M16" i="19"/>
  <c r="M15" i="19"/>
  <c r="M12" i="19"/>
  <c r="K17" i="19"/>
  <c r="M11" i="19"/>
  <c r="M10" i="19"/>
  <c r="H75" i="25" l="1"/>
  <c r="K75" i="25" s="1"/>
  <c r="H75" i="30"/>
  <c r="K75" i="30" s="1"/>
  <c r="H74" i="25"/>
  <c r="K74" i="25" s="1"/>
  <c r="H74" i="30"/>
  <c r="K74" i="30" s="1"/>
  <c r="H77" i="25"/>
  <c r="K77" i="25" s="1"/>
  <c r="H77" i="30"/>
  <c r="K77" i="30" s="1"/>
  <c r="H76" i="25"/>
  <c r="K76" i="25" s="1"/>
  <c r="H76" i="30"/>
  <c r="K76" i="30" s="1"/>
  <c r="I74" i="30"/>
  <c r="L74" i="30" s="1"/>
  <c r="F98" i="36" s="1"/>
  <c r="J74" i="30"/>
  <c r="K61" i="38"/>
  <c r="L61" i="38" s="1"/>
  <c r="K62" i="42"/>
  <c r="L62" i="42" s="1"/>
  <c r="K60" i="42"/>
  <c r="L60" i="42" s="1"/>
  <c r="K62" i="41"/>
  <c r="L62" i="41" s="1"/>
  <c r="K25" i="41"/>
  <c r="L25" i="41" s="1"/>
  <c r="K25" i="42"/>
  <c r="L25" i="42" s="1"/>
  <c r="K60" i="38"/>
  <c r="L60" i="38" s="1"/>
  <c r="K25" i="38"/>
  <c r="L25" i="38" s="1"/>
  <c r="K60" i="41"/>
  <c r="L60" i="41" s="1"/>
  <c r="K59" i="42"/>
  <c r="L59" i="42" s="1"/>
  <c r="K61" i="41"/>
  <c r="L61" i="41" s="1"/>
  <c r="K59" i="38"/>
  <c r="L59" i="38" s="1"/>
  <c r="K61" i="42"/>
  <c r="L61" i="42" s="1"/>
  <c r="K59" i="41"/>
  <c r="L59" i="41" s="1"/>
  <c r="K62" i="38"/>
  <c r="L62" i="38" s="1"/>
  <c r="H59" i="30"/>
  <c r="K37" i="38"/>
  <c r="L37" i="38" s="1"/>
  <c r="K37" i="42"/>
  <c r="L37" i="42" s="1"/>
  <c r="K37" i="41"/>
  <c r="L37" i="41" s="1"/>
  <c r="K35" i="30"/>
  <c r="H25" i="30"/>
  <c r="H25" i="41"/>
  <c r="I25" i="41" s="1"/>
  <c r="H25" i="38"/>
  <c r="I25" i="38" s="1"/>
  <c r="H25" i="42"/>
  <c r="I25" i="42" s="1"/>
  <c r="K34" i="30"/>
  <c r="H37" i="41"/>
  <c r="I37" i="41" s="1"/>
  <c r="H37" i="42"/>
  <c r="I37" i="42" s="1"/>
  <c r="H37" i="38"/>
  <c r="I37" i="38" s="1"/>
  <c r="H37" i="30"/>
  <c r="K35" i="41"/>
  <c r="L35" i="41" s="1"/>
  <c r="K35" i="38"/>
  <c r="L35" i="38" s="1"/>
  <c r="K35" i="42"/>
  <c r="L35" i="42" s="1"/>
  <c r="H26" i="30"/>
  <c r="H61" i="38"/>
  <c r="I61" i="38" s="1"/>
  <c r="H60" i="42"/>
  <c r="I60" i="42" s="1"/>
  <c r="H62" i="41"/>
  <c r="I62" i="41" s="1"/>
  <c r="H26" i="38"/>
  <c r="I26" i="38" s="1"/>
  <c r="H64" i="42"/>
  <c r="I64" i="42" s="1"/>
  <c r="H60" i="41"/>
  <c r="I60" i="41" s="1"/>
  <c r="H60" i="38"/>
  <c r="I60" i="38" s="1"/>
  <c r="H65" i="38"/>
  <c r="I65" i="38" s="1"/>
  <c r="H62" i="42"/>
  <c r="I62" i="42" s="1"/>
  <c r="H59" i="42"/>
  <c r="I59" i="42" s="1"/>
  <c r="H26" i="42"/>
  <c r="I26" i="42" s="1"/>
  <c r="H61" i="41"/>
  <c r="I61" i="41" s="1"/>
  <c r="H63" i="42"/>
  <c r="I63" i="42" s="1"/>
  <c r="H65" i="41"/>
  <c r="I65" i="41" s="1"/>
  <c r="H59" i="38"/>
  <c r="I59" i="38" s="1"/>
  <c r="H64" i="38"/>
  <c r="I64" i="38" s="1"/>
  <c r="H64" i="41"/>
  <c r="I64" i="41" s="1"/>
  <c r="H63" i="38"/>
  <c r="I63" i="38" s="1"/>
  <c r="H65" i="42"/>
  <c r="I65" i="42" s="1"/>
  <c r="H63" i="41"/>
  <c r="I63" i="41" s="1"/>
  <c r="H61" i="42"/>
  <c r="I61" i="42" s="1"/>
  <c r="H59" i="41"/>
  <c r="I59" i="41" s="1"/>
  <c r="H26" i="41"/>
  <c r="I26" i="41" s="1"/>
  <c r="H62" i="38"/>
  <c r="I62" i="38" s="1"/>
  <c r="H34" i="42"/>
  <c r="H34" i="41"/>
  <c r="H34" i="38"/>
  <c r="K48" i="30"/>
  <c r="K26" i="38"/>
  <c r="L26" i="38" s="1"/>
  <c r="K64" i="42"/>
  <c r="L64" i="42" s="1"/>
  <c r="K63" i="38"/>
  <c r="L63" i="38" s="1"/>
  <c r="K65" i="38"/>
  <c r="L65" i="38" s="1"/>
  <c r="K26" i="42"/>
  <c r="L26" i="42" s="1"/>
  <c r="K64" i="41"/>
  <c r="L64" i="41" s="1"/>
  <c r="K63" i="42"/>
  <c r="L63" i="42" s="1"/>
  <c r="K65" i="41"/>
  <c r="L65" i="41" s="1"/>
  <c r="K64" i="38"/>
  <c r="L64" i="38" s="1"/>
  <c r="K26" i="41"/>
  <c r="L26" i="41" s="1"/>
  <c r="K65" i="42"/>
  <c r="L65" i="42" s="1"/>
  <c r="K63" i="41"/>
  <c r="L63" i="41" s="1"/>
  <c r="H63" i="30"/>
  <c r="K34" i="42"/>
  <c r="K34" i="38"/>
  <c r="K34" i="41"/>
  <c r="H46" i="30"/>
  <c r="K82" i="30"/>
  <c r="I82" i="30"/>
  <c r="AG8" i="25"/>
  <c r="AK8" i="25" s="1"/>
  <c r="AG8" i="30"/>
  <c r="K36" i="30"/>
  <c r="H35" i="41"/>
  <c r="I35" i="41" s="1"/>
  <c r="H35" i="38"/>
  <c r="I35" i="38" s="1"/>
  <c r="H35" i="42"/>
  <c r="I35" i="42" s="1"/>
  <c r="W17" i="19"/>
  <c r="N17" i="19" s="1"/>
  <c r="I276" i="25"/>
  <c r="I275" i="25"/>
  <c r="N248" i="25"/>
  <c r="N249" i="25" s="1"/>
  <c r="K243" i="25" s="1"/>
  <c r="N198" i="19"/>
  <c r="L252" i="25" s="1"/>
  <c r="B35" i="21"/>
  <c r="G278" i="25"/>
  <c r="G277" i="25"/>
  <c r="G274" i="25"/>
  <c r="G270" i="25"/>
  <c r="D278" i="25"/>
  <c r="H278" i="25" s="1"/>
  <c r="D277" i="25"/>
  <c r="H277" i="25" s="1"/>
  <c r="C278" i="25"/>
  <c r="C277" i="25"/>
  <c r="D276" i="25"/>
  <c r="H276" i="25" s="1"/>
  <c r="D275" i="25"/>
  <c r="H275" i="25" s="1"/>
  <c r="D274" i="25"/>
  <c r="H274" i="25" s="1"/>
  <c r="D273" i="25"/>
  <c r="H273" i="25" s="1"/>
  <c r="D272" i="25"/>
  <c r="H272" i="25" s="1"/>
  <c r="D271" i="25"/>
  <c r="H271" i="25" s="1"/>
  <c r="G263" i="25"/>
  <c r="D264" i="25"/>
  <c r="H264" i="25" s="1"/>
  <c r="D263" i="25"/>
  <c r="H263" i="25" s="1"/>
  <c r="C264" i="25"/>
  <c r="C263" i="25"/>
  <c r="I255" i="25"/>
  <c r="H247" i="25" s="1"/>
  <c r="I247" i="25" s="1"/>
  <c r="I254" i="25"/>
  <c r="H246" i="25" s="1"/>
  <c r="I246" i="25" s="1"/>
  <c r="I253" i="25"/>
  <c r="H245" i="25" s="1"/>
  <c r="I245" i="25" s="1"/>
  <c r="J271" i="25" l="1"/>
  <c r="O270" i="25" s="1"/>
  <c r="L53" i="35" s="1"/>
  <c r="F107" i="36"/>
  <c r="L82" i="30"/>
  <c r="K37" i="30"/>
  <c r="I37" i="30"/>
  <c r="L37" i="30" s="1"/>
  <c r="K59" i="30"/>
  <c r="K46" i="30"/>
  <c r="K25" i="30"/>
  <c r="I25" i="30"/>
  <c r="L25" i="30" s="1"/>
  <c r="AK8" i="30"/>
  <c r="K26" i="30"/>
  <c r="I26" i="30"/>
  <c r="L26" i="30" s="1"/>
  <c r="K63" i="30"/>
  <c r="O252" i="25"/>
  <c r="K276" i="25"/>
  <c r="P270" i="25"/>
  <c r="M53" i="35" s="1"/>
  <c r="K270" i="25"/>
  <c r="J266" i="25"/>
  <c r="Q270" i="25"/>
  <c r="J270" i="25"/>
  <c r="M270" i="25" l="1"/>
  <c r="L50" i="35" s="1"/>
  <c r="O271" i="25"/>
  <c r="L54" i="35" s="1"/>
  <c r="E78" i="21"/>
  <c r="D94" i="21"/>
  <c r="E94" i="21"/>
  <c r="D95" i="21"/>
  <c r="E95" i="21"/>
  <c r="E93" i="21"/>
  <c r="D93" i="21"/>
  <c r="D90" i="21"/>
  <c r="E90" i="21"/>
  <c r="D91" i="21"/>
  <c r="E91" i="21"/>
  <c r="E89" i="21"/>
  <c r="D89" i="21"/>
  <c r="D48" i="21"/>
  <c r="D47" i="21"/>
  <c r="E47" i="21"/>
  <c r="D46" i="21"/>
  <c r="E46" i="21"/>
  <c r="E45" i="21"/>
  <c r="D45" i="21"/>
  <c r="E63" i="21"/>
  <c r="D61" i="21"/>
  <c r="E61" i="21"/>
  <c r="E60" i="21"/>
  <c r="D60" i="21"/>
  <c r="D58" i="21"/>
  <c r="E58" i="21"/>
  <c r="D57" i="21"/>
  <c r="E57" i="21"/>
  <c r="E56" i="21"/>
  <c r="D56" i="21"/>
  <c r="C95" i="21"/>
  <c r="C94" i="21"/>
  <c r="C93" i="21"/>
  <c r="C91" i="21"/>
  <c r="C90" i="21"/>
  <c r="C89" i="21"/>
  <c r="C63" i="21"/>
  <c r="C61" i="21"/>
  <c r="C60" i="21"/>
  <c r="C58" i="21"/>
  <c r="C57" i="21"/>
  <c r="C56" i="21"/>
  <c r="F58" i="21"/>
  <c r="F57" i="21"/>
  <c r="F56" i="21"/>
  <c r="F91" i="21"/>
  <c r="F90" i="21"/>
  <c r="F89" i="21"/>
  <c r="I57" i="32"/>
  <c r="I55" i="32"/>
  <c r="I41" i="32"/>
  <c r="F111" i="36" s="1"/>
  <c r="I39" i="32"/>
  <c r="F109" i="36" s="1"/>
  <c r="F95" i="21"/>
  <c r="F94" i="21"/>
  <c r="F93" i="21"/>
  <c r="F61" i="21"/>
  <c r="F60" i="21"/>
  <c r="S162" i="25"/>
  <c r="M188" i="25"/>
  <c r="M174" i="25"/>
  <c r="M162" i="25"/>
  <c r="P130" i="25"/>
  <c r="N130" i="25" s="1"/>
  <c r="O181" i="25" s="1"/>
  <c r="O183" i="25" s="1"/>
  <c r="O130" i="25"/>
  <c r="M130" i="25" s="1"/>
  <c r="M181" i="25" s="1"/>
  <c r="M183" i="25" s="1"/>
  <c r="P129" i="25"/>
  <c r="N129" i="25" s="1"/>
  <c r="O167" i="25" s="1"/>
  <c r="O169" i="25" s="1"/>
  <c r="O129" i="25"/>
  <c r="M129" i="25" s="1"/>
  <c r="F75" i="21"/>
  <c r="F74" i="21"/>
  <c r="E75" i="21"/>
  <c r="M192" i="25" s="1"/>
  <c r="E74" i="21"/>
  <c r="M175" i="25" s="1"/>
  <c r="E73" i="21"/>
  <c r="S163" i="25" s="1"/>
  <c r="E72" i="21"/>
  <c r="F73" i="21"/>
  <c r="C75" i="21"/>
  <c r="C74" i="21"/>
  <c r="C73" i="21"/>
  <c r="B73" i="21"/>
  <c r="L135" i="25" s="1"/>
  <c r="B72" i="21"/>
  <c r="L134" i="25" s="1"/>
  <c r="B75" i="21"/>
  <c r="B74" i="21"/>
  <c r="B41" i="21"/>
  <c r="B40" i="21"/>
  <c r="E41" i="21"/>
  <c r="D192" i="25" s="1"/>
  <c r="E40" i="21"/>
  <c r="D177" i="25" s="1"/>
  <c r="E39" i="21"/>
  <c r="O122" i="25"/>
  <c r="M122" i="25" s="1"/>
  <c r="P122" i="25"/>
  <c r="N122" i="25" s="1"/>
  <c r="O123" i="25"/>
  <c r="M123" i="25" s="1"/>
  <c r="P123" i="25"/>
  <c r="N123" i="25" s="1"/>
  <c r="O124" i="25"/>
  <c r="M124" i="25" s="1"/>
  <c r="P124" i="25"/>
  <c r="N124" i="25" s="1"/>
  <c r="O125" i="25"/>
  <c r="M125" i="25" s="1"/>
  <c r="P125" i="25"/>
  <c r="N125" i="25" s="1"/>
  <c r="O126" i="25"/>
  <c r="M126" i="25" s="1"/>
  <c r="P126" i="25"/>
  <c r="N126" i="25" s="1"/>
  <c r="O127" i="25"/>
  <c r="M127" i="25" s="1"/>
  <c r="P127" i="25"/>
  <c r="N127" i="25" s="1"/>
  <c r="P121" i="25"/>
  <c r="N121" i="25" s="1"/>
  <c r="O121" i="25"/>
  <c r="M121" i="25" s="1"/>
  <c r="L130" i="25"/>
  <c r="L129" i="25"/>
  <c r="F108" i="40" l="1"/>
  <c r="F108" i="44"/>
  <c r="F108" i="37"/>
  <c r="F108" i="43"/>
  <c r="F110" i="44"/>
  <c r="F110" i="37"/>
  <c r="I102" i="32" s="1"/>
  <c r="F110" i="43"/>
  <c r="F110" i="40"/>
  <c r="P271" i="25"/>
  <c r="M54" i="35" s="1"/>
  <c r="N174" i="25"/>
  <c r="K271" i="25"/>
  <c r="L141" i="25"/>
  <c r="I274" i="25"/>
  <c r="L140" i="25"/>
  <c r="I273" i="25"/>
  <c r="Q271" i="25"/>
  <c r="O272" i="25"/>
  <c r="L55" i="35" s="1"/>
  <c r="F72" i="21"/>
  <c r="C69" i="21"/>
  <c r="E37" i="10" s="1"/>
  <c r="M136" i="25"/>
  <c r="M167" i="25"/>
  <c r="M135" i="25"/>
  <c r="N135" i="25" s="1"/>
  <c r="T162" i="25"/>
  <c r="V162" i="25" s="1"/>
  <c r="M155" i="25"/>
  <c r="M157" i="25" s="1"/>
  <c r="M134" i="25"/>
  <c r="N162" i="25"/>
  <c r="M137" i="25"/>
  <c r="M177" i="25"/>
  <c r="S155" i="25"/>
  <c r="S157" i="25" s="1"/>
  <c r="M189" i="25"/>
  <c r="N188" i="25"/>
  <c r="P272" i="25" l="1"/>
  <c r="M55" i="35" s="1"/>
  <c r="K272" i="25"/>
  <c r="Q272" i="25"/>
  <c r="N177" i="25"/>
  <c r="P177" i="25" s="1"/>
  <c r="O273" i="25"/>
  <c r="L56" i="35" s="1"/>
  <c r="S154" i="25"/>
  <c r="J274" i="25"/>
  <c r="T163" i="25"/>
  <c r="V163" i="25" s="1"/>
  <c r="A188" i="25"/>
  <c r="A187" i="25"/>
  <c r="P273" i="25" l="1"/>
  <c r="M56" i="35" s="1"/>
  <c r="O274" i="25"/>
  <c r="L57" i="35" s="1"/>
  <c r="K273" i="25"/>
  <c r="Q273" i="25"/>
  <c r="D188" i="25"/>
  <c r="D174" i="25"/>
  <c r="D162" i="25"/>
  <c r="C127" i="25"/>
  <c r="C126" i="25"/>
  <c r="G127" i="25"/>
  <c r="E127" i="25" s="1"/>
  <c r="F181" i="25" s="1"/>
  <c r="F127" i="25"/>
  <c r="D127" i="25" s="1"/>
  <c r="D181" i="25" s="1"/>
  <c r="G126" i="25"/>
  <c r="E126" i="25" s="1"/>
  <c r="F126" i="25"/>
  <c r="D126" i="25" s="1"/>
  <c r="D167" i="25" s="1"/>
  <c r="G121" i="25"/>
  <c r="E121" i="25" s="1"/>
  <c r="G122" i="25"/>
  <c r="E122" i="25" s="1"/>
  <c r="G123" i="25"/>
  <c r="E123" i="25" s="1"/>
  <c r="G124" i="25"/>
  <c r="E124" i="25" s="1"/>
  <c r="F122" i="25"/>
  <c r="D122" i="25" s="1"/>
  <c r="F123" i="25"/>
  <c r="D123" i="25" s="1"/>
  <c r="F124" i="25"/>
  <c r="D124" i="25" s="1"/>
  <c r="F121" i="25"/>
  <c r="D121" i="25" s="1"/>
  <c r="O275" i="25" l="1"/>
  <c r="L58" i="35" s="1"/>
  <c r="K274" i="25"/>
  <c r="Q274" i="25"/>
  <c r="P274" i="25"/>
  <c r="M57" i="35" s="1"/>
  <c r="E162" i="25"/>
  <c r="D136" i="25"/>
  <c r="D155" i="25"/>
  <c r="D157" i="25" s="1"/>
  <c r="E135" i="25"/>
  <c r="E136" i="25"/>
  <c r="D134" i="25"/>
  <c r="J263" i="25" l="1"/>
  <c r="P275" i="25"/>
  <c r="M58" i="35" s="1"/>
  <c r="Q275" i="25"/>
  <c r="R275" i="25"/>
  <c r="N58" i="35" s="1"/>
  <c r="K275" i="25"/>
  <c r="E177" i="25"/>
  <c r="G177" i="25" s="1"/>
  <c r="J262" i="25"/>
  <c r="E192" i="25"/>
  <c r="G192" i="25" s="1"/>
  <c r="D66" i="22"/>
  <c r="D46" i="22"/>
  <c r="D17" i="25" s="1"/>
  <c r="D31" i="22"/>
  <c r="C27" i="10" s="1"/>
  <c r="D32" i="22"/>
  <c r="D33" i="22"/>
  <c r="D34" i="22"/>
  <c r="D35" i="22"/>
  <c r="D36" i="22"/>
  <c r="D37" i="22"/>
  <c r="D38" i="22"/>
  <c r="H343" i="25"/>
  <c r="K341" i="25" s="1"/>
  <c r="D345" i="25"/>
  <c r="F345" i="25" s="1"/>
  <c r="D344" i="25"/>
  <c r="F344" i="25" s="1"/>
  <c r="D343" i="25"/>
  <c r="F343" i="25" s="1"/>
  <c r="D342" i="25"/>
  <c r="F342" i="25" s="1"/>
  <c r="D341" i="25"/>
  <c r="F341" i="25" s="1"/>
  <c r="L345" i="25"/>
  <c r="H335" i="25"/>
  <c r="K333" i="25" s="1"/>
  <c r="D337" i="25"/>
  <c r="F337" i="25" s="1"/>
  <c r="D336" i="25"/>
  <c r="F336" i="25" s="1"/>
  <c r="D335" i="25"/>
  <c r="F335" i="25" s="1"/>
  <c r="D334" i="25"/>
  <c r="F334" i="25" s="1"/>
  <c r="D333" i="25"/>
  <c r="F333" i="25" s="1"/>
  <c r="L337" i="25"/>
  <c r="H327" i="25"/>
  <c r="K325" i="25" s="1"/>
  <c r="D329" i="25"/>
  <c r="F329" i="25" s="1"/>
  <c r="D328" i="25"/>
  <c r="F328" i="25" s="1"/>
  <c r="D327" i="25"/>
  <c r="F327" i="25" s="1"/>
  <c r="D326" i="25"/>
  <c r="F326" i="25" s="1"/>
  <c r="D325" i="25"/>
  <c r="F325" i="25" s="1"/>
  <c r="D314" i="25"/>
  <c r="F314" i="25" s="1"/>
  <c r="D313" i="25"/>
  <c r="F313" i="25" s="1"/>
  <c r="D312" i="25"/>
  <c r="F312" i="25" s="1"/>
  <c r="L329" i="25"/>
  <c r="L314" i="25"/>
  <c r="L318" i="25"/>
  <c r="D311" i="25"/>
  <c r="F311" i="25" s="1"/>
  <c r="D310" i="25"/>
  <c r="F310" i="25" s="1"/>
  <c r="E107" i="22" l="1"/>
  <c r="E106" i="22"/>
  <c r="H312" i="25"/>
  <c r="K310" i="25" s="1"/>
  <c r="L325" i="25"/>
  <c r="L341" i="25"/>
  <c r="L333" i="25"/>
  <c r="H341" i="25"/>
  <c r="H333" i="25"/>
  <c r="H325" i="25"/>
  <c r="H310" i="25"/>
  <c r="L310" i="25"/>
  <c r="C41" i="21" l="1"/>
  <c r="C40" i="21"/>
  <c r="C39" i="21"/>
  <c r="B43" i="32"/>
  <c r="D49" i="32"/>
  <c r="D48" i="32"/>
  <c r="D47" i="32"/>
  <c r="B27" i="32"/>
  <c r="G259" i="25" l="1"/>
  <c r="J260" i="25" s="1"/>
  <c r="O259" i="25" s="1"/>
  <c r="L27" i="35" s="1"/>
  <c r="D260" i="25"/>
  <c r="H260" i="25" s="1"/>
  <c r="D261" i="25"/>
  <c r="H261" i="25" s="1"/>
  <c r="D262" i="25"/>
  <c r="H262" i="25" s="1"/>
  <c r="D259" i="25"/>
  <c r="H259" i="25" s="1"/>
  <c r="D14" i="32"/>
  <c r="D30" i="22"/>
  <c r="E27" i="10" l="1"/>
  <c r="D27" i="10"/>
  <c r="I29" i="10"/>
  <c r="H27" i="10"/>
  <c r="F27" i="10"/>
  <c r="F31" i="10" s="1"/>
  <c r="C29" i="22"/>
  <c r="D74" i="22"/>
  <c r="D75" i="22"/>
  <c r="D73" i="22"/>
  <c r="D70" i="22"/>
  <c r="D72" i="22"/>
  <c r="D71" i="22"/>
  <c r="D69" i="22"/>
  <c r="AH3" i="25"/>
  <c r="P259" i="25"/>
  <c r="M27" i="35" s="1"/>
  <c r="K259" i="25"/>
  <c r="E134" i="25"/>
  <c r="C35" i="21"/>
  <c r="E36" i="10" s="1"/>
  <c r="F39" i="10" s="1"/>
  <c r="Q259" i="25"/>
  <c r="H326" i="25"/>
  <c r="I325" i="25" s="1"/>
  <c r="H342" i="25"/>
  <c r="I341" i="25" s="1"/>
  <c r="H311" i="25"/>
  <c r="I310" i="25" s="1"/>
  <c r="H334" i="25"/>
  <c r="I333" i="25" s="1"/>
  <c r="J259" i="25"/>
  <c r="B10" i="32"/>
  <c r="J261" i="25" l="1"/>
  <c r="L259" i="25" s="1"/>
  <c r="M24" i="35" s="1"/>
  <c r="M259" i="25"/>
  <c r="L24" i="35" s="1"/>
  <c r="O260" i="25"/>
  <c r="O261" i="25" s="1"/>
  <c r="P261" i="25" s="1"/>
  <c r="F229" i="21"/>
  <c r="F230" i="21"/>
  <c r="F231" i="21"/>
  <c r="F232" i="21"/>
  <c r="F233" i="21"/>
  <c r="F234" i="21"/>
  <c r="F235" i="21"/>
  <c r="F236" i="21"/>
  <c r="F228" i="21"/>
  <c r="AF189" i="25"/>
  <c r="AF187" i="25"/>
  <c r="AF186" i="25"/>
  <c r="AF175" i="25"/>
  <c r="AF173" i="25"/>
  <c r="AF172" i="25"/>
  <c r="AF163" i="25"/>
  <c r="AF161" i="25"/>
  <c r="AF160" i="25"/>
  <c r="F108" i="21"/>
  <c r="H239" i="21"/>
  <c r="AH126" i="25"/>
  <c r="AH154" i="25" s="1"/>
  <c r="AG126" i="25"/>
  <c r="AH167" i="25" s="1"/>
  <c r="AF126" i="25"/>
  <c r="AF167" i="25" s="1"/>
  <c r="AH149" i="25"/>
  <c r="AE149" i="25"/>
  <c r="AH148" i="25"/>
  <c r="AE148" i="25"/>
  <c r="AH214" i="25"/>
  <c r="AP214" i="25" s="1"/>
  <c r="AH216" i="25"/>
  <c r="AP216" i="25" s="1"/>
  <c r="AH217" i="25"/>
  <c r="AM217" i="25" s="1"/>
  <c r="AH218" i="25"/>
  <c r="AM218" i="25" s="1"/>
  <c r="AH219" i="25"/>
  <c r="AP219" i="25" s="1"/>
  <c r="AH220" i="25"/>
  <c r="AN220" i="25" s="1"/>
  <c r="AH221" i="25"/>
  <c r="AM221" i="25" s="1"/>
  <c r="AH222" i="25"/>
  <c r="AP222" i="25" s="1"/>
  <c r="AH213" i="25"/>
  <c r="AP213" i="25" s="1"/>
  <c r="D228" i="25"/>
  <c r="D229" i="25"/>
  <c r="D230" i="25"/>
  <c r="E230" i="25" s="1"/>
  <c r="D231" i="25"/>
  <c r="D232" i="25"/>
  <c r="D233" i="25"/>
  <c r="D234" i="25"/>
  <c r="D227" i="25"/>
  <c r="E227" i="25" s="1"/>
  <c r="AG214" i="25"/>
  <c r="AG216" i="25"/>
  <c r="AG217" i="25"/>
  <c r="AG218" i="25"/>
  <c r="AG219" i="25"/>
  <c r="AG220" i="25"/>
  <c r="AG221" i="25"/>
  <c r="AG222" i="25"/>
  <c r="AG213" i="25"/>
  <c r="C228" i="25"/>
  <c r="C229" i="25"/>
  <c r="C230" i="25"/>
  <c r="C231" i="25"/>
  <c r="C232" i="25"/>
  <c r="G216" i="21"/>
  <c r="C216" i="21"/>
  <c r="AE119" i="25" s="1"/>
  <c r="D219" i="21"/>
  <c r="D218" i="21"/>
  <c r="D217" i="21"/>
  <c r="B216" i="21"/>
  <c r="W36" i="31"/>
  <c r="W35" i="31"/>
  <c r="W34" i="31"/>
  <c r="W33" i="31"/>
  <c r="W32" i="31"/>
  <c r="W31" i="31"/>
  <c r="W30" i="31"/>
  <c r="W29" i="31"/>
  <c r="W28" i="31"/>
  <c r="W27" i="31"/>
  <c r="S36" i="31"/>
  <c r="S35" i="31"/>
  <c r="S34" i="31"/>
  <c r="S33" i="31"/>
  <c r="S32" i="31"/>
  <c r="S31" i="31"/>
  <c r="S30" i="31"/>
  <c r="S29" i="31"/>
  <c r="S28" i="31"/>
  <c r="S27" i="31"/>
  <c r="H67" i="31"/>
  <c r="J70" i="31"/>
  <c r="L71" i="31"/>
  <c r="L72" i="31"/>
  <c r="K36" i="31"/>
  <c r="K18" i="31"/>
  <c r="K22" i="31"/>
  <c r="L24" i="31"/>
  <c r="K28" i="31"/>
  <c r="E13" i="31"/>
  <c r="E35" i="31"/>
  <c r="D42" i="31"/>
  <c r="E72" i="31"/>
  <c r="C72" i="31"/>
  <c r="C71" i="31"/>
  <c r="C70" i="31"/>
  <c r="C69" i="31"/>
  <c r="C68" i="31"/>
  <c r="C67" i="31"/>
  <c r="C66" i="31"/>
  <c r="C65" i="31"/>
  <c r="C64" i="31"/>
  <c r="C63" i="31"/>
  <c r="C62" i="31"/>
  <c r="C61" i="31"/>
  <c r="C60" i="31"/>
  <c r="C59" i="31"/>
  <c r="D58" i="31"/>
  <c r="C58" i="31"/>
  <c r="A58" i="31"/>
  <c r="C53" i="31"/>
  <c r="C52" i="31"/>
  <c r="C51" i="31"/>
  <c r="C50" i="31"/>
  <c r="C49" i="31"/>
  <c r="C48" i="31"/>
  <c r="C47" i="31"/>
  <c r="C46" i="31"/>
  <c r="C45" i="31"/>
  <c r="C44" i="31"/>
  <c r="C43" i="31"/>
  <c r="C42" i="31"/>
  <c r="B37" i="31"/>
  <c r="B36" i="31"/>
  <c r="B35" i="31"/>
  <c r="B34" i="31"/>
  <c r="B33" i="31"/>
  <c r="B32" i="31"/>
  <c r="AE30" i="31"/>
  <c r="AD30" i="31"/>
  <c r="AC30" i="31"/>
  <c r="AF30" i="31" s="1"/>
  <c r="AG30" i="31" s="1"/>
  <c r="AE25" i="31"/>
  <c r="AD25" i="31"/>
  <c r="AC25" i="31"/>
  <c r="AF25" i="31" s="1"/>
  <c r="AG25" i="31" s="1"/>
  <c r="C12" i="31"/>
  <c r="B12" i="31"/>
  <c r="A12" i="31"/>
  <c r="O11" i="31"/>
  <c r="C10" i="31"/>
  <c r="C8" i="31"/>
  <c r="C7" i="31"/>
  <c r="Z6" i="31"/>
  <c r="N6" i="31"/>
  <c r="C6" i="31"/>
  <c r="Z5" i="31"/>
  <c r="P5" i="31"/>
  <c r="Q10" i="31" s="1"/>
  <c r="R10" i="31" s="1"/>
  <c r="T10" i="31" s="1"/>
  <c r="C5" i="31"/>
  <c r="Z4" i="31"/>
  <c r="L4" i="31"/>
  <c r="N4" i="31" s="1"/>
  <c r="C4" i="31"/>
  <c r="Z3" i="31"/>
  <c r="C3" i="31"/>
  <c r="N2" i="31"/>
  <c r="C2" i="31"/>
  <c r="A2" i="31"/>
  <c r="A165" i="24"/>
  <c r="F59" i="22"/>
  <c r="F58" i="22"/>
  <c r="N62" i="19"/>
  <c r="V62" i="19" s="1"/>
  <c r="N61" i="19"/>
  <c r="P61" i="19" s="1"/>
  <c r="I231" i="25" l="1"/>
  <c r="E231" i="25"/>
  <c r="E229" i="25"/>
  <c r="O262" i="25"/>
  <c r="P262" i="25" s="1"/>
  <c r="P260" i="25"/>
  <c r="M28" i="35" s="1"/>
  <c r="K260" i="25"/>
  <c r="L28" i="35"/>
  <c r="F61" i="37"/>
  <c r="F61" i="40"/>
  <c r="I52" i="31"/>
  <c r="Q11" i="31"/>
  <c r="R11" i="31" s="1"/>
  <c r="T11" i="31" s="1"/>
  <c r="Q7" i="31"/>
  <c r="R7" i="31" s="1"/>
  <c r="T7" i="31" s="1"/>
  <c r="Q8" i="31"/>
  <c r="R8" i="31" s="1"/>
  <c r="T8" i="31" s="1"/>
  <c r="Q260" i="25"/>
  <c r="AO216" i="25"/>
  <c r="K21" i="31"/>
  <c r="K51" i="31"/>
  <c r="J69" i="31"/>
  <c r="E14" i="31"/>
  <c r="J227" i="25"/>
  <c r="AN216" i="25"/>
  <c r="Q15" i="31"/>
  <c r="H21" i="31"/>
  <c r="I21" i="31" s="1"/>
  <c r="H51" i="31"/>
  <c r="I17" i="31"/>
  <c r="H18" i="31"/>
  <c r="H22" i="31"/>
  <c r="I22" i="31" s="1"/>
  <c r="K53" i="31"/>
  <c r="J66" i="31"/>
  <c r="K66" i="31"/>
  <c r="H52" i="31"/>
  <c r="H53" i="31"/>
  <c r="H50" i="31"/>
  <c r="K52" i="31"/>
  <c r="K50" i="31"/>
  <c r="F36" i="31"/>
  <c r="L18" i="31"/>
  <c r="AO213" i="25"/>
  <c r="I227" i="25"/>
  <c r="AM219" i="25"/>
  <c r="AM220" i="25"/>
  <c r="J231" i="25"/>
  <c r="AP217" i="25"/>
  <c r="I230" i="25"/>
  <c r="H233" i="25"/>
  <c r="AN213" i="25"/>
  <c r="AN218" i="25"/>
  <c r="AO218" i="25"/>
  <c r="AP218" i="25"/>
  <c r="AP220" i="25"/>
  <c r="AP221" i="25"/>
  <c r="AF162" i="25"/>
  <c r="J233" i="25"/>
  <c r="AM222" i="25"/>
  <c r="K233" i="25"/>
  <c r="I229" i="25"/>
  <c r="AF181" i="25"/>
  <c r="AF136" i="25"/>
  <c r="AG136" i="25" s="1"/>
  <c r="AG175" i="25" s="1"/>
  <c r="AH181" i="25"/>
  <c r="AO220" i="25"/>
  <c r="AM213" i="25"/>
  <c r="AF155" i="25"/>
  <c r="AM214" i="25"/>
  <c r="AM216" i="25"/>
  <c r="AH155" i="25"/>
  <c r="J229" i="25"/>
  <c r="K29" i="31"/>
  <c r="I50" i="31"/>
  <c r="AF134" i="25"/>
  <c r="AF137" i="25"/>
  <c r="AG137" i="25" s="1"/>
  <c r="AG186" i="25" s="1"/>
  <c r="AI214" i="25"/>
  <c r="AI217" i="25"/>
  <c r="AI219" i="25"/>
  <c r="AI221" i="25"/>
  <c r="AL214" i="25"/>
  <c r="AL217" i="25"/>
  <c r="AL219" i="25"/>
  <c r="AL221" i="25"/>
  <c r="AN214" i="25"/>
  <c r="AN217" i="25"/>
  <c r="AN219" i="25"/>
  <c r="AN221" i="25"/>
  <c r="AO214" i="25"/>
  <c r="AO217" i="25"/>
  <c r="AO219" i="25"/>
  <c r="AO221" i="25"/>
  <c r="AI213" i="25"/>
  <c r="AI216" i="25"/>
  <c r="AI218" i="25"/>
  <c r="AI220" i="25"/>
  <c r="AI222" i="25"/>
  <c r="AL213" i="25"/>
  <c r="AL216" i="25"/>
  <c r="AL218" i="25"/>
  <c r="AL220" i="25"/>
  <c r="AN222" i="25"/>
  <c r="H232" i="25"/>
  <c r="H234" i="25"/>
  <c r="J228" i="25"/>
  <c r="J230" i="25"/>
  <c r="J232" i="25"/>
  <c r="J234" i="25"/>
  <c r="K232" i="25"/>
  <c r="K234" i="25"/>
  <c r="J236" i="25"/>
  <c r="Q36" i="31"/>
  <c r="Q17" i="31"/>
  <c r="Q18" i="31"/>
  <c r="K69" i="31"/>
  <c r="Q30" i="31"/>
  <c r="Q32" i="31"/>
  <c r="J67" i="31"/>
  <c r="L23" i="31"/>
  <c r="Q33" i="31"/>
  <c r="K67" i="31"/>
  <c r="H69" i="31"/>
  <c r="I69" i="31" s="1"/>
  <c r="K43" i="31"/>
  <c r="E15" i="31"/>
  <c r="Q48" i="31"/>
  <c r="H30" i="31"/>
  <c r="I30" i="31" s="1"/>
  <c r="K30" i="31"/>
  <c r="I67" i="31"/>
  <c r="L28" i="31"/>
  <c r="K70" i="31"/>
  <c r="L70" i="31" s="1"/>
  <c r="H71" i="31"/>
  <c r="K71" i="31"/>
  <c r="E24" i="31"/>
  <c r="K27" i="31"/>
  <c r="I24" i="31"/>
  <c r="H27" i="31"/>
  <c r="I27" i="31" s="1"/>
  <c r="Q43" i="31"/>
  <c r="Q16" i="31"/>
  <c r="Q31" i="31"/>
  <c r="Q41" i="31"/>
  <c r="H28" i="31"/>
  <c r="Q9" i="31"/>
  <c r="R9" i="31" s="1"/>
  <c r="T9" i="31" s="1"/>
  <c r="E22" i="31"/>
  <c r="Q44" i="31"/>
  <c r="Q20" i="31"/>
  <c r="Q27" i="31"/>
  <c r="F15" i="31" s="1"/>
  <c r="H29" i="31"/>
  <c r="F34" i="31"/>
  <c r="F37" i="31"/>
  <c r="E53" i="31"/>
  <c r="Q19" i="31"/>
  <c r="Q22" i="31"/>
  <c r="Q28" i="31"/>
  <c r="Q40" i="31"/>
  <c r="Q45" i="31"/>
  <c r="I51" i="31"/>
  <c r="I53" i="31"/>
  <c r="Q21" i="31"/>
  <c r="F13" i="31"/>
  <c r="L22" i="31"/>
  <c r="F35" i="31"/>
  <c r="Q29" i="31"/>
  <c r="Q34" i="31"/>
  <c r="H66" i="31"/>
  <c r="I66" i="31" s="1"/>
  <c r="H70" i="31"/>
  <c r="H72" i="31"/>
  <c r="I72" i="31" s="1"/>
  <c r="F42" i="31"/>
  <c r="F45" i="31" s="1"/>
  <c r="H42" i="31"/>
  <c r="Q46" i="31"/>
  <c r="Q23" i="31"/>
  <c r="Q35" i="31"/>
  <c r="H36" i="31"/>
  <c r="Q39" i="31"/>
  <c r="K72" i="31"/>
  <c r="E16" i="31"/>
  <c r="Q24" i="31"/>
  <c r="Q42" i="31"/>
  <c r="K42" i="31"/>
  <c r="Q47" i="31"/>
  <c r="S61" i="19"/>
  <c r="V61" i="19"/>
  <c r="P62" i="19"/>
  <c r="S62" i="19"/>
  <c r="N28" i="19"/>
  <c r="I17" i="30" s="1"/>
  <c r="L17" i="30" s="1"/>
  <c r="D26" i="25"/>
  <c r="D27" i="25"/>
  <c r="D28" i="25"/>
  <c r="D29" i="25"/>
  <c r="D30" i="25"/>
  <c r="A161" i="24"/>
  <c r="D175" i="24" s="1"/>
  <c r="P45" i="24"/>
  <c r="O45" i="24"/>
  <c r="P24" i="24"/>
  <c r="O24" i="24"/>
  <c r="P2" i="24"/>
  <c r="O2" i="24"/>
  <c r="O23" i="24"/>
  <c r="A25" i="24"/>
  <c r="AW30" i="30"/>
  <c r="AV30" i="30"/>
  <c r="AU30" i="30"/>
  <c r="AW25" i="30"/>
  <c r="AV25" i="30"/>
  <c r="AU25" i="30"/>
  <c r="N45" i="24"/>
  <c r="M45" i="24"/>
  <c r="L45" i="24"/>
  <c r="K45" i="24"/>
  <c r="J45" i="24"/>
  <c r="I45" i="24"/>
  <c r="H45" i="24"/>
  <c r="G45" i="24"/>
  <c r="F45" i="24"/>
  <c r="E45" i="24"/>
  <c r="D45" i="24"/>
  <c r="N24" i="24"/>
  <c r="M24" i="24"/>
  <c r="L24" i="24"/>
  <c r="K24" i="24"/>
  <c r="J24" i="24"/>
  <c r="I24" i="24"/>
  <c r="H24" i="24"/>
  <c r="G24" i="24"/>
  <c r="F24" i="24"/>
  <c r="E24" i="24"/>
  <c r="D24" i="24"/>
  <c r="D10" i="25"/>
  <c r="D9" i="25"/>
  <c r="D7" i="25"/>
  <c r="D8" i="25"/>
  <c r="D6" i="25"/>
  <c r="E35" i="22"/>
  <c r="E34" i="22"/>
  <c r="L29" i="35" l="1"/>
  <c r="M29" i="35"/>
  <c r="AE35" i="25"/>
  <c r="AE36" i="25"/>
  <c r="AE34" i="25"/>
  <c r="F34" i="25"/>
  <c r="AE18" i="25"/>
  <c r="AE17" i="25"/>
  <c r="AE15" i="25"/>
  <c r="AE24" i="25"/>
  <c r="AE16" i="25"/>
  <c r="AE23" i="25"/>
  <c r="AE48" i="25"/>
  <c r="AE22" i="25"/>
  <c r="AE46" i="25"/>
  <c r="Q24" i="25"/>
  <c r="F35" i="25"/>
  <c r="F36" i="25"/>
  <c r="AE47" i="25"/>
  <c r="Q23" i="25"/>
  <c r="Q22" i="25"/>
  <c r="H44" i="25"/>
  <c r="K44" i="25" s="1"/>
  <c r="H45" i="25"/>
  <c r="K45" i="25" s="1"/>
  <c r="I18" i="31"/>
  <c r="Q18" i="25"/>
  <c r="Q17" i="25"/>
  <c r="Q16" i="25"/>
  <c r="Q15" i="25"/>
  <c r="L51" i="31"/>
  <c r="Q261" i="25"/>
  <c r="K44" i="31"/>
  <c r="L69" i="31"/>
  <c r="L21" i="31"/>
  <c r="H44" i="31"/>
  <c r="I44" i="31" s="1"/>
  <c r="AG172" i="25"/>
  <c r="AI172" i="25" s="1"/>
  <c r="L29" i="31"/>
  <c r="F14" i="31"/>
  <c r="K45" i="31"/>
  <c r="H45" i="31"/>
  <c r="I45" i="31" s="1"/>
  <c r="H43" i="31"/>
  <c r="F16" i="31"/>
  <c r="L52" i="31"/>
  <c r="Q45" i="24"/>
  <c r="AG173" i="25"/>
  <c r="AI173" i="25" s="1"/>
  <c r="L66" i="31"/>
  <c r="L50" i="31"/>
  <c r="L53" i="31"/>
  <c r="AI186" i="25"/>
  <c r="AG134" i="25"/>
  <c r="AJ136" i="25"/>
  <c r="AJ134" i="25"/>
  <c r="AG189" i="25"/>
  <c r="AG187" i="25"/>
  <c r="AI187" i="25" s="1"/>
  <c r="AF201" i="25"/>
  <c r="AG201" i="25" s="1"/>
  <c r="AI175" i="25"/>
  <c r="I70" i="31"/>
  <c r="L27" i="31"/>
  <c r="L67" i="31"/>
  <c r="L30" i="31"/>
  <c r="I29" i="31"/>
  <c r="I28" i="31"/>
  <c r="E30" i="25"/>
  <c r="J30" i="25" s="1"/>
  <c r="E28" i="25"/>
  <c r="J28" i="25" s="1"/>
  <c r="H28" i="25"/>
  <c r="K28" i="25" s="1"/>
  <c r="H30" i="25"/>
  <c r="K30" i="25" s="1"/>
  <c r="H29" i="25"/>
  <c r="K29" i="25" s="1"/>
  <c r="E29" i="25"/>
  <c r="J29" i="25" s="1"/>
  <c r="C30" i="25"/>
  <c r="C29" i="25"/>
  <c r="C28" i="25"/>
  <c r="C27" i="25"/>
  <c r="C26" i="25"/>
  <c r="Q24" i="24"/>
  <c r="AX30" i="30"/>
  <c r="AY30" i="30" s="1"/>
  <c r="AX25" i="30"/>
  <c r="AY25" i="30" s="1"/>
  <c r="F42" i="25"/>
  <c r="T9" i="22"/>
  <c r="T5" i="22"/>
  <c r="D8" i="23"/>
  <c r="D9" i="23"/>
  <c r="D10" i="23"/>
  <c r="D11" i="23"/>
  <c r="D12" i="23"/>
  <c r="D13" i="23"/>
  <c r="D14" i="23"/>
  <c r="D15" i="23"/>
  <c r="D16" i="23"/>
  <c r="D23" i="23"/>
  <c r="D24" i="23"/>
  <c r="D25" i="23"/>
  <c r="D26" i="23"/>
  <c r="D27" i="23"/>
  <c r="D28" i="23"/>
  <c r="D29" i="23"/>
  <c r="D30" i="23"/>
  <c r="D31" i="23"/>
  <c r="D32" i="23"/>
  <c r="D5" i="23"/>
  <c r="AG22" i="30" l="1" a="1"/>
  <c r="AG22" i="30" s="1"/>
  <c r="S18" i="30" a="1"/>
  <c r="S18" i="30" s="1"/>
  <c r="S22" i="30" a="1"/>
  <c r="S22" i="30" s="1"/>
  <c r="AG20" i="30" a="1"/>
  <c r="AG20" i="30" s="1"/>
  <c r="AG18" i="30" a="1"/>
  <c r="AG18" i="30" s="1"/>
  <c r="S24" i="30" a="1"/>
  <c r="S24" i="30" s="1"/>
  <c r="S23" i="30" a="1"/>
  <c r="S23" i="30" s="1"/>
  <c r="S17" i="30" a="1"/>
  <c r="S17" i="30" s="1"/>
  <c r="S15" i="30" a="1"/>
  <c r="S15" i="30" s="1"/>
  <c r="AG21" i="30" a="1"/>
  <c r="AG21" i="30" s="1"/>
  <c r="S16" i="30" a="1"/>
  <c r="S16" i="30" s="1"/>
  <c r="AG15" i="30" a="1"/>
  <c r="AG15" i="30" s="1"/>
  <c r="AG24" i="30" a="1"/>
  <c r="AG24" i="30" s="1"/>
  <c r="AG23" i="30" a="1"/>
  <c r="AG23" i="30" s="1"/>
  <c r="S19" i="30" a="1"/>
  <c r="S19" i="30" s="1"/>
  <c r="AG17" i="30" a="1"/>
  <c r="AG17" i="30" s="1"/>
  <c r="S20" i="30" a="1"/>
  <c r="S20" i="30" s="1"/>
  <c r="S21" i="30" a="1"/>
  <c r="S21" i="30" s="1"/>
  <c r="AG19" i="30" a="1"/>
  <c r="AG19" i="30" s="1"/>
  <c r="AG16" i="30" a="1"/>
  <c r="AG16" i="30" s="1"/>
  <c r="I32" i="30" a="1"/>
  <c r="I32" i="30" s="1"/>
  <c r="L32" i="30" s="1"/>
  <c r="L30" i="35"/>
  <c r="M30" i="35"/>
  <c r="O263" i="25"/>
  <c r="U196" i="19"/>
  <c r="V196" i="19" s="1"/>
  <c r="U167" i="19"/>
  <c r="V167" i="19" s="1"/>
  <c r="U165" i="19"/>
  <c r="V165" i="19" s="1"/>
  <c r="U168" i="19"/>
  <c r="V168" i="19" s="1"/>
  <c r="U166" i="19"/>
  <c r="V166" i="19" s="1"/>
  <c r="U169" i="19"/>
  <c r="V169" i="19" s="1"/>
  <c r="R196" i="19"/>
  <c r="S196" i="19" s="1"/>
  <c r="R165" i="19"/>
  <c r="S165" i="19" s="1"/>
  <c r="R167" i="19"/>
  <c r="S167" i="19" s="1"/>
  <c r="R168" i="19"/>
  <c r="S168" i="19" s="1"/>
  <c r="R169" i="19"/>
  <c r="S169" i="19" s="1"/>
  <c r="R166" i="19"/>
  <c r="S166" i="19" s="1"/>
  <c r="R170" i="19"/>
  <c r="S170" i="19" s="1"/>
  <c r="R84" i="19"/>
  <c r="S84" i="19" s="1"/>
  <c r="R82" i="19"/>
  <c r="S82" i="19" s="1"/>
  <c r="R83" i="19"/>
  <c r="S83" i="19" s="1"/>
  <c r="U170" i="19"/>
  <c r="V170" i="19" s="1"/>
  <c r="U82" i="19"/>
  <c r="V82" i="19" s="1"/>
  <c r="U84" i="19"/>
  <c r="V84" i="19" s="1"/>
  <c r="U83" i="19"/>
  <c r="V83" i="19" s="1"/>
  <c r="R78" i="19"/>
  <c r="S78" i="19" s="1"/>
  <c r="R76" i="19"/>
  <c r="S76" i="19" s="1"/>
  <c r="R77" i="19"/>
  <c r="S77" i="19" s="1"/>
  <c r="R79" i="19"/>
  <c r="S79" i="19" s="1"/>
  <c r="U78" i="19"/>
  <c r="V78" i="19" s="1"/>
  <c r="U76" i="19"/>
  <c r="V76" i="19" s="1"/>
  <c r="U79" i="19"/>
  <c r="V79" i="19" s="1"/>
  <c r="U77" i="19"/>
  <c r="V77" i="19" s="1"/>
  <c r="R143" i="19"/>
  <c r="S143" i="19" s="1"/>
  <c r="R142" i="19"/>
  <c r="S142" i="19" s="1"/>
  <c r="R139" i="19"/>
  <c r="S139" i="19" s="1"/>
  <c r="R136" i="19"/>
  <c r="S136" i="19" s="1"/>
  <c r="R147" i="19"/>
  <c r="S147" i="19" s="1"/>
  <c r="R145" i="19"/>
  <c r="S145" i="19" s="1"/>
  <c r="R138" i="19"/>
  <c r="S138" i="19" s="1"/>
  <c r="R140" i="19"/>
  <c r="S140" i="19" s="1"/>
  <c r="R137" i="19"/>
  <c r="S137" i="19" s="1"/>
  <c r="R141" i="19"/>
  <c r="S141" i="19" s="1"/>
  <c r="R146" i="19"/>
  <c r="S146" i="19" s="1"/>
  <c r="R144" i="19"/>
  <c r="S144" i="19" s="1"/>
  <c r="R148" i="19"/>
  <c r="S148" i="19" s="1"/>
  <c r="U144" i="19"/>
  <c r="V144" i="19" s="1"/>
  <c r="U145" i="19"/>
  <c r="V145" i="19" s="1"/>
  <c r="U141" i="19"/>
  <c r="V141" i="19" s="1"/>
  <c r="U139" i="19"/>
  <c r="V139" i="19" s="1"/>
  <c r="U147" i="19"/>
  <c r="V147" i="19" s="1"/>
  <c r="U142" i="19"/>
  <c r="V142" i="19" s="1"/>
  <c r="U136" i="19"/>
  <c r="V136" i="19" s="1"/>
  <c r="U146" i="19"/>
  <c r="V146" i="19" s="1"/>
  <c r="U137" i="19"/>
  <c r="V137" i="19" s="1"/>
  <c r="U138" i="19"/>
  <c r="V138" i="19" s="1"/>
  <c r="U140" i="19"/>
  <c r="V140" i="19" s="1"/>
  <c r="U148" i="19"/>
  <c r="V148" i="19" s="1"/>
  <c r="U143" i="19"/>
  <c r="V143" i="19" s="1"/>
  <c r="R161" i="19"/>
  <c r="S161" i="19" s="1"/>
  <c r="R119" i="19"/>
  <c r="S119" i="19" s="1"/>
  <c r="R129" i="19"/>
  <c r="S129" i="19" s="1"/>
  <c r="R125" i="19"/>
  <c r="S125" i="19" s="1"/>
  <c r="R117" i="19"/>
  <c r="S117" i="19" s="1"/>
  <c r="R123" i="19"/>
  <c r="S123" i="19" s="1"/>
  <c r="R113" i="19"/>
  <c r="S113" i="19" s="1"/>
  <c r="R115" i="19"/>
  <c r="S115" i="19" s="1"/>
  <c r="R126" i="19"/>
  <c r="S126" i="19" s="1"/>
  <c r="R128" i="19"/>
  <c r="S128" i="19" s="1"/>
  <c r="R124" i="19"/>
  <c r="S124" i="19" s="1"/>
  <c r="R122" i="19"/>
  <c r="S122" i="19" s="1"/>
  <c r="R120" i="19"/>
  <c r="S120" i="19" s="1"/>
  <c r="R127" i="19"/>
  <c r="S127" i="19" s="1"/>
  <c r="R130" i="19"/>
  <c r="S130" i="19" s="1"/>
  <c r="R114" i="19"/>
  <c r="S114" i="19" s="1"/>
  <c r="R116" i="19"/>
  <c r="S116" i="19" s="1"/>
  <c r="R118" i="19"/>
  <c r="S118" i="19" s="1"/>
  <c r="R121" i="19"/>
  <c r="S121" i="19" s="1"/>
  <c r="U161" i="19"/>
  <c r="V161" i="19" s="1"/>
  <c r="U123" i="19"/>
  <c r="V123" i="19" s="1"/>
  <c r="U130" i="19"/>
  <c r="V130" i="19" s="1"/>
  <c r="U117" i="19"/>
  <c r="V117" i="19" s="1"/>
  <c r="U124" i="19"/>
  <c r="V124" i="19" s="1"/>
  <c r="U118" i="19"/>
  <c r="V118" i="19" s="1"/>
  <c r="U121" i="19"/>
  <c r="V121" i="19" s="1"/>
  <c r="U128" i="19"/>
  <c r="V128" i="19" s="1"/>
  <c r="U119" i="19"/>
  <c r="V119" i="19" s="1"/>
  <c r="U115" i="19"/>
  <c r="V115" i="19" s="1"/>
  <c r="U122" i="19"/>
  <c r="V122" i="19" s="1"/>
  <c r="U113" i="19"/>
  <c r="V113" i="19" s="1"/>
  <c r="U126" i="19"/>
  <c r="V126" i="19" s="1"/>
  <c r="U127" i="19"/>
  <c r="V127" i="19" s="1"/>
  <c r="U116" i="19"/>
  <c r="V116" i="19" s="1"/>
  <c r="U129" i="19"/>
  <c r="V129" i="19" s="1"/>
  <c r="U114" i="19"/>
  <c r="V114" i="19" s="1"/>
  <c r="U120" i="19"/>
  <c r="V120" i="19" s="1"/>
  <c r="U125" i="19"/>
  <c r="V125" i="19" s="1"/>
  <c r="R94" i="19"/>
  <c r="S94" i="19" s="1"/>
  <c r="R191" i="19"/>
  <c r="S191" i="19" s="1"/>
  <c r="R189" i="19"/>
  <c r="S189" i="19" s="1"/>
  <c r="R187" i="19"/>
  <c r="S187" i="19" s="1"/>
  <c r="R190" i="19"/>
  <c r="S190" i="19" s="1"/>
  <c r="R188" i="19"/>
  <c r="S188" i="19" s="1"/>
  <c r="U94" i="19"/>
  <c r="V94" i="19" s="1"/>
  <c r="U188" i="19"/>
  <c r="V188" i="19" s="1"/>
  <c r="U191" i="19"/>
  <c r="V191" i="19" s="1"/>
  <c r="U189" i="19"/>
  <c r="V189" i="19" s="1"/>
  <c r="U187" i="19"/>
  <c r="V187" i="19" s="1"/>
  <c r="U190" i="19"/>
  <c r="V190" i="19" s="1"/>
  <c r="R48" i="19"/>
  <c r="S48" i="19" s="1"/>
  <c r="R52" i="19"/>
  <c r="S52" i="19" s="1"/>
  <c r="U48" i="19"/>
  <c r="V48" i="19" s="1"/>
  <c r="U52" i="19"/>
  <c r="V52" i="19" s="1"/>
  <c r="R17" i="19"/>
  <c r="S17" i="19" s="1"/>
  <c r="R34" i="19"/>
  <c r="S34" i="19" s="1"/>
  <c r="R33" i="19"/>
  <c r="S33" i="19" s="1"/>
  <c r="U34" i="19"/>
  <c r="V34" i="19" s="1"/>
  <c r="U33" i="19"/>
  <c r="V33" i="19" s="1"/>
  <c r="U197" i="19"/>
  <c r="U17" i="19"/>
  <c r="V17" i="19" s="1"/>
  <c r="Q262" i="25"/>
  <c r="U105" i="19"/>
  <c r="U35" i="19"/>
  <c r="U59" i="19"/>
  <c r="U160" i="19"/>
  <c r="U183" i="19"/>
  <c r="U111" i="19"/>
  <c r="U132" i="19"/>
  <c r="U73" i="19"/>
  <c r="U5" i="19"/>
  <c r="U29" i="19"/>
  <c r="U44" i="19"/>
  <c r="U97" i="19"/>
  <c r="U26" i="19"/>
  <c r="U71" i="19"/>
  <c r="U61" i="19"/>
  <c r="U65" i="19"/>
  <c r="U156" i="19"/>
  <c r="U80" i="19"/>
  <c r="U62" i="19"/>
  <c r="U88" i="19"/>
  <c r="U185" i="19"/>
  <c r="U108" i="19"/>
  <c r="U55" i="19"/>
  <c r="U28" i="19"/>
  <c r="V28" i="19" s="1"/>
  <c r="L17" i="31" s="1"/>
  <c r="U86" i="19"/>
  <c r="U195" i="19"/>
  <c r="U135" i="19"/>
  <c r="U133" i="19"/>
  <c r="U103" i="19"/>
  <c r="U10" i="19"/>
  <c r="U47" i="19"/>
  <c r="U112" i="19"/>
  <c r="U68" i="19"/>
  <c r="U178" i="19"/>
  <c r="U42" i="19"/>
  <c r="U31" i="19"/>
  <c r="U51" i="19"/>
  <c r="U150" i="19"/>
  <c r="U91" i="19"/>
  <c r="U16" i="19"/>
  <c r="U93" i="19"/>
  <c r="U173" i="19"/>
  <c r="U46" i="19"/>
  <c r="U158" i="19"/>
  <c r="U21" i="19"/>
  <c r="U3" i="19"/>
  <c r="U152" i="19"/>
  <c r="U72" i="19"/>
  <c r="U98" i="19"/>
  <c r="U40" i="19"/>
  <c r="U63" i="19"/>
  <c r="U81" i="19"/>
  <c r="U192" i="19"/>
  <c r="U67" i="19"/>
  <c r="U49" i="19"/>
  <c r="U131" i="19"/>
  <c r="U175" i="19"/>
  <c r="U153" i="19"/>
  <c r="U176" i="19"/>
  <c r="U193" i="19"/>
  <c r="U90" i="19"/>
  <c r="U92" i="19"/>
  <c r="U9" i="19"/>
  <c r="U107" i="19"/>
  <c r="U95" i="19"/>
  <c r="U27" i="19"/>
  <c r="U154" i="19"/>
  <c r="U134" i="19"/>
  <c r="U180" i="19"/>
  <c r="U38" i="19"/>
  <c r="U45" i="19"/>
  <c r="U58" i="19"/>
  <c r="U37" i="19"/>
  <c r="U179" i="19"/>
  <c r="U181" i="19"/>
  <c r="U110" i="19"/>
  <c r="U12" i="19"/>
  <c r="U157" i="19"/>
  <c r="U15" i="19"/>
  <c r="U22" i="19"/>
  <c r="U60" i="19"/>
  <c r="U43" i="19"/>
  <c r="U6" i="19"/>
  <c r="U177" i="19"/>
  <c r="U57" i="19"/>
  <c r="U53" i="19"/>
  <c r="U85" i="19"/>
  <c r="U30" i="19"/>
  <c r="U99" i="19"/>
  <c r="U87" i="19"/>
  <c r="U66" i="19"/>
  <c r="U172" i="19"/>
  <c r="U151" i="19"/>
  <c r="U89" i="19"/>
  <c r="U155" i="19"/>
  <c r="U100" i="19"/>
  <c r="U75" i="19"/>
  <c r="U101" i="19"/>
  <c r="U56" i="19"/>
  <c r="U41" i="19"/>
  <c r="U194" i="19"/>
  <c r="U186" i="19"/>
  <c r="U69" i="19"/>
  <c r="U36" i="19"/>
  <c r="U64" i="19"/>
  <c r="U32" i="19"/>
  <c r="U11" i="19"/>
  <c r="U109" i="19"/>
  <c r="U102" i="19"/>
  <c r="U149" i="19"/>
  <c r="U104" i="19"/>
  <c r="U96" i="19"/>
  <c r="U70" i="19"/>
  <c r="U24" i="19"/>
  <c r="U39" i="19"/>
  <c r="U174" i="19"/>
  <c r="U106" i="19"/>
  <c r="U184" i="19"/>
  <c r="U159" i="19"/>
  <c r="U164" i="19"/>
  <c r="U182" i="19"/>
  <c r="U162" i="19"/>
  <c r="U74" i="19"/>
  <c r="U50" i="19"/>
  <c r="U171" i="19"/>
  <c r="U23" i="19"/>
  <c r="U163" i="19"/>
  <c r="R75" i="19"/>
  <c r="R197" i="19"/>
  <c r="I43" i="31"/>
  <c r="R88" i="19"/>
  <c r="R160" i="19"/>
  <c r="R105" i="19"/>
  <c r="R58" i="19"/>
  <c r="R133" i="19"/>
  <c r="R177" i="19"/>
  <c r="R26" i="19"/>
  <c r="R178" i="19"/>
  <c r="R65" i="19"/>
  <c r="R67" i="19"/>
  <c r="R41" i="19"/>
  <c r="R3" i="19"/>
  <c r="R152" i="19"/>
  <c r="R155" i="19"/>
  <c r="R103" i="19"/>
  <c r="R110" i="19"/>
  <c r="R132" i="19"/>
  <c r="R108" i="19"/>
  <c r="R150" i="19"/>
  <c r="R173" i="19"/>
  <c r="R16" i="19"/>
  <c r="R131" i="19"/>
  <c r="R80" i="19"/>
  <c r="R154" i="19"/>
  <c r="R180" i="19"/>
  <c r="R192" i="19"/>
  <c r="R35" i="19"/>
  <c r="R5" i="19"/>
  <c r="R112" i="19"/>
  <c r="R29" i="19"/>
  <c r="R157" i="19"/>
  <c r="R51" i="19"/>
  <c r="R46" i="19"/>
  <c r="R95" i="19"/>
  <c r="R90" i="19"/>
  <c r="R159" i="19"/>
  <c r="R107" i="19"/>
  <c r="R182" i="19"/>
  <c r="R163" i="19"/>
  <c r="R99" i="19"/>
  <c r="R27" i="19"/>
  <c r="R62" i="19"/>
  <c r="I30" i="25"/>
  <c r="AF202" i="25"/>
  <c r="AG202" i="25" s="1"/>
  <c r="AI189" i="25"/>
  <c r="AF154" i="25"/>
  <c r="AG163" i="25"/>
  <c r="I28" i="25"/>
  <c r="R59" i="19"/>
  <c r="R44" i="19"/>
  <c r="R91" i="19"/>
  <c r="R71" i="19"/>
  <c r="R23" i="19"/>
  <c r="R38" i="19"/>
  <c r="R135" i="19"/>
  <c r="R98" i="19"/>
  <c r="R171" i="19"/>
  <c r="R172" i="19"/>
  <c r="R101" i="19"/>
  <c r="R175" i="19"/>
  <c r="R12" i="19"/>
  <c r="R21" i="19"/>
  <c r="R194" i="19"/>
  <c r="R109" i="19"/>
  <c r="R36" i="19"/>
  <c r="R42" i="19"/>
  <c r="R6" i="19"/>
  <c r="R156" i="19"/>
  <c r="R55" i="19"/>
  <c r="R63" i="19"/>
  <c r="R106" i="19"/>
  <c r="R70" i="19"/>
  <c r="R73" i="19"/>
  <c r="R86" i="19"/>
  <c r="R153" i="19"/>
  <c r="R93" i="19"/>
  <c r="R97" i="19"/>
  <c r="R176" i="19"/>
  <c r="R31" i="19"/>
  <c r="R111" i="19"/>
  <c r="R100" i="19"/>
  <c r="R43" i="19"/>
  <c r="R195" i="19"/>
  <c r="R49" i="19"/>
  <c r="R158" i="19"/>
  <c r="R134" i="19"/>
  <c r="R174" i="19"/>
  <c r="R10" i="19"/>
  <c r="R69" i="19"/>
  <c r="R72" i="19"/>
  <c r="R164" i="19"/>
  <c r="R193" i="19"/>
  <c r="R92" i="19"/>
  <c r="R96" i="19"/>
  <c r="R186" i="19"/>
  <c r="R81" i="19"/>
  <c r="R61" i="19"/>
  <c r="R60" i="19"/>
  <c r="R64" i="19"/>
  <c r="R30" i="19"/>
  <c r="R11" i="19"/>
  <c r="R179" i="19"/>
  <c r="R181" i="19"/>
  <c r="R183" i="19"/>
  <c r="R184" i="19"/>
  <c r="R57" i="19"/>
  <c r="R85" i="19"/>
  <c r="R87" i="19"/>
  <c r="R45" i="19"/>
  <c r="R15" i="19"/>
  <c r="R9" i="19"/>
  <c r="R22" i="19"/>
  <c r="R185" i="19"/>
  <c r="R56" i="19"/>
  <c r="R102" i="19"/>
  <c r="R104" i="19"/>
  <c r="R66" i="19"/>
  <c r="R47" i="19"/>
  <c r="R32" i="19"/>
  <c r="R24" i="19"/>
  <c r="R37" i="19"/>
  <c r="R74" i="19"/>
  <c r="R149" i="19"/>
  <c r="R151" i="19"/>
  <c r="R89" i="19"/>
  <c r="R68" i="19"/>
  <c r="R50" i="19"/>
  <c r="R53" i="19"/>
  <c r="R39" i="19"/>
  <c r="R162" i="19"/>
  <c r="I29" i="25"/>
  <c r="R40" i="19"/>
  <c r="R28" i="19"/>
  <c r="S28" i="19" s="1"/>
  <c r="F46" i="36" s="1"/>
  <c r="I33" i="32" s="1"/>
  <c r="W19" i="30" l="1"/>
  <c r="S43" i="30"/>
  <c r="W43" i="30" s="1"/>
  <c r="S31" i="30"/>
  <c r="W31" i="30" s="1"/>
  <c r="AG48" i="30"/>
  <c r="AK48" i="30" s="1"/>
  <c r="AG36" i="30"/>
  <c r="AK36" i="30" s="1"/>
  <c r="AK24" i="30"/>
  <c r="AG27" i="30"/>
  <c r="AK27" i="30" s="1"/>
  <c r="AK15" i="30"/>
  <c r="W16" i="30"/>
  <c r="S40" i="30"/>
  <c r="W40" i="30" s="1"/>
  <c r="S28" i="30"/>
  <c r="W28" i="30" s="1"/>
  <c r="AG45" i="30"/>
  <c r="AK45" i="30" s="1"/>
  <c r="AG33" i="30"/>
  <c r="AK33" i="30" s="1"/>
  <c r="AK21" i="30"/>
  <c r="S44" i="30"/>
  <c r="W44" i="30" s="1"/>
  <c r="S32" i="30"/>
  <c r="W32" i="30" s="1"/>
  <c r="W20" i="30"/>
  <c r="S35" i="30"/>
  <c r="W35" i="30" s="1"/>
  <c r="W23" i="30"/>
  <c r="S47" i="30"/>
  <c r="W47" i="30" s="1"/>
  <c r="S36" i="30"/>
  <c r="W36" i="30" s="1"/>
  <c r="W24" i="30"/>
  <c r="S48" i="30"/>
  <c r="W48" i="30" s="1"/>
  <c r="AG30" i="30"/>
  <c r="AK30" i="30" s="1"/>
  <c r="AK18" i="30"/>
  <c r="AG29" i="30"/>
  <c r="AK29" i="30" s="1"/>
  <c r="AK17" i="30"/>
  <c r="S39" i="30"/>
  <c r="W39" i="30" s="1"/>
  <c r="W15" i="30"/>
  <c r="S27" i="30"/>
  <c r="W27" i="30" s="1"/>
  <c r="AG28" i="30"/>
  <c r="AK28" i="30" s="1"/>
  <c r="AK16" i="30"/>
  <c r="AG43" i="30"/>
  <c r="AK43" i="30" s="1"/>
  <c r="AK19" i="30"/>
  <c r="AG31" i="30"/>
  <c r="AK31" i="30" s="1"/>
  <c r="W22" i="30"/>
  <c r="S34" i="30"/>
  <c r="W34" i="30" s="1"/>
  <c r="S46" i="30"/>
  <c r="W46" i="30" s="1"/>
  <c r="AG35" i="30"/>
  <c r="AK35" i="30" s="1"/>
  <c r="AK23" i="30"/>
  <c r="AG47" i="30"/>
  <c r="AK47" i="30" s="1"/>
  <c r="S29" i="30"/>
  <c r="W29" i="30" s="1"/>
  <c r="W17" i="30"/>
  <c r="S41" i="30"/>
  <c r="W41" i="30" s="1"/>
  <c r="AG44" i="30"/>
  <c r="AK44" i="30" s="1"/>
  <c r="AK20" i="30"/>
  <c r="AG32" i="30"/>
  <c r="AK32" i="30" s="1"/>
  <c r="W21" i="30"/>
  <c r="S45" i="30"/>
  <c r="W45" i="30" s="1"/>
  <c r="S33" i="30"/>
  <c r="W33" i="30" s="1"/>
  <c r="W18" i="30"/>
  <c r="S30" i="30"/>
  <c r="W30" i="30" s="1"/>
  <c r="S42" i="30"/>
  <c r="W42" i="30" s="1"/>
  <c r="AK22" i="30"/>
  <c r="AG46" i="30"/>
  <c r="AK46" i="30" s="1"/>
  <c r="AG34" i="30"/>
  <c r="AK34" i="30" s="1"/>
  <c r="L31" i="35"/>
  <c r="AI163" i="25"/>
  <c r="AF200" i="25"/>
  <c r="AG200" i="25" s="1"/>
  <c r="AG203" i="25" s="1"/>
  <c r="AH203" i="25" s="1"/>
  <c r="AG161" i="25"/>
  <c r="AI161" i="25" s="1"/>
  <c r="AG160" i="25"/>
  <c r="D82" i="25"/>
  <c r="H82" i="25" s="1"/>
  <c r="D81" i="25"/>
  <c r="F80" i="22"/>
  <c r="F79" i="22"/>
  <c r="F78" i="22"/>
  <c r="D52" i="25"/>
  <c r="E52" i="25" s="1"/>
  <c r="D53" i="25"/>
  <c r="E53" i="25" s="1"/>
  <c r="C43" i="25"/>
  <c r="C44" i="25"/>
  <c r="C45" i="25"/>
  <c r="C46" i="25"/>
  <c r="C47" i="25"/>
  <c r="C48" i="25"/>
  <c r="C49" i="25"/>
  <c r="C50" i="25"/>
  <c r="C51" i="25"/>
  <c r="C52" i="25"/>
  <c r="C53" i="25"/>
  <c r="N186" i="19"/>
  <c r="Y186" i="19"/>
  <c r="AB186" i="19" s="1"/>
  <c r="N171" i="19"/>
  <c r="E42" i="30" s="1"/>
  <c r="Y171" i="19"/>
  <c r="AB171" i="19" s="1"/>
  <c r="C42" i="25"/>
  <c r="D49" i="25"/>
  <c r="E50" i="25"/>
  <c r="D51" i="25"/>
  <c r="E51" i="25" s="1"/>
  <c r="C211" i="25"/>
  <c r="C212" i="25"/>
  <c r="C213" i="25"/>
  <c r="C214" i="25"/>
  <c r="C220" i="25"/>
  <c r="D211" i="25"/>
  <c r="D212" i="25"/>
  <c r="D213" i="25"/>
  <c r="D214" i="25"/>
  <c r="N185" i="19"/>
  <c r="Y185" i="19"/>
  <c r="AB185" i="19" s="1"/>
  <c r="N184" i="19"/>
  <c r="E47" i="30" s="1"/>
  <c r="I47" i="30" s="1"/>
  <c r="L47" i="30" s="1"/>
  <c r="Y184" i="19"/>
  <c r="AB184" i="19" s="1"/>
  <c r="O160" i="24" a="1"/>
  <c r="O160" i="24" s="1"/>
  <c r="O159" i="24" a="1"/>
  <c r="O159" i="24" s="1"/>
  <c r="O158" i="24" a="1"/>
  <c r="O158" i="24" s="1"/>
  <c r="O157" i="24" a="1"/>
  <c r="O157" i="24" s="1"/>
  <c r="E42" i="42" l="1"/>
  <c r="I42" i="42" s="1"/>
  <c r="E42" i="41"/>
  <c r="I42" i="41" s="1"/>
  <c r="E42" i="38"/>
  <c r="I42" i="38" s="1"/>
  <c r="E42" i="31"/>
  <c r="I42" i="31" s="1"/>
  <c r="H81" i="25"/>
  <c r="K81" i="25" s="1"/>
  <c r="F82" i="25"/>
  <c r="K82" i="25"/>
  <c r="F81" i="25"/>
  <c r="K46" i="31"/>
  <c r="H47" i="31"/>
  <c r="H68" i="31"/>
  <c r="I68" i="31" s="1"/>
  <c r="H46" i="31"/>
  <c r="I46" i="31" s="1"/>
  <c r="K48" i="31"/>
  <c r="H49" i="31"/>
  <c r="H48" i="31"/>
  <c r="K49" i="31"/>
  <c r="K68" i="31"/>
  <c r="K47" i="31"/>
  <c r="K34" i="31"/>
  <c r="K37" i="31"/>
  <c r="F3" i="26"/>
  <c r="K217" i="25"/>
  <c r="L217" i="25" s="1"/>
  <c r="F6" i="26"/>
  <c r="F9" i="26"/>
  <c r="F5" i="26"/>
  <c r="F4" i="26"/>
  <c r="N253" i="25"/>
  <c r="L253" i="25" s="1"/>
  <c r="O253" i="25" s="1"/>
  <c r="O254" i="25" s="1"/>
  <c r="K219" i="25"/>
  <c r="L219" i="25" s="1"/>
  <c r="K218" i="25"/>
  <c r="L218" i="25" s="1"/>
  <c r="AH157" i="25"/>
  <c r="AF157" i="25"/>
  <c r="AI160" i="25"/>
  <c r="V185" i="19"/>
  <c r="S185" i="19"/>
  <c r="V184" i="19"/>
  <c r="S184" i="19"/>
  <c r="S171" i="19"/>
  <c r="V171" i="19"/>
  <c r="L42" i="31" s="1"/>
  <c r="V186" i="19"/>
  <c r="S186" i="19"/>
  <c r="E4" i="26"/>
  <c r="E3" i="26"/>
  <c r="E5" i="26"/>
  <c r="E6" i="26"/>
  <c r="E9" i="26"/>
  <c r="H49" i="25"/>
  <c r="K49" i="25" s="1"/>
  <c r="J50" i="25"/>
  <c r="J51" i="25"/>
  <c r="H51" i="25"/>
  <c r="K51" i="25" s="1"/>
  <c r="K50" i="25"/>
  <c r="H53" i="25"/>
  <c r="K53" i="25" s="1"/>
  <c r="J53" i="25"/>
  <c r="J52" i="25"/>
  <c r="H52" i="25"/>
  <c r="K52" i="25" s="1"/>
  <c r="I52" i="25"/>
  <c r="I53" i="25"/>
  <c r="I51" i="25"/>
  <c r="H216" i="25"/>
  <c r="I216" i="25" s="1"/>
  <c r="H217" i="25"/>
  <c r="I217" i="25" s="1"/>
  <c r="H218" i="25"/>
  <c r="I218" i="25" s="1"/>
  <c r="K216" i="25"/>
  <c r="L216" i="25" s="1"/>
  <c r="H219" i="25"/>
  <c r="I219" i="25" s="1"/>
  <c r="O1" i="24"/>
  <c r="E33" i="22"/>
  <c r="A12" i="15"/>
  <c r="E7" i="15" a="1"/>
  <c r="E7" i="15" s="1"/>
  <c r="E6" i="15"/>
  <c r="E5" i="15"/>
  <c r="E4" i="15"/>
  <c r="E3" i="15"/>
  <c r="E2" i="15"/>
  <c r="B2" i="15"/>
  <c r="B3" i="15"/>
  <c r="B4" i="15"/>
  <c r="B5" i="15"/>
  <c r="B6" i="15"/>
  <c r="B7" i="15"/>
  <c r="D23" i="25"/>
  <c r="F69" i="43" l="1"/>
  <c r="F69" i="44"/>
  <c r="F69" i="37"/>
  <c r="F69" i="40"/>
  <c r="I50" i="25"/>
  <c r="F77" i="22" s="1"/>
  <c r="I48" i="31"/>
  <c r="L48" i="31"/>
  <c r="I49" i="31"/>
  <c r="L49" i="31"/>
  <c r="I47" i="31"/>
  <c r="L47" i="31"/>
  <c r="R274" i="25"/>
  <c r="N57" i="35" s="1"/>
  <c r="K35" i="31"/>
  <c r="K65" i="31"/>
  <c r="L65" i="31" s="1"/>
  <c r="K64" i="31"/>
  <c r="L64" i="31" s="1"/>
  <c r="K63" i="31"/>
  <c r="K26" i="31"/>
  <c r="L26" i="31" s="1"/>
  <c r="K59" i="31"/>
  <c r="K60" i="31"/>
  <c r="L60" i="31" s="1"/>
  <c r="K62" i="31"/>
  <c r="L62" i="31" s="1"/>
  <c r="K61" i="31"/>
  <c r="L61" i="31" s="1"/>
  <c r="K25" i="31"/>
  <c r="L25" i="31" s="1"/>
  <c r="H34" i="31"/>
  <c r="H63" i="31"/>
  <c r="H59" i="31"/>
  <c r="H65" i="31"/>
  <c r="I65" i="31" s="1"/>
  <c r="H62" i="31"/>
  <c r="I62" i="31" s="1"/>
  <c r="H61" i="31"/>
  <c r="I61" i="31" s="1"/>
  <c r="H60" i="31"/>
  <c r="I60" i="31" s="1"/>
  <c r="H64" i="31"/>
  <c r="I64" i="31" s="1"/>
  <c r="H26" i="31"/>
  <c r="I26" i="31" s="1"/>
  <c r="H35" i="31"/>
  <c r="I35" i="31" s="1"/>
  <c r="H37" i="31"/>
  <c r="I37" i="31" s="1"/>
  <c r="H25" i="31"/>
  <c r="I25" i="31" s="1"/>
  <c r="R273" i="25"/>
  <c r="N56" i="35" s="1"/>
  <c r="R270" i="25"/>
  <c r="N53" i="35" s="1"/>
  <c r="R271" i="25"/>
  <c r="N54" i="35" s="1"/>
  <c r="R272" i="25"/>
  <c r="N55" i="35" s="1"/>
  <c r="R259" i="25"/>
  <c r="N27" i="35" s="1"/>
  <c r="R260" i="25"/>
  <c r="N28" i="35" s="1"/>
  <c r="AG162" i="25"/>
  <c r="AI162" i="25" s="1"/>
  <c r="AG193" i="25"/>
  <c r="AF143" i="25" s="1"/>
  <c r="AH143" i="25" s="1"/>
  <c r="AI164" i="25"/>
  <c r="F222" i="21" s="1"/>
  <c r="AG164" i="25"/>
  <c r="AF140" i="25" s="1"/>
  <c r="AH140" i="25" s="1"/>
  <c r="H26" i="25"/>
  <c r="K26" i="25" s="1"/>
  <c r="H25" i="25"/>
  <c r="K25" i="25" s="1"/>
  <c r="E82" i="25"/>
  <c r="N6" i="25"/>
  <c r="F76" i="43" l="1"/>
  <c r="F76" i="44"/>
  <c r="F75" i="43"/>
  <c r="F75" i="44"/>
  <c r="F74" i="44"/>
  <c r="F74" i="43"/>
  <c r="N50" i="35"/>
  <c r="F76" i="37"/>
  <c r="F76" i="40"/>
  <c r="F75" i="37"/>
  <c r="F75" i="40"/>
  <c r="F74" i="37"/>
  <c r="F74" i="40"/>
  <c r="I82" i="25"/>
  <c r="J82" i="25"/>
  <c r="O196" i="19"/>
  <c r="P196" i="19" s="1"/>
  <c r="O165" i="19"/>
  <c r="P165" i="19" s="1"/>
  <c r="O168" i="19"/>
  <c r="P168" i="19" s="1"/>
  <c r="O167" i="19"/>
  <c r="P167" i="19" s="1"/>
  <c r="O166" i="19"/>
  <c r="P166" i="19" s="1"/>
  <c r="O169" i="19"/>
  <c r="P169" i="19" s="1"/>
  <c r="O170" i="19"/>
  <c r="P170" i="19" s="1"/>
  <c r="O84" i="19"/>
  <c r="P84" i="19" s="1"/>
  <c r="O82" i="19"/>
  <c r="P82" i="19" s="1"/>
  <c r="O83" i="19"/>
  <c r="P83" i="19" s="1"/>
  <c r="O78" i="19"/>
  <c r="P78" i="19" s="1"/>
  <c r="O76" i="19"/>
  <c r="P76" i="19" s="1"/>
  <c r="O77" i="19"/>
  <c r="P77" i="19" s="1"/>
  <c r="O79" i="19"/>
  <c r="P79" i="19" s="1"/>
  <c r="O143" i="19"/>
  <c r="P143" i="19" s="1"/>
  <c r="O136" i="19"/>
  <c r="P136" i="19" s="1"/>
  <c r="O138" i="19"/>
  <c r="P138" i="19" s="1"/>
  <c r="O140" i="19"/>
  <c r="P140" i="19" s="1"/>
  <c r="O147" i="19"/>
  <c r="P147" i="19" s="1"/>
  <c r="O146" i="19"/>
  <c r="P146" i="19" s="1"/>
  <c r="O145" i="19"/>
  <c r="P145" i="19" s="1"/>
  <c r="O144" i="19"/>
  <c r="P144" i="19" s="1"/>
  <c r="O148" i="19"/>
  <c r="P148" i="19" s="1"/>
  <c r="O137" i="19"/>
  <c r="P137" i="19" s="1"/>
  <c r="O141" i="19"/>
  <c r="P141" i="19" s="1"/>
  <c r="O139" i="19"/>
  <c r="P139" i="19" s="1"/>
  <c r="O142" i="19"/>
  <c r="P142" i="19" s="1"/>
  <c r="O161" i="19"/>
  <c r="P161" i="19" s="1"/>
  <c r="O115" i="19"/>
  <c r="P115" i="19" s="1"/>
  <c r="O117" i="19"/>
  <c r="P117" i="19" s="1"/>
  <c r="O113" i="19"/>
  <c r="P113" i="19" s="1"/>
  <c r="O126" i="19"/>
  <c r="P126" i="19" s="1"/>
  <c r="O121" i="19"/>
  <c r="P121" i="19" s="1"/>
  <c r="O124" i="19"/>
  <c r="P124" i="19" s="1"/>
  <c r="O116" i="19"/>
  <c r="P116" i="19" s="1"/>
  <c r="O122" i="19"/>
  <c r="P122" i="19" s="1"/>
  <c r="O129" i="19"/>
  <c r="P129" i="19" s="1"/>
  <c r="O120" i="19"/>
  <c r="P120" i="19" s="1"/>
  <c r="O118" i="19"/>
  <c r="P118" i="19" s="1"/>
  <c r="O125" i="19"/>
  <c r="P125" i="19" s="1"/>
  <c r="O130" i="19"/>
  <c r="P130" i="19" s="1"/>
  <c r="O114" i="19"/>
  <c r="P114" i="19" s="1"/>
  <c r="O127" i="19"/>
  <c r="P127" i="19" s="1"/>
  <c r="O119" i="19"/>
  <c r="P119" i="19" s="1"/>
  <c r="O123" i="19"/>
  <c r="P123" i="19" s="1"/>
  <c r="O128" i="19"/>
  <c r="P128" i="19" s="1"/>
  <c r="O94" i="19"/>
  <c r="P94" i="19" s="1"/>
  <c r="O187" i="19"/>
  <c r="P187" i="19" s="1"/>
  <c r="O191" i="19"/>
  <c r="P191" i="19" s="1"/>
  <c r="O190" i="19"/>
  <c r="P190" i="19" s="1"/>
  <c r="O188" i="19"/>
  <c r="P188" i="19" s="1"/>
  <c r="O189" i="19"/>
  <c r="P189" i="19" s="1"/>
  <c r="O48" i="19"/>
  <c r="P48" i="19" s="1"/>
  <c r="O52" i="19"/>
  <c r="P52" i="19" s="1"/>
  <c r="O17" i="19"/>
  <c r="P17" i="19" s="1"/>
  <c r="O34" i="19"/>
  <c r="P34" i="19" s="1"/>
  <c r="O33" i="19"/>
  <c r="P33" i="19" s="1"/>
  <c r="O28" i="19"/>
  <c r="P28" i="19" s="1"/>
  <c r="O197" i="19"/>
  <c r="AG178" i="25"/>
  <c r="AF142" i="25" s="1"/>
  <c r="O61" i="19"/>
  <c r="O62" i="19"/>
  <c r="M163" i="25"/>
  <c r="D189" i="25"/>
  <c r="O149" i="25"/>
  <c r="O148" i="25"/>
  <c r="F149" i="25"/>
  <c r="F148" i="25"/>
  <c r="D175" i="25"/>
  <c r="L149" i="25"/>
  <c r="L148" i="25"/>
  <c r="D163" i="25"/>
  <c r="C149" i="25"/>
  <c r="C148" i="25"/>
  <c r="K31" i="22"/>
  <c r="N194" i="19"/>
  <c r="Y194" i="19"/>
  <c r="AB194" i="19" s="1"/>
  <c r="N195" i="19"/>
  <c r="Y195" i="19"/>
  <c r="AB195" i="19" s="1"/>
  <c r="B27" i="21"/>
  <c r="C27" i="21"/>
  <c r="D27" i="21"/>
  <c r="E27" i="21"/>
  <c r="C28" i="21"/>
  <c r="D28" i="21"/>
  <c r="E28" i="21"/>
  <c r="C29" i="21"/>
  <c r="D29" i="21"/>
  <c r="E29" i="21"/>
  <c r="C30" i="21"/>
  <c r="D30" i="21"/>
  <c r="E30" i="21"/>
  <c r="C31" i="21"/>
  <c r="D31" i="21"/>
  <c r="E31" i="21"/>
  <c r="N35" i="19"/>
  <c r="F91" i="22"/>
  <c r="F86" i="22"/>
  <c r="N97" i="19"/>
  <c r="N60" i="19"/>
  <c r="Q64" i="23"/>
  <c r="O64" i="23"/>
  <c r="M64" i="23"/>
  <c r="K64" i="23"/>
  <c r="I64" i="23"/>
  <c r="G64" i="23"/>
  <c r="Z6" i="25"/>
  <c r="Z5" i="25"/>
  <c r="Z4" i="25"/>
  <c r="Z3" i="25"/>
  <c r="Q3" i="23"/>
  <c r="O3" i="23"/>
  <c r="M3" i="23"/>
  <c r="K3" i="23"/>
  <c r="M32" i="23"/>
  <c r="M31" i="23"/>
  <c r="M30" i="23"/>
  <c r="M29" i="23"/>
  <c r="M28" i="23"/>
  <c r="M27" i="23"/>
  <c r="M26" i="23"/>
  <c r="M25" i="23"/>
  <c r="M24" i="23"/>
  <c r="M23" i="23"/>
  <c r="M16" i="23"/>
  <c r="M15" i="23"/>
  <c r="M14" i="23"/>
  <c r="M13" i="23"/>
  <c r="M12" i="23"/>
  <c r="M11" i="23"/>
  <c r="M10" i="23"/>
  <c r="M9" i="23"/>
  <c r="M8" i="23"/>
  <c r="M5" i="23"/>
  <c r="K8" i="23"/>
  <c r="K9" i="23"/>
  <c r="K10" i="23"/>
  <c r="K11" i="23"/>
  <c r="K12" i="23"/>
  <c r="K14" i="23"/>
  <c r="K15" i="23"/>
  <c r="K16" i="23"/>
  <c r="K23" i="23"/>
  <c r="K24" i="23"/>
  <c r="K25" i="23"/>
  <c r="K26" i="23"/>
  <c r="K27" i="23"/>
  <c r="K28" i="23"/>
  <c r="K29" i="23"/>
  <c r="K30" i="23"/>
  <c r="K31" i="23"/>
  <c r="K32" i="23"/>
  <c r="K5" i="23"/>
  <c r="P8" i="23"/>
  <c r="Q8" i="23" s="1"/>
  <c r="P9" i="23"/>
  <c r="Q9" i="23" s="1"/>
  <c r="P10" i="23"/>
  <c r="Q10" i="23" s="1"/>
  <c r="P11" i="23"/>
  <c r="Q11" i="23" s="1"/>
  <c r="P12" i="23"/>
  <c r="Q12" i="23" s="1"/>
  <c r="P13" i="23"/>
  <c r="Q13" i="23" s="1"/>
  <c r="P14" i="23"/>
  <c r="Q14" i="23" s="1"/>
  <c r="P15" i="23"/>
  <c r="Q15" i="23" s="1"/>
  <c r="P16" i="23"/>
  <c r="Q16" i="23" s="1"/>
  <c r="P23" i="23"/>
  <c r="Q23" i="23" s="1"/>
  <c r="P24" i="23"/>
  <c r="Q24" i="23" s="1"/>
  <c r="P25" i="23"/>
  <c r="Q25" i="23" s="1"/>
  <c r="P26" i="23"/>
  <c r="Q26" i="23" s="1"/>
  <c r="P27" i="23"/>
  <c r="Q27" i="23" s="1"/>
  <c r="P28" i="23"/>
  <c r="Q28" i="23" s="1"/>
  <c r="P29" i="23"/>
  <c r="Q29" i="23" s="1"/>
  <c r="P30" i="23"/>
  <c r="Q30" i="23" s="1"/>
  <c r="P31" i="23"/>
  <c r="Q31" i="23" s="1"/>
  <c r="P32" i="23"/>
  <c r="Q32" i="23" s="1"/>
  <c r="P5" i="23"/>
  <c r="Q5" i="23" s="1"/>
  <c r="N8" i="23"/>
  <c r="N9" i="23"/>
  <c r="N10" i="23"/>
  <c r="N11" i="23"/>
  <c r="N12" i="23"/>
  <c r="N13" i="23"/>
  <c r="N14" i="23"/>
  <c r="N15" i="23"/>
  <c r="N16" i="23"/>
  <c r="N23" i="23"/>
  <c r="N24" i="23"/>
  <c r="N25" i="23"/>
  <c r="N26" i="23"/>
  <c r="N27" i="23"/>
  <c r="N28" i="23"/>
  <c r="N29" i="23"/>
  <c r="N30" i="23"/>
  <c r="N31" i="23"/>
  <c r="N32" i="23"/>
  <c r="N5" i="23"/>
  <c r="M24" i="19"/>
  <c r="N24" i="19" s="1"/>
  <c r="N23" i="19"/>
  <c r="Y23" i="19"/>
  <c r="AB23" i="19" s="1"/>
  <c r="N2" i="25"/>
  <c r="L4" i="25"/>
  <c r="O11" i="25"/>
  <c r="D2" i="25"/>
  <c r="D3" i="25"/>
  <c r="D4" i="25"/>
  <c r="D5" i="25"/>
  <c r="A2" i="25"/>
  <c r="C2" i="25"/>
  <c r="C3" i="25"/>
  <c r="C4" i="25"/>
  <c r="C5" i="25"/>
  <c r="C6" i="25"/>
  <c r="C7" i="25"/>
  <c r="C8" i="25"/>
  <c r="C10" i="25"/>
  <c r="A12" i="25"/>
  <c r="B12" i="25"/>
  <c r="C12" i="25"/>
  <c r="D12" i="25"/>
  <c r="C13" i="25"/>
  <c r="D13" i="25"/>
  <c r="C14" i="25"/>
  <c r="D14" i="25"/>
  <c r="C15" i="25"/>
  <c r="D15" i="25"/>
  <c r="C16" i="25"/>
  <c r="D16" i="25"/>
  <c r="C17" i="25"/>
  <c r="C18" i="25"/>
  <c r="D18" i="25"/>
  <c r="C19" i="25"/>
  <c r="D19" i="25"/>
  <c r="C20" i="25"/>
  <c r="D20" i="25"/>
  <c r="C21" i="25"/>
  <c r="D21" i="25"/>
  <c r="C22" i="25"/>
  <c r="D22" i="25"/>
  <c r="D24" i="25"/>
  <c r="D25" i="25"/>
  <c r="B32" i="25"/>
  <c r="C32" i="25"/>
  <c r="D32" i="25"/>
  <c r="B33" i="25"/>
  <c r="C33" i="25"/>
  <c r="D33" i="25"/>
  <c r="B34" i="25"/>
  <c r="C34" i="25"/>
  <c r="D34" i="25"/>
  <c r="B35" i="25"/>
  <c r="C35" i="25"/>
  <c r="D35" i="25"/>
  <c r="B36" i="25"/>
  <c r="C36" i="25"/>
  <c r="D36" i="25"/>
  <c r="B37" i="25"/>
  <c r="C37" i="25"/>
  <c r="D37" i="25"/>
  <c r="A58" i="25"/>
  <c r="C58" i="25"/>
  <c r="D58" i="25"/>
  <c r="C59" i="25"/>
  <c r="D59" i="25"/>
  <c r="C60" i="25"/>
  <c r="D60" i="25"/>
  <c r="H60" i="25" s="1"/>
  <c r="K60" i="25" s="1"/>
  <c r="C61" i="25"/>
  <c r="D61" i="25"/>
  <c r="H61" i="25" s="1"/>
  <c r="K61" i="25" s="1"/>
  <c r="C62" i="25"/>
  <c r="D62" i="25"/>
  <c r="H62" i="25" s="1"/>
  <c r="K62" i="25" s="1"/>
  <c r="C63" i="25"/>
  <c r="C64" i="25"/>
  <c r="D64" i="25"/>
  <c r="H64" i="25" s="1"/>
  <c r="K64" i="25" s="1"/>
  <c r="C65" i="25"/>
  <c r="D65" i="25"/>
  <c r="H65" i="25" s="1"/>
  <c r="K65" i="25" s="1"/>
  <c r="C66" i="25"/>
  <c r="D66" i="25"/>
  <c r="C67" i="25"/>
  <c r="D67" i="25"/>
  <c r="C68" i="25"/>
  <c r="C69" i="25"/>
  <c r="D69" i="25"/>
  <c r="H69" i="25" s="1"/>
  <c r="C71" i="25"/>
  <c r="D71" i="25"/>
  <c r="C81" i="25"/>
  <c r="C82" i="25"/>
  <c r="P5" i="25"/>
  <c r="M191" i="25" l="1"/>
  <c r="N191" i="25" s="1"/>
  <c r="P191" i="25" s="1"/>
  <c r="D191" i="25"/>
  <c r="E191" i="25" s="1"/>
  <c r="G191" i="25" s="1"/>
  <c r="Q51" i="25"/>
  <c r="Q19" i="25"/>
  <c r="Q20" i="25"/>
  <c r="Q21" i="25"/>
  <c r="K18" i="30"/>
  <c r="AG39" i="30" a="1"/>
  <c r="AG39" i="30" s="1"/>
  <c r="AG42" i="30" a="1"/>
  <c r="AG42" i="30" s="1"/>
  <c r="AG41" i="30" a="1"/>
  <c r="AG41" i="30" s="1"/>
  <c r="AG40" i="30" a="1"/>
  <c r="AG40" i="30" s="1"/>
  <c r="W15" i="25"/>
  <c r="S17" i="25" a="1"/>
  <c r="S17" i="25" s="1"/>
  <c r="S41" i="25" s="1"/>
  <c r="W41" i="25" s="1"/>
  <c r="AG16" i="25" a="1"/>
  <c r="AG16" i="25" s="1"/>
  <c r="AG17" i="25" a="1"/>
  <c r="AG17" i="25" s="1"/>
  <c r="AG15" i="25" a="1"/>
  <c r="AG15" i="25" s="1"/>
  <c r="S16" i="25" a="1"/>
  <c r="S16" i="25" s="1"/>
  <c r="S40" i="25" s="1"/>
  <c r="W40" i="25" s="1"/>
  <c r="AG18" i="25" a="1"/>
  <c r="AG18" i="25" s="1"/>
  <c r="S18" i="25" a="1"/>
  <c r="S18" i="25" s="1"/>
  <c r="S42" i="25" s="1"/>
  <c r="W42" i="25" s="1"/>
  <c r="H66" i="25"/>
  <c r="K66" i="25" s="1"/>
  <c r="H42" i="25"/>
  <c r="K42" i="25" s="1"/>
  <c r="L20" i="30"/>
  <c r="L19" i="30"/>
  <c r="F94" i="36"/>
  <c r="F62" i="36"/>
  <c r="F61" i="36"/>
  <c r="F74" i="36"/>
  <c r="Q52" i="25"/>
  <c r="D47" i="25"/>
  <c r="H47" i="25" s="1"/>
  <c r="K47" i="25" s="1"/>
  <c r="D46" i="25"/>
  <c r="D45" i="25"/>
  <c r="D44" i="25"/>
  <c r="D43" i="25"/>
  <c r="D42" i="25"/>
  <c r="E42" i="25" s="1"/>
  <c r="D48" i="25"/>
  <c r="H48" i="25" s="1"/>
  <c r="K48" i="25" s="1"/>
  <c r="L29" i="25"/>
  <c r="L28" i="25"/>
  <c r="L30" i="25"/>
  <c r="L80" i="25"/>
  <c r="F105" i="22" s="1"/>
  <c r="L52" i="25"/>
  <c r="L78" i="25"/>
  <c r="L72" i="25"/>
  <c r="F96" i="22" s="1"/>
  <c r="L73" i="25"/>
  <c r="F97" i="22" s="1"/>
  <c r="L50" i="25"/>
  <c r="L20" i="25"/>
  <c r="L51" i="25"/>
  <c r="L53" i="25"/>
  <c r="L19" i="25"/>
  <c r="L82" i="25"/>
  <c r="H59" i="25"/>
  <c r="K59" i="25" s="1"/>
  <c r="H22" i="25"/>
  <c r="I22" i="25" s="1"/>
  <c r="L22" i="25" s="1"/>
  <c r="Q9" i="25"/>
  <c r="R9" i="25" s="1"/>
  <c r="T9" i="25" s="1"/>
  <c r="Q7" i="25"/>
  <c r="F70" i="25"/>
  <c r="AG42" i="25" a="1"/>
  <c r="AG42" i="25" s="1"/>
  <c r="AK42" i="25" s="1"/>
  <c r="AG41" i="25" a="1"/>
  <c r="AG41" i="25" s="1"/>
  <c r="AK41" i="25" s="1"/>
  <c r="AG40" i="25" a="1"/>
  <c r="AG40" i="25" s="1"/>
  <c r="AK40" i="25" s="1"/>
  <c r="AG39" i="25" a="1"/>
  <c r="AG39" i="25" s="1"/>
  <c r="AK39" i="25" s="1"/>
  <c r="Q27" i="25"/>
  <c r="AE30" i="25"/>
  <c r="AE39" i="25"/>
  <c r="AE43" i="25"/>
  <c r="AE40" i="25"/>
  <c r="AE19" i="25"/>
  <c r="AE42" i="25"/>
  <c r="AE21" i="25"/>
  <c r="AE29" i="25"/>
  <c r="AE45" i="25"/>
  <c r="AE44" i="25"/>
  <c r="F14" i="25"/>
  <c r="AE20" i="25"/>
  <c r="AE28" i="25"/>
  <c r="AE41" i="25"/>
  <c r="AE33" i="25"/>
  <c r="AE27" i="25"/>
  <c r="AE32" i="25"/>
  <c r="AE31" i="25"/>
  <c r="H36" i="25"/>
  <c r="K36" i="25" s="1"/>
  <c r="F107" i="22"/>
  <c r="H35" i="25"/>
  <c r="H34" i="25"/>
  <c r="K34" i="25" s="1"/>
  <c r="F18" i="25"/>
  <c r="H18" i="25"/>
  <c r="K18" i="25" s="1"/>
  <c r="AH168" i="25"/>
  <c r="AH169" i="25" s="1"/>
  <c r="AH182" i="25"/>
  <c r="AH183" i="25" s="1"/>
  <c r="AF168" i="25"/>
  <c r="AF169" i="25" s="1"/>
  <c r="AF188" i="25"/>
  <c r="AF174" i="25"/>
  <c r="AF182" i="25"/>
  <c r="AF183" i="25" s="1"/>
  <c r="F45" i="25"/>
  <c r="AI149" i="25"/>
  <c r="AJ149" i="25" s="1"/>
  <c r="AI148" i="25"/>
  <c r="AJ148" i="25" s="1"/>
  <c r="AH142" i="25"/>
  <c r="AH144" i="25" s="1"/>
  <c r="AF144" i="25"/>
  <c r="I17" i="25"/>
  <c r="L17" i="25" s="1"/>
  <c r="F46" i="22" s="1"/>
  <c r="I16" i="32" s="1"/>
  <c r="H37" i="25"/>
  <c r="K37" i="25" s="1"/>
  <c r="V194" i="19"/>
  <c r="S194" i="19"/>
  <c r="V23" i="19"/>
  <c r="S23" i="19"/>
  <c r="P60" i="19"/>
  <c r="V60" i="19"/>
  <c r="S60" i="19"/>
  <c r="V195" i="19"/>
  <c r="S195" i="19"/>
  <c r="V35" i="19"/>
  <c r="S35" i="19"/>
  <c r="V97" i="19"/>
  <c r="S97" i="19"/>
  <c r="S24" i="19"/>
  <c r="V24" i="19"/>
  <c r="E25" i="25"/>
  <c r="J25" i="25" s="1"/>
  <c r="I25" i="25"/>
  <c r="L25" i="25" s="1"/>
  <c r="K13" i="23"/>
  <c r="H71" i="25"/>
  <c r="K71" i="25" s="1"/>
  <c r="H67" i="25"/>
  <c r="K67" i="25" s="1"/>
  <c r="K69" i="25"/>
  <c r="H27" i="25"/>
  <c r="K27" i="25" s="1"/>
  <c r="Q40" i="25"/>
  <c r="Q41" i="25"/>
  <c r="Q42" i="25"/>
  <c r="Q28" i="25"/>
  <c r="Q44" i="25"/>
  <c r="Q39" i="25"/>
  <c r="Q45" i="25"/>
  <c r="Q30" i="25"/>
  <c r="Q43" i="25"/>
  <c r="Q29" i="25"/>
  <c r="Q48" i="25"/>
  <c r="Q47" i="25"/>
  <c r="Q46" i="25"/>
  <c r="P148" i="25"/>
  <c r="P149" i="25"/>
  <c r="G148" i="25"/>
  <c r="G149" i="25"/>
  <c r="F37" i="25"/>
  <c r="F57" i="22"/>
  <c r="Q35" i="25"/>
  <c r="Q34" i="25"/>
  <c r="Q33" i="25"/>
  <c r="Q31" i="25"/>
  <c r="Q32" i="25"/>
  <c r="Q36" i="25"/>
  <c r="I24" i="25"/>
  <c r="L24" i="25" s="1"/>
  <c r="E24" i="25"/>
  <c r="J24" i="25" s="1"/>
  <c r="G162" i="25"/>
  <c r="B69" i="21"/>
  <c r="L119" i="25"/>
  <c r="C119" i="25"/>
  <c r="N137" i="25"/>
  <c r="N136" i="25"/>
  <c r="F167" i="25"/>
  <c r="F169" i="25" s="1"/>
  <c r="E23" i="25"/>
  <c r="J23" i="25" s="1"/>
  <c r="E65" i="25"/>
  <c r="J65" i="25" s="1"/>
  <c r="E27" i="25"/>
  <c r="J27" i="25" s="1"/>
  <c r="E26" i="25"/>
  <c r="I23" i="25"/>
  <c r="L23" i="25" s="1"/>
  <c r="E61" i="25"/>
  <c r="J61" i="25" s="1"/>
  <c r="E67" i="25"/>
  <c r="J67" i="25" s="1"/>
  <c r="E62" i="25"/>
  <c r="J62" i="25" s="1"/>
  <c r="E71" i="25"/>
  <c r="J71" i="25" s="1"/>
  <c r="E64" i="25"/>
  <c r="J64" i="25" s="1"/>
  <c r="Q11" i="25"/>
  <c r="R11" i="25" s="1"/>
  <c r="T11" i="25" s="1"/>
  <c r="N4" i="25"/>
  <c r="F13" i="25"/>
  <c r="Q10" i="25"/>
  <c r="Q8" i="25"/>
  <c r="J276" i="25" l="1"/>
  <c r="S27" i="25"/>
  <c r="W27" i="25" s="1"/>
  <c r="S39" i="25"/>
  <c r="W39" i="25" s="1"/>
  <c r="AK40" i="30"/>
  <c r="AK41" i="30"/>
  <c r="AK42" i="30"/>
  <c r="AK39" i="30"/>
  <c r="K66" i="30"/>
  <c r="K42" i="30"/>
  <c r="I42" i="30"/>
  <c r="H43" i="25"/>
  <c r="K43" i="25" s="1"/>
  <c r="H46" i="25"/>
  <c r="K46" i="25" s="1"/>
  <c r="W51" i="25"/>
  <c r="AG30" i="25"/>
  <c r="AK30" i="25" s="1"/>
  <c r="AK18" i="25"/>
  <c r="AG27" i="25"/>
  <c r="AK27" i="25" s="1"/>
  <c r="AK15" i="25"/>
  <c r="AG28" i="25"/>
  <c r="AK28" i="25" s="1"/>
  <c r="AK16" i="25"/>
  <c r="AK17" i="25"/>
  <c r="AG29" i="25"/>
  <c r="AK29" i="25" s="1"/>
  <c r="K35" i="25"/>
  <c r="I26" i="25"/>
  <c r="L26" i="25" s="1"/>
  <c r="J26" i="25"/>
  <c r="K22" i="25"/>
  <c r="F16" i="25"/>
  <c r="S29" i="25"/>
  <c r="W29" i="25" s="1"/>
  <c r="W17" i="25"/>
  <c r="S28" i="25"/>
  <c r="W28" i="25" s="1"/>
  <c r="W16" i="25"/>
  <c r="S30" i="25"/>
  <c r="W30" i="25" s="1"/>
  <c r="W18" i="25"/>
  <c r="F15" i="25"/>
  <c r="N192" i="25"/>
  <c r="P192" i="25" s="1"/>
  <c r="J275" i="25"/>
  <c r="E174" i="25"/>
  <c r="M173" i="25"/>
  <c r="N173" i="25" s="1"/>
  <c r="S161" i="25"/>
  <c r="T161" i="25" s="1"/>
  <c r="M187" i="25"/>
  <c r="N187" i="25" s="1"/>
  <c r="D187" i="25"/>
  <c r="D173" i="25"/>
  <c r="AG188" i="25"/>
  <c r="AI188" i="25" s="1"/>
  <c r="AI193" i="25" s="1"/>
  <c r="F225" i="21" s="1"/>
  <c r="F183" i="25"/>
  <c r="AG174" i="25"/>
  <c r="AI174" i="25" s="1"/>
  <c r="AI178" i="25" s="1"/>
  <c r="F223" i="21" s="1"/>
  <c r="R8" i="25"/>
  <c r="D161" i="25"/>
  <c r="I27" i="25"/>
  <c r="L27" i="25" s="1"/>
  <c r="E223" i="21"/>
  <c r="E225" i="21"/>
  <c r="I64" i="25"/>
  <c r="L64" i="25" s="1"/>
  <c r="I71" i="25"/>
  <c r="L71" i="25" s="1"/>
  <c r="I65" i="25"/>
  <c r="I67" i="25"/>
  <c r="L67" i="25" s="1"/>
  <c r="I61" i="25"/>
  <c r="I62" i="25"/>
  <c r="L62" i="25" s="1"/>
  <c r="I42" i="25"/>
  <c r="L42" i="25" s="1"/>
  <c r="H149" i="25"/>
  <c r="D135" i="25"/>
  <c r="E175" i="25" s="1"/>
  <c r="D201" i="25" s="1"/>
  <c r="E201" i="25" s="1"/>
  <c r="R10" i="25"/>
  <c r="M161" i="25"/>
  <c r="N189" i="25"/>
  <c r="M202" i="25" s="1"/>
  <c r="N202" i="25" s="1"/>
  <c r="N175" i="25"/>
  <c r="M201" i="25" s="1"/>
  <c r="N201" i="25" s="1"/>
  <c r="Q148" i="25"/>
  <c r="Q149" i="25"/>
  <c r="E189" i="25"/>
  <c r="D183" i="25"/>
  <c r="H148" i="25"/>
  <c r="P162" i="25"/>
  <c r="Q136" i="25"/>
  <c r="Q134" i="25"/>
  <c r="N134" i="25"/>
  <c r="R7" i="25"/>
  <c r="T7" i="25" s="1"/>
  <c r="L42" i="30" l="1"/>
  <c r="F69" i="36" s="1"/>
  <c r="K43" i="30"/>
  <c r="F85" i="22"/>
  <c r="L61" i="25"/>
  <c r="F89" i="22"/>
  <c r="L65" i="25"/>
  <c r="T8" i="25"/>
  <c r="D202" i="25"/>
  <c r="E202" i="25" s="1"/>
  <c r="J272" i="25"/>
  <c r="J273" i="25"/>
  <c r="L270" i="25" s="1"/>
  <c r="M50" i="35" s="1"/>
  <c r="V161" i="25"/>
  <c r="E222" i="21"/>
  <c r="M154" i="25"/>
  <c r="N163" i="25"/>
  <c r="T10" i="25"/>
  <c r="I33" i="25"/>
  <c r="L33" i="25" s="1"/>
  <c r="H134" i="25"/>
  <c r="E173" i="25"/>
  <c r="G173" i="25" s="1"/>
  <c r="F40" i="21"/>
  <c r="E187" i="25"/>
  <c r="G187" i="25" s="1"/>
  <c r="F41" i="21"/>
  <c r="P188" i="25"/>
  <c r="H136" i="25"/>
  <c r="E163" i="25"/>
  <c r="G189" i="25"/>
  <c r="P175" i="25"/>
  <c r="P173" i="25"/>
  <c r="P187" i="25"/>
  <c r="P174" i="25"/>
  <c r="G174" i="25"/>
  <c r="E188" i="25"/>
  <c r="G188" i="25" s="1"/>
  <c r="G175" i="25"/>
  <c r="P189" i="25"/>
  <c r="M27" i="19"/>
  <c r="N27" i="19" s="1"/>
  <c r="N161" i="25" l="1"/>
  <c r="P161" i="25" s="1"/>
  <c r="I35" i="32"/>
  <c r="F62" i="22"/>
  <c r="V27" i="19"/>
  <c r="S27" i="19"/>
  <c r="P163" i="25"/>
  <c r="M200" i="25"/>
  <c r="N200" i="25" s="1"/>
  <c r="N203" i="25" s="1"/>
  <c r="O203" i="25" s="1"/>
  <c r="G163" i="25"/>
  <c r="D200" i="25"/>
  <c r="E200" i="25" s="1"/>
  <c r="E203" i="25" s="1"/>
  <c r="F203" i="25" s="1"/>
  <c r="D154" i="25"/>
  <c r="F39" i="21"/>
  <c r="E161" i="25"/>
  <c r="G161" i="25" s="1"/>
  <c r="N183" i="19"/>
  <c r="Y183" i="19"/>
  <c r="AB183" i="19" s="1"/>
  <c r="N182" i="19"/>
  <c r="Y182" i="19"/>
  <c r="AB182" i="19" s="1"/>
  <c r="N181" i="19"/>
  <c r="E48" i="25" s="1"/>
  <c r="I48" i="25" s="1"/>
  <c r="Y181" i="19"/>
  <c r="AB181" i="19" s="1"/>
  <c r="N180" i="19"/>
  <c r="Y180" i="19"/>
  <c r="AB180" i="19" s="1"/>
  <c r="N26" i="19"/>
  <c r="E46" i="25" l="1"/>
  <c r="E49" i="25"/>
  <c r="I49" i="25" s="1"/>
  <c r="E48" i="30"/>
  <c r="I48" i="30" s="1"/>
  <c r="L48" i="30" s="1"/>
  <c r="F75" i="36" s="1"/>
  <c r="E47" i="25"/>
  <c r="I47" i="25" s="1"/>
  <c r="L47" i="25" s="1"/>
  <c r="F74" i="22" s="1"/>
  <c r="E46" i="30"/>
  <c r="I46" i="30" s="1"/>
  <c r="L46" i="30" s="1"/>
  <c r="F73" i="36" s="1"/>
  <c r="F62" i="37"/>
  <c r="I51" i="32" s="1"/>
  <c r="F62" i="40"/>
  <c r="F76" i="22"/>
  <c r="L49" i="25"/>
  <c r="L48" i="25"/>
  <c r="F75" i="22" s="1"/>
  <c r="S182" i="19"/>
  <c r="V182" i="19"/>
  <c r="V181" i="19"/>
  <c r="S181" i="19"/>
  <c r="S183" i="19"/>
  <c r="V183" i="19"/>
  <c r="S26" i="19"/>
  <c r="V26" i="19"/>
  <c r="S180" i="19"/>
  <c r="V180" i="19"/>
  <c r="E134" i="24" a="1"/>
  <c r="E134" i="24" s="1"/>
  <c r="F134" i="24" a="1"/>
  <c r="F134" i="24" s="1"/>
  <c r="G134" i="24" a="1"/>
  <c r="G134" i="24" s="1"/>
  <c r="H134" i="24" a="1"/>
  <c r="I134" i="24" a="1"/>
  <c r="I134" i="24" s="1"/>
  <c r="J134" i="24" a="1"/>
  <c r="J134" i="24" s="1"/>
  <c r="K134" i="24" a="1"/>
  <c r="K134" i="24" s="1"/>
  <c r="L134" i="24" a="1"/>
  <c r="L134" i="24" s="1"/>
  <c r="M134" i="24" a="1"/>
  <c r="M134" i="24" s="1"/>
  <c r="N134" i="24" a="1"/>
  <c r="N134" i="24" s="1"/>
  <c r="O134" i="24" a="1"/>
  <c r="O134" i="24" s="1"/>
  <c r="P134" i="24" a="1"/>
  <c r="P134" i="24" s="1"/>
  <c r="Q134" i="24" a="1"/>
  <c r="Q134" i="24" s="1"/>
  <c r="R134" i="24" a="1"/>
  <c r="R134" i="24" s="1"/>
  <c r="S134" i="24" a="1"/>
  <c r="S134" i="24" s="1"/>
  <c r="V134" i="24" a="1"/>
  <c r="V134" i="24" s="1"/>
  <c r="W134" i="24" a="1"/>
  <c r="W134" i="24" s="1"/>
  <c r="X134" i="24" a="1"/>
  <c r="X134" i="24" s="1"/>
  <c r="Y134" i="24" a="1"/>
  <c r="Y134" i="24" s="1"/>
  <c r="Z134" i="24" a="1"/>
  <c r="Z134" i="24" s="1"/>
  <c r="AA134" i="24" a="1"/>
  <c r="AA134" i="24" s="1"/>
  <c r="D134" i="24" a="1"/>
  <c r="D134" i="24" s="1"/>
  <c r="H134" i="24" l="1"/>
  <c r="D178" i="24"/>
  <c r="C25" i="25" l="1"/>
  <c r="C23" i="25"/>
  <c r="A3" i="24"/>
  <c r="N31" i="19"/>
  <c r="E21" i="25" s="1"/>
  <c r="N32" i="19"/>
  <c r="N36" i="19"/>
  <c r="N37" i="19"/>
  <c r="N44" i="19"/>
  <c r="N45" i="19"/>
  <c r="N46" i="19"/>
  <c r="N51" i="19"/>
  <c r="N53" i="19"/>
  <c r="N55" i="19"/>
  <c r="N56" i="19"/>
  <c r="N57" i="19"/>
  <c r="N21" i="19"/>
  <c r="N22" i="19"/>
  <c r="N63" i="19"/>
  <c r="N64" i="19"/>
  <c r="N65" i="19"/>
  <c r="N66" i="19"/>
  <c r="N67" i="19"/>
  <c r="N68" i="19"/>
  <c r="N69" i="19"/>
  <c r="N70" i="19"/>
  <c r="N71" i="19"/>
  <c r="E37" i="25" s="1"/>
  <c r="N72" i="19"/>
  <c r="E34" i="30" s="1"/>
  <c r="N73" i="19"/>
  <c r="N74" i="19"/>
  <c r="N75" i="19"/>
  <c r="N80" i="19"/>
  <c r="N81" i="19"/>
  <c r="N85" i="19"/>
  <c r="N86" i="19"/>
  <c r="E63" i="30"/>
  <c r="N49" i="19"/>
  <c r="N50" i="19"/>
  <c r="E69" i="30"/>
  <c r="E69" i="25"/>
  <c r="N91" i="19"/>
  <c r="N92" i="19"/>
  <c r="N38" i="19"/>
  <c r="N39" i="19"/>
  <c r="N40" i="19"/>
  <c r="N41" i="19"/>
  <c r="E59" i="25" s="1"/>
  <c r="J59" i="25" s="1"/>
  <c r="N42" i="19"/>
  <c r="N43" i="19"/>
  <c r="N58" i="19"/>
  <c r="N59" i="19"/>
  <c r="N93" i="19"/>
  <c r="E74" i="25" s="1"/>
  <c r="N95" i="19"/>
  <c r="N96" i="19"/>
  <c r="E68" i="30" s="1"/>
  <c r="J68" i="30" s="1"/>
  <c r="N98" i="19"/>
  <c r="N99" i="19"/>
  <c r="N87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31" i="19"/>
  <c r="N132" i="19"/>
  <c r="N133" i="19"/>
  <c r="N134" i="19"/>
  <c r="N135" i="19"/>
  <c r="N149" i="19"/>
  <c r="N150" i="19"/>
  <c r="E76" i="30" s="1"/>
  <c r="N151" i="19"/>
  <c r="E77" i="30" s="1"/>
  <c r="N152" i="19"/>
  <c r="E77" i="25" s="1"/>
  <c r="N153" i="19"/>
  <c r="N154" i="19"/>
  <c r="E79" i="25" s="1"/>
  <c r="N155" i="19"/>
  <c r="N156" i="19"/>
  <c r="N157" i="19"/>
  <c r="N201" i="19"/>
  <c r="N202" i="19"/>
  <c r="N203" i="19"/>
  <c r="N204" i="19"/>
  <c r="N205" i="19"/>
  <c r="N158" i="19"/>
  <c r="N159" i="19"/>
  <c r="N160" i="19"/>
  <c r="N162" i="19"/>
  <c r="N163" i="19"/>
  <c r="N164" i="19"/>
  <c r="N29" i="19"/>
  <c r="N30" i="19"/>
  <c r="N172" i="19"/>
  <c r="E43" i="30" s="1"/>
  <c r="I43" i="30" s="1"/>
  <c r="L43" i="30" s="1"/>
  <c r="F70" i="36" s="1"/>
  <c r="N173" i="19"/>
  <c r="E44" i="30" s="1"/>
  <c r="I44" i="30" s="1"/>
  <c r="L44" i="30" s="1"/>
  <c r="F71" i="36" s="1"/>
  <c r="N174" i="19"/>
  <c r="N175" i="19"/>
  <c r="N176" i="19"/>
  <c r="N177" i="19"/>
  <c r="N178" i="19"/>
  <c r="I46" i="25" s="1"/>
  <c r="L46" i="25" s="1"/>
  <c r="F73" i="22" s="1"/>
  <c r="N179" i="19"/>
  <c r="N192" i="19"/>
  <c r="N193" i="19"/>
  <c r="N199" i="19"/>
  <c r="N200" i="19"/>
  <c r="I3" i="23"/>
  <c r="G3" i="23"/>
  <c r="E45" i="30" l="1"/>
  <c r="I45" i="30" s="1"/>
  <c r="L45" i="30" s="1"/>
  <c r="F72" i="36" s="1"/>
  <c r="J77" i="30"/>
  <c r="I77" i="30"/>
  <c r="L77" i="30" s="1"/>
  <c r="F101" i="36" s="1"/>
  <c r="E75" i="25"/>
  <c r="E75" i="30"/>
  <c r="J76" i="30"/>
  <c r="I76" i="30"/>
  <c r="L76" i="30" s="1"/>
  <c r="F100" i="36" s="1"/>
  <c r="J79" i="25"/>
  <c r="I79" i="25"/>
  <c r="L79" i="25" s="1"/>
  <c r="F104" i="22" s="1"/>
  <c r="I235" i="25"/>
  <c r="E235" i="25"/>
  <c r="E234" i="25"/>
  <c r="I234" i="25"/>
  <c r="E76" i="25"/>
  <c r="J76" i="25" s="1"/>
  <c r="E232" i="25"/>
  <c r="I232" i="25"/>
  <c r="E233" i="25"/>
  <c r="I233" i="25"/>
  <c r="I236" i="25"/>
  <c r="E236" i="25"/>
  <c r="E219" i="25"/>
  <c r="J77" i="25"/>
  <c r="I77" i="25"/>
  <c r="L77" i="25" s="1"/>
  <c r="F101" i="22" s="1"/>
  <c r="J69" i="30"/>
  <c r="I69" i="30"/>
  <c r="L69" i="30" s="1"/>
  <c r="F93" i="36" s="1"/>
  <c r="J74" i="25"/>
  <c r="I74" i="25"/>
  <c r="L74" i="25" s="1"/>
  <c r="F98" i="22" s="1"/>
  <c r="H13" i="30"/>
  <c r="K13" i="30" s="1"/>
  <c r="E217" i="25"/>
  <c r="E216" i="25"/>
  <c r="E35" i="30"/>
  <c r="J35" i="30" s="1"/>
  <c r="I35" i="30"/>
  <c r="L35" i="30" s="1"/>
  <c r="F64" i="36" s="1"/>
  <c r="J34" i="30"/>
  <c r="I34" i="30"/>
  <c r="L34" i="30" s="1"/>
  <c r="F63" i="36" s="1"/>
  <c r="AC8" i="25"/>
  <c r="AF8" i="25" s="1"/>
  <c r="AJ8" i="25" s="1"/>
  <c r="AL8" i="25" s="1"/>
  <c r="AC8" i="30"/>
  <c r="AF8" i="30" s="1"/>
  <c r="J75" i="25"/>
  <c r="I75" i="25"/>
  <c r="L75" i="25" s="1"/>
  <c r="F99" i="22" s="1"/>
  <c r="E36" i="25"/>
  <c r="E36" i="30"/>
  <c r="J69" i="25"/>
  <c r="I69" i="25"/>
  <c r="L69" i="25" s="1"/>
  <c r="F93" i="22" s="1"/>
  <c r="J63" i="30"/>
  <c r="I63" i="30"/>
  <c r="L63" i="30" s="1"/>
  <c r="F87" i="36" s="1"/>
  <c r="E218" i="25"/>
  <c r="E66" i="25"/>
  <c r="I66" i="25" s="1"/>
  <c r="E66" i="30"/>
  <c r="AC15" i="30"/>
  <c r="AF15" i="30" s="1"/>
  <c r="O15" i="30"/>
  <c r="E81" i="30"/>
  <c r="E60" i="25"/>
  <c r="I60" i="25" s="1"/>
  <c r="L60" i="25" s="1"/>
  <c r="E59" i="30"/>
  <c r="E34" i="41"/>
  <c r="I34" i="41" s="1"/>
  <c r="E34" i="38"/>
  <c r="I34" i="38" s="1"/>
  <c r="E34" i="42"/>
  <c r="I34" i="42" s="1"/>
  <c r="E71" i="38"/>
  <c r="I71" i="38" s="1"/>
  <c r="E71" i="41"/>
  <c r="I71" i="41" s="1"/>
  <c r="E71" i="42"/>
  <c r="I71" i="42" s="1"/>
  <c r="E45" i="31"/>
  <c r="E45" i="41"/>
  <c r="E45" i="38"/>
  <c r="E45" i="42"/>
  <c r="E36" i="41"/>
  <c r="I36" i="41" s="1"/>
  <c r="E36" i="42"/>
  <c r="I36" i="42" s="1"/>
  <c r="E36" i="31"/>
  <c r="I36" i="31" s="1"/>
  <c r="E36" i="38"/>
  <c r="I36" i="38" s="1"/>
  <c r="H13" i="42"/>
  <c r="I13" i="42" s="1"/>
  <c r="H13" i="41"/>
  <c r="I13" i="41" s="1"/>
  <c r="H13" i="38"/>
  <c r="I13" i="38" s="1"/>
  <c r="O15" i="42"/>
  <c r="O15" i="38"/>
  <c r="O15" i="41"/>
  <c r="E43" i="31"/>
  <c r="E43" i="42"/>
  <c r="E43" i="41"/>
  <c r="E43" i="38"/>
  <c r="E44" i="31"/>
  <c r="E44" i="41"/>
  <c r="E44" i="38"/>
  <c r="E44" i="42"/>
  <c r="B55" i="37"/>
  <c r="B56" i="37"/>
  <c r="B59" i="37"/>
  <c r="B57" i="37"/>
  <c r="B58" i="37"/>
  <c r="B59" i="40"/>
  <c r="B58" i="40"/>
  <c r="B57" i="40"/>
  <c r="B56" i="40"/>
  <c r="B55" i="40"/>
  <c r="AC15" i="25"/>
  <c r="AF15" i="25" s="1"/>
  <c r="AH15" i="25" s="1"/>
  <c r="AL15" i="25" s="1"/>
  <c r="E35" i="25"/>
  <c r="I35" i="25"/>
  <c r="L35" i="25" s="1"/>
  <c r="E34" i="25"/>
  <c r="J37" i="25"/>
  <c r="I37" i="25"/>
  <c r="L37" i="25" s="1"/>
  <c r="J22" i="25"/>
  <c r="I59" i="31"/>
  <c r="E214" i="25"/>
  <c r="I214" i="25"/>
  <c r="H13" i="25"/>
  <c r="H13" i="31"/>
  <c r="I13" i="31" s="1"/>
  <c r="O15" i="31"/>
  <c r="E220" i="25"/>
  <c r="I220" i="25"/>
  <c r="I213" i="25"/>
  <c r="E213" i="25"/>
  <c r="I211" i="25"/>
  <c r="E211" i="25"/>
  <c r="M190" i="25"/>
  <c r="D190" i="25"/>
  <c r="E190" i="25" s="1"/>
  <c r="G190" i="25" s="1"/>
  <c r="E71" i="31"/>
  <c r="I71" i="31" s="1"/>
  <c r="E34" i="31"/>
  <c r="I34" i="31" s="1"/>
  <c r="D63" i="25"/>
  <c r="D68" i="25"/>
  <c r="Q2" i="24"/>
  <c r="V45" i="19"/>
  <c r="S45" i="19"/>
  <c r="V38" i="19"/>
  <c r="S38" i="19"/>
  <c r="S71" i="19"/>
  <c r="V71" i="19"/>
  <c r="S158" i="19"/>
  <c r="V158" i="19"/>
  <c r="V133" i="19"/>
  <c r="S133" i="19"/>
  <c r="V37" i="19"/>
  <c r="S37" i="19"/>
  <c r="V177" i="19"/>
  <c r="S177" i="19"/>
  <c r="V131" i="19"/>
  <c r="S131" i="19"/>
  <c r="V176" i="19"/>
  <c r="L45" i="31" s="1"/>
  <c r="S176" i="19"/>
  <c r="V66" i="19"/>
  <c r="L37" i="31" s="1"/>
  <c r="S66" i="19"/>
  <c r="V175" i="19"/>
  <c r="S175" i="19"/>
  <c r="S95" i="19"/>
  <c r="V95" i="19"/>
  <c r="E45" i="25"/>
  <c r="I45" i="25" s="1"/>
  <c r="L45" i="25" s="1"/>
  <c r="S174" i="19"/>
  <c r="V174" i="19"/>
  <c r="V149" i="19"/>
  <c r="S149" i="19"/>
  <c r="S51" i="19"/>
  <c r="V51" i="19"/>
  <c r="V135" i="19"/>
  <c r="S135" i="19"/>
  <c r="S192" i="19"/>
  <c r="V192" i="19"/>
  <c r="V91" i="19"/>
  <c r="S91" i="19"/>
  <c r="S69" i="19"/>
  <c r="V69" i="19"/>
  <c r="V89" i="19"/>
  <c r="S89" i="19"/>
  <c r="V67" i="19"/>
  <c r="S67" i="19"/>
  <c r="S50" i="19"/>
  <c r="V50" i="19"/>
  <c r="V111" i="19"/>
  <c r="S111" i="19"/>
  <c r="K21" i="25"/>
  <c r="V65" i="19"/>
  <c r="S65" i="19"/>
  <c r="S93" i="19"/>
  <c r="V93" i="19"/>
  <c r="S64" i="19"/>
  <c r="V64" i="19"/>
  <c r="S156" i="19"/>
  <c r="V156" i="19"/>
  <c r="S63" i="19"/>
  <c r="V63" i="19"/>
  <c r="S72" i="19"/>
  <c r="V72" i="19"/>
  <c r="S101" i="19"/>
  <c r="V101" i="19"/>
  <c r="S100" i="19"/>
  <c r="V100" i="19"/>
  <c r="V44" i="19"/>
  <c r="S44" i="19"/>
  <c r="V99" i="19"/>
  <c r="S99" i="19"/>
  <c r="V88" i="19"/>
  <c r="S88" i="19"/>
  <c r="S112" i="19"/>
  <c r="V112" i="19"/>
  <c r="S59" i="19"/>
  <c r="V59" i="19"/>
  <c r="E43" i="25"/>
  <c r="I43" i="25" s="1"/>
  <c r="L43" i="25" s="1"/>
  <c r="V172" i="19"/>
  <c r="L43" i="31" s="1"/>
  <c r="S172" i="19"/>
  <c r="V57" i="19"/>
  <c r="S57" i="19"/>
  <c r="V160" i="19"/>
  <c r="S160" i="19"/>
  <c r="V159" i="19"/>
  <c r="S159" i="19"/>
  <c r="V46" i="19"/>
  <c r="S46" i="19"/>
  <c r="S70" i="19"/>
  <c r="V70" i="19"/>
  <c r="V90" i="19"/>
  <c r="S90" i="19"/>
  <c r="V178" i="19"/>
  <c r="S178" i="19"/>
  <c r="V36" i="19"/>
  <c r="S36" i="19"/>
  <c r="V96" i="19"/>
  <c r="S96" i="19"/>
  <c r="S31" i="19"/>
  <c r="V31" i="19"/>
  <c r="S110" i="19"/>
  <c r="V110" i="19"/>
  <c r="V47" i="19"/>
  <c r="S47" i="19"/>
  <c r="E44" i="25"/>
  <c r="I44" i="25" s="1"/>
  <c r="L44" i="25" s="1"/>
  <c r="S173" i="19"/>
  <c r="V173" i="19"/>
  <c r="L44" i="31" s="1"/>
  <c r="V109" i="19"/>
  <c r="S109" i="19"/>
  <c r="S86" i="19"/>
  <c r="V86" i="19"/>
  <c r="V155" i="19"/>
  <c r="S155" i="19"/>
  <c r="S58" i="19"/>
  <c r="V58" i="19"/>
  <c r="V85" i="19"/>
  <c r="S85" i="19"/>
  <c r="V154" i="19"/>
  <c r="S154" i="19"/>
  <c r="S43" i="19"/>
  <c r="V43" i="19"/>
  <c r="L59" i="31" s="1"/>
  <c r="V21" i="19"/>
  <c r="S21" i="19"/>
  <c r="V153" i="19"/>
  <c r="S153" i="19"/>
  <c r="S80" i="19"/>
  <c r="V80" i="19"/>
  <c r="V152" i="19"/>
  <c r="S152" i="19"/>
  <c r="V105" i="19"/>
  <c r="S105" i="19"/>
  <c r="S75" i="19"/>
  <c r="V75" i="19"/>
  <c r="J35" i="31" s="1"/>
  <c r="L35" i="31" s="1"/>
  <c r="V56" i="19"/>
  <c r="S56" i="19"/>
  <c r="S163" i="19"/>
  <c r="V163" i="19"/>
  <c r="S151" i="19"/>
  <c r="V151" i="19"/>
  <c r="S104" i="19"/>
  <c r="V104" i="19"/>
  <c r="V40" i="19"/>
  <c r="S40" i="19"/>
  <c r="V74" i="19"/>
  <c r="S74" i="19"/>
  <c r="V55" i="19"/>
  <c r="S55" i="19"/>
  <c r="E81" i="25"/>
  <c r="V102" i="19"/>
  <c r="S102" i="19"/>
  <c r="S193" i="19"/>
  <c r="V193" i="19"/>
  <c r="S92" i="19"/>
  <c r="V92" i="19"/>
  <c r="V134" i="19"/>
  <c r="S134" i="19"/>
  <c r="S179" i="19"/>
  <c r="V179" i="19"/>
  <c r="L46" i="31" s="1"/>
  <c r="S87" i="19"/>
  <c r="V87" i="19"/>
  <c r="V132" i="19"/>
  <c r="S132" i="19"/>
  <c r="V68" i="19"/>
  <c r="S68" i="19"/>
  <c r="V98" i="19"/>
  <c r="S98" i="19"/>
  <c r="S32" i="19"/>
  <c r="V32" i="19"/>
  <c r="V49" i="19"/>
  <c r="S49" i="19"/>
  <c r="S157" i="19"/>
  <c r="V157" i="19"/>
  <c r="V108" i="19"/>
  <c r="S108" i="19"/>
  <c r="V22" i="19"/>
  <c r="S22" i="19"/>
  <c r="V30" i="19"/>
  <c r="S30" i="19"/>
  <c r="V107" i="19"/>
  <c r="S107" i="19"/>
  <c r="S81" i="19"/>
  <c r="V81" i="19"/>
  <c r="V29" i="19"/>
  <c r="S29" i="19"/>
  <c r="V106" i="19"/>
  <c r="S106" i="19"/>
  <c r="S42" i="19"/>
  <c r="V42" i="19"/>
  <c r="S164" i="19"/>
  <c r="V164" i="19"/>
  <c r="S41" i="19"/>
  <c r="V41" i="19"/>
  <c r="V162" i="19"/>
  <c r="S162" i="19"/>
  <c r="S150" i="19"/>
  <c r="V150" i="19"/>
  <c r="S103" i="19"/>
  <c r="V103" i="19"/>
  <c r="V39" i="19"/>
  <c r="S39" i="19"/>
  <c r="S73" i="19"/>
  <c r="V73" i="19"/>
  <c r="V53" i="19"/>
  <c r="S53" i="19"/>
  <c r="J21" i="25"/>
  <c r="F53" i="22"/>
  <c r="I59" i="25"/>
  <c r="O15" i="25"/>
  <c r="J75" i="30" l="1"/>
  <c r="I75" i="30"/>
  <c r="L75" i="30" s="1"/>
  <c r="F99" i="36" s="1"/>
  <c r="I76" i="25"/>
  <c r="L76" i="25" s="1"/>
  <c r="F100" i="22" s="1"/>
  <c r="N190" i="25"/>
  <c r="P190" i="25" s="1"/>
  <c r="J60" i="25"/>
  <c r="J66" i="25"/>
  <c r="I73" i="41"/>
  <c r="J59" i="30"/>
  <c r="I59" i="30"/>
  <c r="L59" i="30" s="1"/>
  <c r="F83" i="36" s="1"/>
  <c r="AJ8" i="30"/>
  <c r="AL8" i="30" s="1"/>
  <c r="AH8" i="30"/>
  <c r="J66" i="30"/>
  <c r="I66" i="30"/>
  <c r="L66" i="30" s="1"/>
  <c r="F90" i="36" s="1"/>
  <c r="AH8" i="25"/>
  <c r="J81" i="30"/>
  <c r="I81" i="30"/>
  <c r="R15" i="30"/>
  <c r="AJ15" i="30"/>
  <c r="AH15" i="30"/>
  <c r="AL15" i="30" s="1"/>
  <c r="J36" i="30"/>
  <c r="I36" i="30"/>
  <c r="L36" i="30" s="1"/>
  <c r="F65" i="36" s="1"/>
  <c r="J68" i="38"/>
  <c r="L68" i="38" s="1"/>
  <c r="J68" i="42"/>
  <c r="L68" i="42" s="1"/>
  <c r="J68" i="41"/>
  <c r="L68" i="41" s="1"/>
  <c r="K68" i="30"/>
  <c r="I68" i="30"/>
  <c r="I73" i="42"/>
  <c r="J71" i="38"/>
  <c r="J71" i="42"/>
  <c r="J71" i="41"/>
  <c r="J72" i="42"/>
  <c r="J72" i="41"/>
  <c r="J72" i="38"/>
  <c r="R15" i="41"/>
  <c r="T15" i="41" s="1"/>
  <c r="R15" i="38"/>
  <c r="T15" i="38" s="1"/>
  <c r="J34" i="31"/>
  <c r="L34" i="31" s="1"/>
  <c r="J34" i="41"/>
  <c r="L34" i="41" s="1"/>
  <c r="J34" i="38"/>
  <c r="L34" i="38" s="1"/>
  <c r="J34" i="42"/>
  <c r="L34" i="42" s="1"/>
  <c r="U27" i="42"/>
  <c r="U15" i="42"/>
  <c r="U39" i="41"/>
  <c r="V39" i="41" s="1"/>
  <c r="X39" i="41" s="1"/>
  <c r="U15" i="38"/>
  <c r="U39" i="42"/>
  <c r="V39" i="42" s="1"/>
  <c r="X39" i="42" s="1"/>
  <c r="U39" i="38"/>
  <c r="V39" i="38" s="1"/>
  <c r="X39" i="38" s="1"/>
  <c r="U15" i="41"/>
  <c r="U27" i="41"/>
  <c r="U27" i="38"/>
  <c r="J36" i="31"/>
  <c r="L36" i="31" s="1"/>
  <c r="J36" i="38"/>
  <c r="L36" i="38" s="1"/>
  <c r="J36" i="41"/>
  <c r="L36" i="41" s="1"/>
  <c r="J36" i="42"/>
  <c r="L36" i="42" s="1"/>
  <c r="K13" i="42"/>
  <c r="L13" i="42" s="1"/>
  <c r="K13" i="38"/>
  <c r="L13" i="38" s="1"/>
  <c r="K13" i="41"/>
  <c r="L13" i="41" s="1"/>
  <c r="R15" i="42"/>
  <c r="T15" i="42" s="1"/>
  <c r="I73" i="38"/>
  <c r="F72" i="43"/>
  <c r="F72" i="44"/>
  <c r="F73" i="44"/>
  <c r="F73" i="43"/>
  <c r="F71" i="44"/>
  <c r="F71" i="43"/>
  <c r="F70" i="43"/>
  <c r="F70" i="44"/>
  <c r="F73" i="37"/>
  <c r="F73" i="40"/>
  <c r="F71" i="37"/>
  <c r="F71" i="40"/>
  <c r="F70" i="37"/>
  <c r="F70" i="40"/>
  <c r="F72" i="37"/>
  <c r="F72" i="40"/>
  <c r="L66" i="25"/>
  <c r="F90" i="22" s="1"/>
  <c r="L59" i="25"/>
  <c r="F83" i="22" s="1"/>
  <c r="E63" i="25"/>
  <c r="H63" i="25"/>
  <c r="K63" i="25" s="1"/>
  <c r="AJ15" i="25"/>
  <c r="K13" i="25"/>
  <c r="I81" i="25"/>
  <c r="L81" i="25" s="1"/>
  <c r="J81" i="25"/>
  <c r="R15" i="25"/>
  <c r="V15" i="25" s="1"/>
  <c r="I34" i="25"/>
  <c r="L34" i="25" s="1"/>
  <c r="J34" i="25"/>
  <c r="J35" i="25"/>
  <c r="R15" i="31"/>
  <c r="T15" i="31" s="1"/>
  <c r="I14" i="31" s="1"/>
  <c r="L63" i="31"/>
  <c r="I63" i="31"/>
  <c r="I34" i="32"/>
  <c r="J68" i="31"/>
  <c r="L68" i="31" s="1"/>
  <c r="E68" i="25"/>
  <c r="J68" i="25" s="1"/>
  <c r="H68" i="25"/>
  <c r="K68" i="25" s="1"/>
  <c r="U15" i="31"/>
  <c r="J14" i="31" s="1"/>
  <c r="U27" i="31"/>
  <c r="J15" i="31" s="1"/>
  <c r="U39" i="31"/>
  <c r="J72" i="31"/>
  <c r="J71" i="31"/>
  <c r="K13" i="31"/>
  <c r="I21" i="25"/>
  <c r="L21" i="25" s="1"/>
  <c r="Y32" i="19"/>
  <c r="AB32" i="19" s="1"/>
  <c r="Y31" i="19"/>
  <c r="AB31" i="19" s="1"/>
  <c r="Y200" i="19"/>
  <c r="AB200" i="19" s="1"/>
  <c r="Y199" i="19"/>
  <c r="AB199" i="19" s="1"/>
  <c r="Y193" i="19"/>
  <c r="AB193" i="19" s="1"/>
  <c r="Y192" i="19"/>
  <c r="AB192" i="19" s="1"/>
  <c r="Y179" i="19"/>
  <c r="AB179" i="19" s="1"/>
  <c r="Y178" i="19"/>
  <c r="AB178" i="19" s="1"/>
  <c r="Y177" i="19"/>
  <c r="AB177" i="19" s="1"/>
  <c r="Y176" i="19"/>
  <c r="AB176" i="19" s="1"/>
  <c r="Y175" i="19"/>
  <c r="AB175" i="19" s="1"/>
  <c r="Y174" i="19"/>
  <c r="AB174" i="19" s="1"/>
  <c r="Y173" i="19"/>
  <c r="AB173" i="19" s="1"/>
  <c r="Y172" i="19"/>
  <c r="AB172" i="19" s="1"/>
  <c r="Y30" i="19"/>
  <c r="AB30" i="19" s="1"/>
  <c r="Y29" i="19"/>
  <c r="AB29" i="19" s="1"/>
  <c r="Y164" i="19"/>
  <c r="AB164" i="19" s="1"/>
  <c r="Y163" i="19"/>
  <c r="AB163" i="19" s="1"/>
  <c r="Y162" i="19"/>
  <c r="AB162" i="19" s="1"/>
  <c r="Y160" i="19"/>
  <c r="AB160" i="19" s="1"/>
  <c r="Y159" i="19"/>
  <c r="AB159" i="19" s="1"/>
  <c r="Y158" i="19"/>
  <c r="AB158" i="19" s="1"/>
  <c r="Y205" i="19"/>
  <c r="AB205" i="19" s="1"/>
  <c r="Y204" i="19"/>
  <c r="AB204" i="19" s="1"/>
  <c r="Y203" i="19"/>
  <c r="AB203" i="19" s="1"/>
  <c r="Y202" i="19"/>
  <c r="AB202" i="19" s="1"/>
  <c r="Y201" i="19"/>
  <c r="AB201" i="19" s="1"/>
  <c r="Y157" i="19"/>
  <c r="AB157" i="19" s="1"/>
  <c r="Y156" i="19"/>
  <c r="AB156" i="19" s="1"/>
  <c r="Y155" i="19"/>
  <c r="AB155" i="19" s="1"/>
  <c r="Y154" i="19"/>
  <c r="AB154" i="19" s="1"/>
  <c r="Y153" i="19"/>
  <c r="AB153" i="19" s="1"/>
  <c r="Y152" i="19"/>
  <c r="AB152" i="19" s="1"/>
  <c r="Y151" i="19"/>
  <c r="AB151" i="19" s="1"/>
  <c r="Y150" i="19"/>
  <c r="AB150" i="19" s="1"/>
  <c r="Y149" i="19"/>
  <c r="AB149" i="19" s="1"/>
  <c r="Y135" i="19"/>
  <c r="AB135" i="19" s="1"/>
  <c r="Y134" i="19"/>
  <c r="AB134" i="19" s="1"/>
  <c r="Y133" i="19"/>
  <c r="AB133" i="19" s="1"/>
  <c r="Y132" i="19"/>
  <c r="AB132" i="19" s="1"/>
  <c r="Y131" i="19"/>
  <c r="AB131" i="19" s="1"/>
  <c r="Y112" i="19"/>
  <c r="AB112" i="19" s="1"/>
  <c r="Y111" i="19"/>
  <c r="AB111" i="19" s="1"/>
  <c r="Y110" i="19"/>
  <c r="AB110" i="19" s="1"/>
  <c r="Y109" i="19"/>
  <c r="AB109" i="19" s="1"/>
  <c r="Y108" i="19"/>
  <c r="AB108" i="19" s="1"/>
  <c r="Y107" i="19"/>
  <c r="AB107" i="19" s="1"/>
  <c r="Y106" i="19"/>
  <c r="AB106" i="19" s="1"/>
  <c r="Y105" i="19"/>
  <c r="AB105" i="19" s="1"/>
  <c r="Y104" i="19"/>
  <c r="AB104" i="19" s="1"/>
  <c r="Y103" i="19"/>
  <c r="AB103" i="19" s="1"/>
  <c r="Y102" i="19"/>
  <c r="AB102" i="19" s="1"/>
  <c r="Y101" i="19"/>
  <c r="AB101" i="19" s="1"/>
  <c r="Y100" i="19"/>
  <c r="AB100" i="19" s="1"/>
  <c r="Y87" i="19"/>
  <c r="AB87" i="19" s="1"/>
  <c r="Y99" i="19"/>
  <c r="AB99" i="19" s="1"/>
  <c r="Y98" i="19"/>
  <c r="AB98" i="19" s="1"/>
  <c r="Y96" i="19"/>
  <c r="AB96" i="19" s="1"/>
  <c r="Y95" i="19"/>
  <c r="AB95" i="19" s="1"/>
  <c r="Y93" i="19"/>
  <c r="AB93" i="19" s="1"/>
  <c r="Y59" i="19"/>
  <c r="AB59" i="19" s="1"/>
  <c r="Y58" i="19"/>
  <c r="AB58" i="19" s="1"/>
  <c r="Y43" i="19"/>
  <c r="AB43" i="19" s="1"/>
  <c r="Y42" i="19"/>
  <c r="AB42" i="19" s="1"/>
  <c r="Y41" i="19"/>
  <c r="AB41" i="19" s="1"/>
  <c r="Y40" i="19"/>
  <c r="AB40" i="19" s="1"/>
  <c r="Y39" i="19"/>
  <c r="AB39" i="19" s="1"/>
  <c r="Y38" i="19"/>
  <c r="AB38" i="19" s="1"/>
  <c r="Y92" i="19"/>
  <c r="AB92" i="19" s="1"/>
  <c r="Y91" i="19"/>
  <c r="AB91" i="19" s="1"/>
  <c r="Y90" i="19"/>
  <c r="AB90" i="19" s="1"/>
  <c r="Y89" i="19"/>
  <c r="AB89" i="19" s="1"/>
  <c r="Y88" i="19"/>
  <c r="AB88" i="19" s="1"/>
  <c r="Y50" i="19"/>
  <c r="AB50" i="19" s="1"/>
  <c r="Y49" i="19"/>
  <c r="AB49" i="19" s="1"/>
  <c r="Y47" i="19"/>
  <c r="AB47" i="19" s="1"/>
  <c r="Y86" i="19"/>
  <c r="AB86" i="19" s="1"/>
  <c r="Y85" i="19"/>
  <c r="AB85" i="19" s="1"/>
  <c r="Y81" i="19"/>
  <c r="AB81" i="19" s="1"/>
  <c r="Y80" i="19"/>
  <c r="AB80" i="19" s="1"/>
  <c r="Y75" i="19"/>
  <c r="AB75" i="19" s="1"/>
  <c r="Y74" i="19"/>
  <c r="AB74" i="19" s="1"/>
  <c r="Y73" i="19"/>
  <c r="AB73" i="19" s="1"/>
  <c r="Y72" i="19"/>
  <c r="AB72" i="19" s="1"/>
  <c r="Y71" i="19"/>
  <c r="AB71" i="19" s="1"/>
  <c r="Y70" i="19"/>
  <c r="AB70" i="19" s="1"/>
  <c r="Y69" i="19"/>
  <c r="AB69" i="19" s="1"/>
  <c r="Y68" i="19"/>
  <c r="AB68" i="19" s="1"/>
  <c r="Y67" i="19"/>
  <c r="AB67" i="19" s="1"/>
  <c r="Y66" i="19"/>
  <c r="AB66" i="19" s="1"/>
  <c r="Y65" i="19"/>
  <c r="AB65" i="19" s="1"/>
  <c r="Y64" i="19"/>
  <c r="AB64" i="19" s="1"/>
  <c r="Y63" i="19"/>
  <c r="AB63" i="19" s="1"/>
  <c r="Y22" i="19"/>
  <c r="AB22" i="19" s="1"/>
  <c r="Y21" i="19"/>
  <c r="AB21" i="19" s="1"/>
  <c r="Y60" i="19"/>
  <c r="AB60" i="19" s="1"/>
  <c r="Y57" i="19"/>
  <c r="AB57" i="19" s="1"/>
  <c r="Y56" i="19"/>
  <c r="AB56" i="19" s="1"/>
  <c r="Y55" i="19"/>
  <c r="AB55" i="19" s="1"/>
  <c r="Y53" i="19"/>
  <c r="AB53" i="19" s="1"/>
  <c r="Y51" i="19"/>
  <c r="AB51" i="19" s="1"/>
  <c r="Y46" i="19"/>
  <c r="AB46" i="19" s="1"/>
  <c r="Y45" i="19"/>
  <c r="AB45" i="19" s="1"/>
  <c r="Y44" i="19"/>
  <c r="AB44" i="19" s="1"/>
  <c r="Y37" i="19"/>
  <c r="AB37" i="19" s="1"/>
  <c r="Y36" i="19"/>
  <c r="AB36" i="19" s="1"/>
  <c r="Y35" i="19"/>
  <c r="AB35" i="19" s="1"/>
  <c r="Y9" i="19"/>
  <c r="AB9" i="19" s="1"/>
  <c r="K9" i="19"/>
  <c r="W9" i="19" s="1"/>
  <c r="N9" i="19" s="1"/>
  <c r="Y16" i="19"/>
  <c r="AB16" i="19" s="1"/>
  <c r="K16" i="19"/>
  <c r="W16" i="19" s="1"/>
  <c r="N16" i="19" s="1"/>
  <c r="Y15" i="19"/>
  <c r="AB15" i="19" s="1"/>
  <c r="K15" i="19"/>
  <c r="W15" i="19" s="1"/>
  <c r="N15" i="19" s="1"/>
  <c r="Y12" i="19"/>
  <c r="AB12" i="19" s="1"/>
  <c r="K12" i="19"/>
  <c r="W12" i="19" s="1"/>
  <c r="N12" i="19" s="1"/>
  <c r="Y11" i="19"/>
  <c r="AB11" i="19" s="1"/>
  <c r="K11" i="19"/>
  <c r="W11" i="19" s="1"/>
  <c r="N11" i="19" s="1"/>
  <c r="Y10" i="19"/>
  <c r="AB10" i="19" s="1"/>
  <c r="K10" i="19"/>
  <c r="W10" i="19" s="1"/>
  <c r="N10" i="19" s="1"/>
  <c r="Y6" i="19"/>
  <c r="AB6" i="19" s="1"/>
  <c r="K6" i="19"/>
  <c r="W6" i="19" s="1"/>
  <c r="M5" i="19"/>
  <c r="Y5" i="19" s="1"/>
  <c r="AB5" i="19" s="1"/>
  <c r="K5" i="19"/>
  <c r="M3" i="19"/>
  <c r="Y3" i="19" s="1"/>
  <c r="AB3" i="19" s="1"/>
  <c r="K3" i="19"/>
  <c r="D186" i="25" l="1"/>
  <c r="E186" i="25" s="1"/>
  <c r="O16" i="30"/>
  <c r="R16" i="30" s="1"/>
  <c r="M186" i="25"/>
  <c r="N186" i="25" s="1"/>
  <c r="AC16" i="30"/>
  <c r="AF16" i="30" s="1"/>
  <c r="V16" i="30"/>
  <c r="T16" i="30"/>
  <c r="X16" i="30" s="1"/>
  <c r="AJ16" i="30"/>
  <c r="AH16" i="30"/>
  <c r="AL16" i="30" s="1"/>
  <c r="F106" i="36"/>
  <c r="L81" i="30"/>
  <c r="E18" i="30"/>
  <c r="U46" i="30"/>
  <c r="AC46" i="30"/>
  <c r="O46" i="30"/>
  <c r="AF22" i="30"/>
  <c r="R22" i="30"/>
  <c r="O34" i="30"/>
  <c r="R46" i="30"/>
  <c r="AF34" i="30"/>
  <c r="AI34" i="30"/>
  <c r="AC22" i="30"/>
  <c r="O22" i="30"/>
  <c r="R34" i="30"/>
  <c r="AI46" i="30"/>
  <c r="AC34" i="30"/>
  <c r="AF46" i="30"/>
  <c r="U34" i="30"/>
  <c r="U31" i="30"/>
  <c r="AC31" i="30"/>
  <c r="AF31" i="30" s="1"/>
  <c r="O31" i="30"/>
  <c r="R31" i="30" s="1"/>
  <c r="AI31" i="30"/>
  <c r="AC19" i="30"/>
  <c r="AF19" i="30" s="1"/>
  <c r="AI43" i="30"/>
  <c r="AC43" i="30"/>
  <c r="AF43" i="30" s="1"/>
  <c r="O19" i="30"/>
  <c r="R19" i="30" s="1"/>
  <c r="O43" i="30"/>
  <c r="R43" i="30" s="1"/>
  <c r="U43" i="30"/>
  <c r="AC27" i="30"/>
  <c r="AF27" i="30" s="1"/>
  <c r="O27" i="30"/>
  <c r="AC39" i="30"/>
  <c r="AF39" i="30" s="1"/>
  <c r="U27" i="30"/>
  <c r="U52" i="30"/>
  <c r="AI39" i="30"/>
  <c r="U39" i="30"/>
  <c r="U51" i="30"/>
  <c r="O39" i="30"/>
  <c r="AI27" i="30"/>
  <c r="V15" i="30"/>
  <c r="T15" i="30"/>
  <c r="X15" i="30" s="1"/>
  <c r="L68" i="30"/>
  <c r="F92" i="36" s="1"/>
  <c r="L73" i="38"/>
  <c r="L73" i="42"/>
  <c r="O16" i="41"/>
  <c r="R40" i="41"/>
  <c r="T40" i="41" s="1"/>
  <c r="R16" i="41"/>
  <c r="T16" i="41" s="1"/>
  <c r="V27" i="38"/>
  <c r="X27" i="38" s="1"/>
  <c r="R40" i="38"/>
  <c r="T40" i="38" s="1"/>
  <c r="R40" i="42"/>
  <c r="T40" i="42" s="1"/>
  <c r="V27" i="41"/>
  <c r="X27" i="41" s="1"/>
  <c r="R16" i="38"/>
  <c r="T16" i="38" s="1"/>
  <c r="V15" i="41"/>
  <c r="X15" i="41" s="1"/>
  <c r="R16" i="42"/>
  <c r="T16" i="42" s="1"/>
  <c r="V15" i="38"/>
  <c r="X15" i="38" s="1"/>
  <c r="R46" i="38"/>
  <c r="T46" i="38" s="1"/>
  <c r="O46" i="38"/>
  <c r="O34" i="41"/>
  <c r="O22" i="42"/>
  <c r="O22" i="41"/>
  <c r="O34" i="42"/>
  <c r="R46" i="42"/>
  <c r="T46" i="42" s="1"/>
  <c r="R22" i="42"/>
  <c r="T22" i="42" s="1"/>
  <c r="O46" i="42"/>
  <c r="O46" i="41"/>
  <c r="R22" i="41"/>
  <c r="T22" i="41" s="1"/>
  <c r="O22" i="38"/>
  <c r="O34" i="38"/>
  <c r="R34" i="42"/>
  <c r="T34" i="42" s="1"/>
  <c r="R46" i="41"/>
  <c r="T46" i="41" s="1"/>
  <c r="R34" i="41"/>
  <c r="T34" i="41" s="1"/>
  <c r="R22" i="38"/>
  <c r="T22" i="38" s="1"/>
  <c r="R34" i="38"/>
  <c r="T34" i="38" s="1"/>
  <c r="O19" i="42"/>
  <c r="R19" i="42" s="1"/>
  <c r="T19" i="42" s="1"/>
  <c r="O43" i="41"/>
  <c r="R43" i="41" s="1"/>
  <c r="T43" i="41" s="1"/>
  <c r="O31" i="41"/>
  <c r="R31" i="41" s="1"/>
  <c r="T31" i="41" s="1"/>
  <c r="O31" i="38"/>
  <c r="R31" i="38" s="1"/>
  <c r="T31" i="38" s="1"/>
  <c r="O19" i="38"/>
  <c r="R19" i="38" s="1"/>
  <c r="T19" i="38" s="1"/>
  <c r="O19" i="41"/>
  <c r="R19" i="41" s="1"/>
  <c r="T19" i="41" s="1"/>
  <c r="O31" i="42"/>
  <c r="R31" i="42" s="1"/>
  <c r="T31" i="42" s="1"/>
  <c r="O43" i="42"/>
  <c r="R43" i="42" s="1"/>
  <c r="T43" i="42" s="1"/>
  <c r="O43" i="38"/>
  <c r="R43" i="38" s="1"/>
  <c r="T43" i="38" s="1"/>
  <c r="O16" i="42"/>
  <c r="V15" i="42"/>
  <c r="X15" i="42" s="1"/>
  <c r="O16" i="38"/>
  <c r="V27" i="42"/>
  <c r="X27" i="42" s="1"/>
  <c r="U52" i="25"/>
  <c r="O27" i="41"/>
  <c r="O39" i="41"/>
  <c r="O27" i="38"/>
  <c r="O27" i="42"/>
  <c r="O39" i="38"/>
  <c r="O39" i="42"/>
  <c r="L73" i="41"/>
  <c r="B52" i="43"/>
  <c r="B44" i="43"/>
  <c r="I112" i="24" a="1"/>
  <c r="I112" i="24" s="1"/>
  <c r="M68" i="24" a="1"/>
  <c r="M68" i="24" s="1"/>
  <c r="B46" i="44"/>
  <c r="B51" i="43"/>
  <c r="H112" i="24" a="1"/>
  <c r="H112" i="24" s="1"/>
  <c r="J68" i="24" a="1"/>
  <c r="J68" i="24" s="1"/>
  <c r="I68" i="24" a="1"/>
  <c r="I68" i="24" s="1"/>
  <c r="Q112" i="24" a="1"/>
  <c r="Q112" i="24" s="1"/>
  <c r="B45" i="44"/>
  <c r="B50" i="43"/>
  <c r="B43" i="43"/>
  <c r="G68" i="24" a="1"/>
  <c r="G68" i="24" s="1"/>
  <c r="B53" i="44"/>
  <c r="B49" i="43"/>
  <c r="N68" i="24" a="1"/>
  <c r="N68" i="24" s="1"/>
  <c r="B44" i="44"/>
  <c r="B48" i="43"/>
  <c r="B42" i="43"/>
  <c r="B52" i="44"/>
  <c r="L90" i="24" a="1"/>
  <c r="L90" i="24" s="1"/>
  <c r="B51" i="44"/>
  <c r="B47" i="43"/>
  <c r="K90" i="24" a="1"/>
  <c r="K90" i="24" s="1"/>
  <c r="B43" i="44"/>
  <c r="J90" i="24" a="1"/>
  <c r="J90" i="24" s="1"/>
  <c r="O46" i="24" a="1"/>
  <c r="O46" i="24" s="1"/>
  <c r="J112" i="24" a="1"/>
  <c r="J112" i="24" s="1"/>
  <c r="B50" i="44"/>
  <c r="B46" i="43"/>
  <c r="D90" i="24" a="1"/>
  <c r="D90" i="24" s="1"/>
  <c r="I46" i="24" a="1"/>
  <c r="I46" i="24" s="1"/>
  <c r="B49" i="44"/>
  <c r="B42" i="44"/>
  <c r="H46" i="24" a="1"/>
  <c r="H46" i="24" s="1"/>
  <c r="O68" i="24" a="1"/>
  <c r="O68" i="24" s="1"/>
  <c r="B48" i="44"/>
  <c r="G46" i="24" a="1"/>
  <c r="G46" i="24" s="1"/>
  <c r="B47" i="44"/>
  <c r="B45" i="43"/>
  <c r="B53" i="43"/>
  <c r="G112" i="24" a="1"/>
  <c r="G112" i="24" s="1"/>
  <c r="F90" i="24" a="1"/>
  <c r="F90" i="24" s="1"/>
  <c r="K68" i="24" a="1"/>
  <c r="K68" i="24" s="1"/>
  <c r="E90" i="24" a="1"/>
  <c r="E90" i="24" s="1"/>
  <c r="N90" i="24" a="1"/>
  <c r="N90" i="24" s="1"/>
  <c r="M90" i="24" a="1"/>
  <c r="M90" i="24" s="1"/>
  <c r="D112" i="24" a="1"/>
  <c r="D112" i="24" s="1"/>
  <c r="F112" i="24" a="1"/>
  <c r="F112" i="24" s="1"/>
  <c r="N46" i="24" a="1"/>
  <c r="N46" i="24" s="1"/>
  <c r="O90" i="24" a="1"/>
  <c r="O90" i="24" s="1"/>
  <c r="L112" i="24" a="1"/>
  <c r="L112" i="24" s="1"/>
  <c r="N112" i="24" a="1"/>
  <c r="N112" i="24" s="1"/>
  <c r="L46" i="24" a="1"/>
  <c r="L46" i="24" s="1"/>
  <c r="Q90" i="24" a="1"/>
  <c r="Q90" i="24" s="1"/>
  <c r="E112" i="24" a="1"/>
  <c r="E112" i="24" s="1"/>
  <c r="Q46" i="24" a="1"/>
  <c r="Q46" i="24" s="1"/>
  <c r="I90" i="24" a="1"/>
  <c r="I90" i="24" s="1"/>
  <c r="O112" i="24" a="1"/>
  <c r="O112" i="24" s="1"/>
  <c r="E46" i="24" a="1"/>
  <c r="E46" i="24" s="1"/>
  <c r="M112" i="24" a="1"/>
  <c r="M112" i="24" s="1"/>
  <c r="H68" i="24" a="1"/>
  <c r="H68" i="24" s="1"/>
  <c r="F46" i="24" a="1"/>
  <c r="F46" i="24" s="1"/>
  <c r="H90" i="24" a="1"/>
  <c r="H90" i="24" s="1"/>
  <c r="Q68" i="24" a="1"/>
  <c r="Q68" i="24" s="1"/>
  <c r="D46" i="24" a="1"/>
  <c r="D46" i="24" s="1"/>
  <c r="M46" i="24" a="1"/>
  <c r="M46" i="24" s="1"/>
  <c r="K112" i="24" a="1"/>
  <c r="K112" i="24" s="1"/>
  <c r="J46" i="24" a="1"/>
  <c r="J46" i="24" s="1"/>
  <c r="G90" i="24" a="1"/>
  <c r="G90" i="24" s="1"/>
  <c r="K46" i="24" a="1"/>
  <c r="K46" i="24" s="1"/>
  <c r="L68" i="24" a="1"/>
  <c r="L68" i="24" s="1"/>
  <c r="B54" i="44"/>
  <c r="B54" i="43"/>
  <c r="B59" i="36"/>
  <c r="B30" i="30" s="1"/>
  <c r="B50" i="36"/>
  <c r="B21" i="30" s="1"/>
  <c r="B42" i="37"/>
  <c r="B58" i="36"/>
  <c r="B29" i="30" s="1"/>
  <c r="B46" i="37"/>
  <c r="B44" i="36"/>
  <c r="B15" i="30" s="1"/>
  <c r="B47" i="36"/>
  <c r="B18" i="30" s="1"/>
  <c r="B48" i="37"/>
  <c r="B57" i="36"/>
  <c r="B28" i="30" s="1"/>
  <c r="B47" i="37"/>
  <c r="B43" i="36"/>
  <c r="B14" i="30" s="1"/>
  <c r="B51" i="40"/>
  <c r="B50" i="40"/>
  <c r="B43" i="37"/>
  <c r="B56" i="36"/>
  <c r="B27" i="30" s="1"/>
  <c r="B49" i="36"/>
  <c r="B20" i="30" s="1"/>
  <c r="B44" i="40"/>
  <c r="B55" i="36"/>
  <c r="B26" i="30" s="1"/>
  <c r="B48" i="36"/>
  <c r="B19" i="30" s="1"/>
  <c r="B52" i="40"/>
  <c r="B54" i="40"/>
  <c r="B49" i="40"/>
  <c r="B46" i="40"/>
  <c r="B42" i="36"/>
  <c r="B13" i="30" s="1"/>
  <c r="B54" i="36"/>
  <c r="B25" i="30" s="1"/>
  <c r="B51" i="37"/>
  <c r="B42" i="40"/>
  <c r="B54" i="37"/>
  <c r="B53" i="36"/>
  <c r="B24" i="30" s="1"/>
  <c r="B46" i="36"/>
  <c r="B17" i="30" s="1"/>
  <c r="B45" i="37"/>
  <c r="B43" i="40"/>
  <c r="B53" i="40"/>
  <c r="B48" i="40"/>
  <c r="B53" i="37"/>
  <c r="B50" i="37"/>
  <c r="B44" i="37"/>
  <c r="B52" i="36"/>
  <c r="B23" i="30" s="1"/>
  <c r="B52" i="37"/>
  <c r="B49" i="37"/>
  <c r="B45" i="40"/>
  <c r="B51" i="36"/>
  <c r="B22" i="30" s="1"/>
  <c r="B47" i="40"/>
  <c r="B45" i="36"/>
  <c r="B16" i="30" s="1"/>
  <c r="F65" i="43"/>
  <c r="F65" i="44"/>
  <c r="F65" i="37"/>
  <c r="F65" i="40"/>
  <c r="I63" i="25"/>
  <c r="J63" i="25"/>
  <c r="E18" i="25"/>
  <c r="J18" i="25" s="1"/>
  <c r="U51" i="25"/>
  <c r="F106" i="22"/>
  <c r="AC39" i="25"/>
  <c r="AF39" i="25" s="1"/>
  <c r="AI39" i="25"/>
  <c r="AI27" i="25"/>
  <c r="AC27" i="25"/>
  <c r="AF27" i="25" s="1"/>
  <c r="AI34" i="25"/>
  <c r="AI46" i="25"/>
  <c r="AI31" i="25"/>
  <c r="AC19" i="25"/>
  <c r="AF19" i="25" s="1"/>
  <c r="AC43" i="25"/>
  <c r="AF43" i="25" s="1"/>
  <c r="AI43" i="25"/>
  <c r="AC31" i="25"/>
  <c r="AF31" i="25" s="1"/>
  <c r="AC16" i="25"/>
  <c r="AF16" i="25" s="1"/>
  <c r="AH16" i="25" s="1"/>
  <c r="AL16" i="25" s="1"/>
  <c r="U46" i="25"/>
  <c r="U34" i="25"/>
  <c r="U31" i="25"/>
  <c r="U43" i="25"/>
  <c r="U39" i="25"/>
  <c r="U27" i="25"/>
  <c r="O25" i="24" a="1"/>
  <c r="O25" i="24" s="1"/>
  <c r="O3" i="24" a="1"/>
  <c r="O3" i="24" s="1"/>
  <c r="O27" i="31"/>
  <c r="R28" i="31" s="1"/>
  <c r="T28" i="31" s="1"/>
  <c r="O39" i="31"/>
  <c r="O40" i="31" s="1"/>
  <c r="O46" i="31"/>
  <c r="O22" i="31"/>
  <c r="O34" i="31"/>
  <c r="O19" i="31"/>
  <c r="R19" i="31" s="1"/>
  <c r="T19" i="31" s="1"/>
  <c r="O43" i="31"/>
  <c r="R43" i="31" s="1"/>
  <c r="T43" i="31" s="1"/>
  <c r="O31" i="31"/>
  <c r="R31" i="31" s="1"/>
  <c r="T31" i="31" s="1"/>
  <c r="O16" i="31"/>
  <c r="R46" i="31"/>
  <c r="T46" i="31" s="1"/>
  <c r="R40" i="31"/>
  <c r="T40" i="31" s="1"/>
  <c r="R16" i="31"/>
  <c r="T16" i="31" s="1"/>
  <c r="R34" i="31"/>
  <c r="T34" i="31" s="1"/>
  <c r="R22" i="31"/>
  <c r="T22" i="31" s="1"/>
  <c r="V39" i="31"/>
  <c r="X39" i="31" s="1"/>
  <c r="L16" i="31" s="1"/>
  <c r="J16" i="31"/>
  <c r="I68" i="25"/>
  <c r="V27" i="31"/>
  <c r="X27" i="31" s="1"/>
  <c r="L15" i="31" s="1"/>
  <c r="V15" i="31"/>
  <c r="X15" i="31" s="1"/>
  <c r="L14" i="31" s="1"/>
  <c r="Q25" i="24" a="1"/>
  <c r="Q25" i="24" s="1"/>
  <c r="N25" i="24" a="1"/>
  <c r="N25" i="24" s="1"/>
  <c r="F25" i="24" a="1"/>
  <c r="F25" i="24" s="1"/>
  <c r="I25" i="24" a="1"/>
  <c r="I25" i="24" s="1"/>
  <c r="D25" i="24" a="1"/>
  <c r="D25" i="24" s="1"/>
  <c r="J25" i="24" a="1"/>
  <c r="J25" i="24" s="1"/>
  <c r="G25" i="24" a="1"/>
  <c r="G25" i="24" s="1"/>
  <c r="K25" i="24" a="1"/>
  <c r="K25" i="24" s="1"/>
  <c r="E25" i="24" a="1"/>
  <c r="E25" i="24" s="1"/>
  <c r="H25" i="24" a="1"/>
  <c r="H25" i="24" s="1"/>
  <c r="L25" i="24" a="1"/>
  <c r="L25" i="24" s="1"/>
  <c r="M25" i="24" a="1"/>
  <c r="M25" i="24" s="1"/>
  <c r="B54" i="22"/>
  <c r="S15" i="19"/>
  <c r="V15" i="19"/>
  <c r="V9" i="19"/>
  <c r="S9" i="19"/>
  <c r="V11" i="19"/>
  <c r="S11" i="19"/>
  <c r="S12" i="19"/>
  <c r="V12" i="19"/>
  <c r="V10" i="19"/>
  <c r="U16" i="41" s="1"/>
  <c r="S10" i="19"/>
  <c r="S16" i="19"/>
  <c r="V16" i="19"/>
  <c r="O39" i="25"/>
  <c r="O27" i="25"/>
  <c r="O46" i="25"/>
  <c r="O34" i="25"/>
  <c r="O43" i="25"/>
  <c r="R43" i="25" s="1"/>
  <c r="V43" i="25" s="1"/>
  <c r="O31" i="25"/>
  <c r="R31" i="25" s="1"/>
  <c r="V31" i="25" s="1"/>
  <c r="N3" i="24" a="1"/>
  <c r="N3" i="24" s="1"/>
  <c r="B43" i="22"/>
  <c r="B46" i="22"/>
  <c r="B49" i="22"/>
  <c r="B52" i="22"/>
  <c r="B44" i="22"/>
  <c r="B45" i="22"/>
  <c r="B47" i="22"/>
  <c r="B50" i="22"/>
  <c r="B51" i="22"/>
  <c r="B48" i="22"/>
  <c r="B42" i="22"/>
  <c r="O22" i="25"/>
  <c r="O19" i="25"/>
  <c r="O16" i="25"/>
  <c r="R16" i="25" s="1"/>
  <c r="V16" i="25" s="1"/>
  <c r="N6" i="19"/>
  <c r="W3" i="19"/>
  <c r="N3" i="19" s="1"/>
  <c r="W5" i="19"/>
  <c r="N5" i="19" s="1"/>
  <c r="M160" i="25" l="1"/>
  <c r="N160" i="25" s="1"/>
  <c r="M172" i="25"/>
  <c r="N172" i="25" s="1"/>
  <c r="D160" i="25"/>
  <c r="E160" i="25" s="1"/>
  <c r="D172" i="25"/>
  <c r="E172" i="25" s="1"/>
  <c r="M210" i="19"/>
  <c r="N210" i="19" s="1"/>
  <c r="M218" i="19"/>
  <c r="N218" i="19" s="1"/>
  <c r="P218" i="19" s="1"/>
  <c r="M209" i="19"/>
  <c r="N209" i="19" s="1"/>
  <c r="P209" i="19" s="1"/>
  <c r="M220" i="19"/>
  <c r="N220" i="19" s="1"/>
  <c r="P220" i="19" s="1"/>
  <c r="M219" i="19"/>
  <c r="N219" i="19" s="1"/>
  <c r="P219" i="19" s="1"/>
  <c r="M211" i="19"/>
  <c r="N211" i="19" s="1"/>
  <c r="P211" i="19" s="1"/>
  <c r="M207" i="19"/>
  <c r="N207" i="19" s="1"/>
  <c r="P207" i="19" s="1"/>
  <c r="M215" i="19"/>
  <c r="N215" i="19" s="1"/>
  <c r="P215" i="19" s="1"/>
  <c r="M216" i="19"/>
  <c r="N216" i="19" s="1"/>
  <c r="P216" i="19" s="1"/>
  <c r="M217" i="19"/>
  <c r="N217" i="19" s="1"/>
  <c r="P217" i="19" s="1"/>
  <c r="M208" i="19"/>
  <c r="N208" i="19" s="1"/>
  <c r="P208" i="19" s="1"/>
  <c r="M206" i="19"/>
  <c r="N206" i="19" s="1"/>
  <c r="M223" i="19"/>
  <c r="N223" i="19" s="1"/>
  <c r="P223" i="19" s="1"/>
  <c r="M212" i="19"/>
  <c r="N212" i="19" s="1"/>
  <c r="P212" i="19" s="1"/>
  <c r="M222" i="19"/>
  <c r="N222" i="19" s="1"/>
  <c r="P222" i="19" s="1"/>
  <c r="M221" i="19"/>
  <c r="N221" i="19" s="1"/>
  <c r="P221" i="19" s="1"/>
  <c r="M214" i="19"/>
  <c r="N214" i="19" s="1"/>
  <c r="P214" i="19" s="1"/>
  <c r="M213" i="19"/>
  <c r="N213" i="19" s="1"/>
  <c r="P213" i="19" s="1"/>
  <c r="E13" i="30"/>
  <c r="E70" i="30"/>
  <c r="J70" i="30" s="1"/>
  <c r="O51" i="30"/>
  <c r="O51" i="25"/>
  <c r="R51" i="30"/>
  <c r="R51" i="25"/>
  <c r="R35" i="30"/>
  <c r="O23" i="30"/>
  <c r="AC47" i="30"/>
  <c r="O47" i="30"/>
  <c r="AC23" i="30"/>
  <c r="AF35" i="30"/>
  <c r="AF23" i="30"/>
  <c r="R23" i="30"/>
  <c r="AI35" i="30"/>
  <c r="AI47" i="30"/>
  <c r="U35" i="30"/>
  <c r="O35" i="30"/>
  <c r="AC35" i="30"/>
  <c r="U47" i="30"/>
  <c r="R47" i="30"/>
  <c r="AF47" i="30"/>
  <c r="O44" i="30"/>
  <c r="AC20" i="30"/>
  <c r="AF20" i="30" s="1"/>
  <c r="AC32" i="30"/>
  <c r="AF32" i="30" s="1"/>
  <c r="U32" i="30"/>
  <c r="AI32" i="30"/>
  <c r="O32" i="30"/>
  <c r="AC44" i="30"/>
  <c r="AF44" i="30" s="1"/>
  <c r="O20" i="30"/>
  <c r="AI44" i="30"/>
  <c r="U44" i="30"/>
  <c r="O17" i="30"/>
  <c r="R17" i="30" s="1"/>
  <c r="AC17" i="30"/>
  <c r="AF17" i="30" s="1"/>
  <c r="J18" i="30"/>
  <c r="I18" i="30"/>
  <c r="L18" i="30" s="1"/>
  <c r="F47" i="36" s="1"/>
  <c r="AJ43" i="30"/>
  <c r="AH43" i="30"/>
  <c r="AL43" i="30" s="1"/>
  <c r="V46" i="30"/>
  <c r="T46" i="30"/>
  <c r="X46" i="30" s="1"/>
  <c r="O52" i="30"/>
  <c r="O52" i="25"/>
  <c r="R52" i="30"/>
  <c r="AI36" i="30"/>
  <c r="R24" i="30"/>
  <c r="AI48" i="30"/>
  <c r="AF36" i="30"/>
  <c r="AC36" i="30"/>
  <c r="R48" i="30"/>
  <c r="U48" i="30"/>
  <c r="AF48" i="30"/>
  <c r="O48" i="30"/>
  <c r="O36" i="30"/>
  <c r="O24" i="30"/>
  <c r="R36" i="30"/>
  <c r="AC24" i="30"/>
  <c r="AF24" i="30"/>
  <c r="AC48" i="30"/>
  <c r="U36" i="30"/>
  <c r="R52" i="25"/>
  <c r="U33" i="30"/>
  <c r="AC33" i="30"/>
  <c r="AF33" i="30" s="1"/>
  <c r="U45" i="30"/>
  <c r="AI33" i="30"/>
  <c r="O21" i="30"/>
  <c r="R21" i="30" s="1"/>
  <c r="AI45" i="30"/>
  <c r="O33" i="30"/>
  <c r="R33" i="30" s="1"/>
  <c r="O45" i="30"/>
  <c r="R45" i="30" s="1"/>
  <c r="AC21" i="30"/>
  <c r="AF21" i="30" s="1"/>
  <c r="AC45" i="30"/>
  <c r="AF45" i="30" s="1"/>
  <c r="AC18" i="30"/>
  <c r="AF18" i="30" s="1"/>
  <c r="O18" i="30"/>
  <c r="R18" i="30" s="1"/>
  <c r="AJ22" i="30"/>
  <c r="AH22" i="30"/>
  <c r="AL22" i="30" s="1"/>
  <c r="AJ46" i="30"/>
  <c r="AH46" i="30"/>
  <c r="AL46" i="30" s="1"/>
  <c r="V43" i="30"/>
  <c r="T43" i="30"/>
  <c r="X43" i="30" s="1"/>
  <c r="AJ31" i="30"/>
  <c r="AH31" i="30"/>
  <c r="AL31" i="30" s="1"/>
  <c r="AJ39" i="30"/>
  <c r="AH39" i="30"/>
  <c r="AL39" i="30" s="1"/>
  <c r="V19" i="30"/>
  <c r="T19" i="30"/>
  <c r="X19" i="30" s="1"/>
  <c r="AC40" i="30"/>
  <c r="O40" i="30"/>
  <c r="AI42" i="30"/>
  <c r="AC41" i="30"/>
  <c r="O41" i="30"/>
  <c r="AC42" i="30"/>
  <c r="U41" i="30"/>
  <c r="O42" i="30"/>
  <c r="AI40" i="30"/>
  <c r="U40" i="30"/>
  <c r="U42" i="30"/>
  <c r="AI41" i="30"/>
  <c r="R42" i="30"/>
  <c r="AF40" i="30"/>
  <c r="R39" i="30"/>
  <c r="AF42" i="30"/>
  <c r="R40" i="30"/>
  <c r="O30" i="30"/>
  <c r="U30" i="30"/>
  <c r="AI29" i="30"/>
  <c r="O28" i="30"/>
  <c r="U29" i="30"/>
  <c r="O29" i="30"/>
  <c r="AI28" i="30"/>
  <c r="AC28" i="30"/>
  <c r="AC29" i="30"/>
  <c r="AI30" i="30"/>
  <c r="AC30" i="30"/>
  <c r="U28" i="30"/>
  <c r="R30" i="30"/>
  <c r="R28" i="30"/>
  <c r="AF30" i="30"/>
  <c r="R29" i="30"/>
  <c r="R27" i="30"/>
  <c r="AF29" i="30"/>
  <c r="AF28" i="30"/>
  <c r="V34" i="30"/>
  <c r="T34" i="30"/>
  <c r="X34" i="30" s="1"/>
  <c r="AJ34" i="30"/>
  <c r="AH34" i="30"/>
  <c r="AL34" i="30" s="1"/>
  <c r="V31" i="30"/>
  <c r="T31" i="30"/>
  <c r="X31" i="30" s="1"/>
  <c r="AJ27" i="30"/>
  <c r="AH27" i="30"/>
  <c r="AL27" i="30" s="1"/>
  <c r="AJ19" i="30"/>
  <c r="AH19" i="30"/>
  <c r="AL19" i="30" s="1"/>
  <c r="V22" i="30"/>
  <c r="T22" i="30"/>
  <c r="X22" i="30" s="1"/>
  <c r="AC22" i="25"/>
  <c r="AC46" i="25"/>
  <c r="AC34" i="25"/>
  <c r="R22" i="25"/>
  <c r="V22" i="25" s="1"/>
  <c r="AF22" i="25"/>
  <c r="AJ22" i="25" s="1"/>
  <c r="AF46" i="25"/>
  <c r="AJ46" i="25" s="1"/>
  <c r="R46" i="25"/>
  <c r="V46" i="25" s="1"/>
  <c r="AF34" i="25"/>
  <c r="AJ34" i="25" s="1"/>
  <c r="R34" i="25"/>
  <c r="V34" i="25" s="1"/>
  <c r="U40" i="38"/>
  <c r="U40" i="41"/>
  <c r="O42" i="41"/>
  <c r="O41" i="41"/>
  <c r="O40" i="41"/>
  <c r="R39" i="41"/>
  <c r="T39" i="41" s="1"/>
  <c r="U16" i="42"/>
  <c r="O28" i="41"/>
  <c r="O29" i="41"/>
  <c r="O30" i="41"/>
  <c r="R29" i="41"/>
  <c r="T29" i="41" s="1"/>
  <c r="R28" i="41"/>
  <c r="T28" i="41" s="1"/>
  <c r="R30" i="41"/>
  <c r="T30" i="41" s="1"/>
  <c r="R27" i="41"/>
  <c r="T27" i="41" s="1"/>
  <c r="O29" i="38"/>
  <c r="O30" i="38"/>
  <c r="O28" i="38"/>
  <c r="R28" i="38"/>
  <c r="T28" i="38" s="1"/>
  <c r="R27" i="38"/>
  <c r="T27" i="38" s="1"/>
  <c r="R30" i="38"/>
  <c r="T30" i="38" s="1"/>
  <c r="R29" i="38"/>
  <c r="T29" i="38" s="1"/>
  <c r="U40" i="42"/>
  <c r="O29" i="42"/>
  <c r="O28" i="42"/>
  <c r="O30" i="42"/>
  <c r="R27" i="42"/>
  <c r="T27" i="42" s="1"/>
  <c r="R28" i="42"/>
  <c r="T28" i="42" s="1"/>
  <c r="R29" i="42"/>
  <c r="T29" i="42" s="1"/>
  <c r="R30" i="42"/>
  <c r="T30" i="42" s="1"/>
  <c r="U28" i="42"/>
  <c r="U16" i="38"/>
  <c r="U34" i="41"/>
  <c r="U46" i="38"/>
  <c r="U22" i="41"/>
  <c r="U34" i="42"/>
  <c r="U46" i="42"/>
  <c r="U34" i="38"/>
  <c r="U46" i="41"/>
  <c r="U22" i="38"/>
  <c r="U22" i="42"/>
  <c r="U31" i="38"/>
  <c r="V31" i="38" s="1"/>
  <c r="X31" i="38" s="1"/>
  <c r="U43" i="42"/>
  <c r="V43" i="42" s="1"/>
  <c r="X43" i="42" s="1"/>
  <c r="U19" i="38"/>
  <c r="V19" i="38" s="1"/>
  <c r="X19" i="38" s="1"/>
  <c r="U31" i="41"/>
  <c r="V31" i="41" s="1"/>
  <c r="X31" i="41" s="1"/>
  <c r="U19" i="42"/>
  <c r="V19" i="42" s="1"/>
  <c r="X19" i="42" s="1"/>
  <c r="U19" i="41"/>
  <c r="V19" i="41" s="1"/>
  <c r="X19" i="41" s="1"/>
  <c r="U43" i="38"/>
  <c r="V43" i="38" s="1"/>
  <c r="X43" i="38" s="1"/>
  <c r="U43" i="41"/>
  <c r="V43" i="41" s="1"/>
  <c r="X43" i="41" s="1"/>
  <c r="U31" i="42"/>
  <c r="V31" i="42" s="1"/>
  <c r="X31" i="42" s="1"/>
  <c r="U28" i="38"/>
  <c r="U28" i="41"/>
  <c r="O24" i="41"/>
  <c r="O36" i="38"/>
  <c r="R24" i="42"/>
  <c r="T24" i="42" s="1"/>
  <c r="O24" i="38"/>
  <c r="R36" i="38"/>
  <c r="T36" i="38" s="1"/>
  <c r="O48" i="41"/>
  <c r="R24" i="38"/>
  <c r="T24" i="38" s="1"/>
  <c r="R48" i="41"/>
  <c r="T48" i="41" s="1"/>
  <c r="R48" i="42"/>
  <c r="T48" i="42" s="1"/>
  <c r="R48" i="38"/>
  <c r="T48" i="38" s="1"/>
  <c r="O48" i="42"/>
  <c r="R36" i="41"/>
  <c r="T36" i="41" s="1"/>
  <c r="O36" i="42"/>
  <c r="O48" i="38"/>
  <c r="R36" i="42"/>
  <c r="T36" i="42" s="1"/>
  <c r="O36" i="41"/>
  <c r="O24" i="42"/>
  <c r="R24" i="41"/>
  <c r="T24" i="41" s="1"/>
  <c r="O33" i="38"/>
  <c r="R33" i="38" s="1"/>
  <c r="T33" i="38" s="1"/>
  <c r="O33" i="42"/>
  <c r="R33" i="42" s="1"/>
  <c r="T33" i="42" s="1"/>
  <c r="O21" i="42"/>
  <c r="R21" i="42" s="1"/>
  <c r="T21" i="42" s="1"/>
  <c r="O33" i="41"/>
  <c r="R33" i="41" s="1"/>
  <c r="T33" i="41" s="1"/>
  <c r="O21" i="38"/>
  <c r="R21" i="38" s="1"/>
  <c r="T21" i="38" s="1"/>
  <c r="O45" i="41"/>
  <c r="R45" i="41" s="1"/>
  <c r="T45" i="41" s="1"/>
  <c r="O45" i="42"/>
  <c r="R45" i="42" s="1"/>
  <c r="T45" i="42" s="1"/>
  <c r="O21" i="41"/>
  <c r="R21" i="41" s="1"/>
  <c r="T21" i="41" s="1"/>
  <c r="O45" i="38"/>
  <c r="R45" i="38" s="1"/>
  <c r="T45" i="38" s="1"/>
  <c r="O18" i="38"/>
  <c r="R18" i="38"/>
  <c r="T18" i="38" s="1"/>
  <c r="O18" i="42"/>
  <c r="R42" i="42"/>
  <c r="T42" i="42" s="1"/>
  <c r="O18" i="41"/>
  <c r="R18" i="41"/>
  <c r="T18" i="41" s="1"/>
  <c r="R42" i="38"/>
  <c r="T42" i="38" s="1"/>
  <c r="R42" i="41"/>
  <c r="T42" i="41" s="1"/>
  <c r="R18" i="42"/>
  <c r="T18" i="42" s="1"/>
  <c r="O42" i="42"/>
  <c r="O40" i="42"/>
  <c r="O41" i="42"/>
  <c r="R39" i="42"/>
  <c r="T39" i="42" s="1"/>
  <c r="E70" i="25"/>
  <c r="J70" i="25" s="1"/>
  <c r="O23" i="41"/>
  <c r="O47" i="41"/>
  <c r="R35" i="41"/>
  <c r="T35" i="41" s="1"/>
  <c r="O47" i="38"/>
  <c r="R35" i="38"/>
  <c r="T35" i="38" s="1"/>
  <c r="R23" i="38"/>
  <c r="T23" i="38" s="1"/>
  <c r="O23" i="38"/>
  <c r="R35" i="42"/>
  <c r="T35" i="42" s="1"/>
  <c r="O35" i="41"/>
  <c r="O35" i="42"/>
  <c r="R47" i="42"/>
  <c r="T47" i="42" s="1"/>
  <c r="R47" i="38"/>
  <c r="T47" i="38" s="1"/>
  <c r="R23" i="41"/>
  <c r="T23" i="41" s="1"/>
  <c r="R23" i="42"/>
  <c r="T23" i="42" s="1"/>
  <c r="O23" i="42"/>
  <c r="R47" i="41"/>
  <c r="T47" i="41" s="1"/>
  <c r="O35" i="38"/>
  <c r="O47" i="42"/>
  <c r="O44" i="42"/>
  <c r="R44" i="42" s="1"/>
  <c r="T44" i="42" s="1"/>
  <c r="O32" i="42"/>
  <c r="R32" i="42" s="1"/>
  <c r="T32" i="42" s="1"/>
  <c r="O44" i="38"/>
  <c r="R44" i="38" s="1"/>
  <c r="T44" i="38" s="1"/>
  <c r="O20" i="41"/>
  <c r="R20" i="41" s="1"/>
  <c r="T20" i="41" s="1"/>
  <c r="O32" i="38"/>
  <c r="R32" i="38" s="1"/>
  <c r="T32" i="38" s="1"/>
  <c r="O20" i="38"/>
  <c r="R20" i="38" s="1"/>
  <c r="T20" i="38" s="1"/>
  <c r="O44" i="41"/>
  <c r="R44" i="41" s="1"/>
  <c r="T44" i="41" s="1"/>
  <c r="O32" i="41"/>
  <c r="R32" i="41" s="1"/>
  <c r="T32" i="41" s="1"/>
  <c r="O20" i="42"/>
  <c r="R20" i="42" s="1"/>
  <c r="T20" i="42" s="1"/>
  <c r="O17" i="38"/>
  <c r="O17" i="42"/>
  <c r="R41" i="38"/>
  <c r="T41" i="38" s="1"/>
  <c r="R17" i="38"/>
  <c r="T17" i="38" s="1"/>
  <c r="R41" i="42"/>
  <c r="T41" i="42" s="1"/>
  <c r="R17" i="41"/>
  <c r="T17" i="41" s="1"/>
  <c r="R17" i="42"/>
  <c r="T17" i="42" s="1"/>
  <c r="R41" i="41"/>
  <c r="T41" i="41" s="1"/>
  <c r="O17" i="41"/>
  <c r="O42" i="38"/>
  <c r="O41" i="38"/>
  <c r="O40" i="38"/>
  <c r="R39" i="38"/>
  <c r="T39" i="38" s="1"/>
  <c r="B13" i="38"/>
  <c r="B13" i="41"/>
  <c r="B13" i="42"/>
  <c r="B19" i="38"/>
  <c r="B19" i="41"/>
  <c r="B19" i="42"/>
  <c r="B25" i="38"/>
  <c r="B25" i="42"/>
  <c r="B25" i="41"/>
  <c r="B21" i="38"/>
  <c r="B21" i="41"/>
  <c r="B21" i="42"/>
  <c r="B18" i="38"/>
  <c r="B18" i="42"/>
  <c r="B18" i="41"/>
  <c r="B16" i="38"/>
  <c r="B16" i="42"/>
  <c r="B16" i="41"/>
  <c r="B22" i="38"/>
  <c r="B22" i="42"/>
  <c r="B22" i="41"/>
  <c r="F43" i="43"/>
  <c r="F43" i="44"/>
  <c r="B15" i="38"/>
  <c r="B15" i="41"/>
  <c r="B15" i="42"/>
  <c r="B20" i="38"/>
  <c r="B20" i="41"/>
  <c r="B20" i="42"/>
  <c r="F44" i="43"/>
  <c r="F44" i="44"/>
  <c r="B23" i="38"/>
  <c r="B23" i="41"/>
  <c r="B23" i="42"/>
  <c r="B17" i="38"/>
  <c r="B17" i="41"/>
  <c r="B17" i="42"/>
  <c r="F45" i="43"/>
  <c r="F45" i="44"/>
  <c r="B14" i="38"/>
  <c r="B14" i="42"/>
  <c r="B14" i="41"/>
  <c r="F43" i="37"/>
  <c r="F43" i="40"/>
  <c r="F44" i="37"/>
  <c r="F44" i="40"/>
  <c r="F45" i="37"/>
  <c r="F45" i="40"/>
  <c r="L68" i="25"/>
  <c r="F92" i="22" s="1"/>
  <c r="L63" i="25"/>
  <c r="F87" i="22" s="1"/>
  <c r="I18" i="25"/>
  <c r="L18" i="25" s="1"/>
  <c r="R19" i="25"/>
  <c r="V19" i="25" s="1"/>
  <c r="AJ43" i="25"/>
  <c r="AJ19" i="25"/>
  <c r="AF42" i="25"/>
  <c r="AC42" i="25"/>
  <c r="AI41" i="25"/>
  <c r="AC40" i="25"/>
  <c r="AC41" i="25"/>
  <c r="AF40" i="25"/>
  <c r="AI42" i="25"/>
  <c r="AI40" i="25"/>
  <c r="AI48" i="25"/>
  <c r="AF24" i="25"/>
  <c r="AC24" i="25"/>
  <c r="AC48" i="25"/>
  <c r="AI36" i="25"/>
  <c r="AC36" i="25"/>
  <c r="AF36" i="25"/>
  <c r="AF48" i="25"/>
  <c r="AC45" i="25"/>
  <c r="AF45" i="25" s="1"/>
  <c r="AC21" i="25"/>
  <c r="AF21" i="25" s="1"/>
  <c r="AI33" i="25"/>
  <c r="AI45" i="25"/>
  <c r="AC33" i="25"/>
  <c r="AF33" i="25" s="1"/>
  <c r="AC18" i="25"/>
  <c r="AF18" i="25" s="1"/>
  <c r="AH18" i="25" s="1"/>
  <c r="AL18" i="25" s="1"/>
  <c r="AF35" i="25"/>
  <c r="AC47" i="25"/>
  <c r="AI35" i="25"/>
  <c r="AC35" i="25"/>
  <c r="AF23" i="25"/>
  <c r="AI47" i="25"/>
  <c r="AC23" i="25"/>
  <c r="AF47" i="25"/>
  <c r="AI44" i="25"/>
  <c r="AC44" i="25"/>
  <c r="AF44" i="25" s="1"/>
  <c r="AC20" i="25"/>
  <c r="AF20" i="25" s="1"/>
  <c r="AI32" i="25"/>
  <c r="AC32" i="25"/>
  <c r="AF32" i="25" s="1"/>
  <c r="AC17" i="25"/>
  <c r="AF17" i="25" s="1"/>
  <c r="AH17" i="25" s="1"/>
  <c r="AL17" i="25" s="1"/>
  <c r="AC28" i="25"/>
  <c r="AC30" i="25"/>
  <c r="AI29" i="25"/>
  <c r="AF29" i="25"/>
  <c r="AI30" i="25"/>
  <c r="AC29" i="25"/>
  <c r="AI28" i="25"/>
  <c r="AF30" i="25"/>
  <c r="AF28" i="25"/>
  <c r="AJ27" i="25"/>
  <c r="AH27" i="25"/>
  <c r="AL27" i="25" s="1"/>
  <c r="AJ16" i="25"/>
  <c r="AJ31" i="25"/>
  <c r="AJ39" i="25"/>
  <c r="AH39" i="25"/>
  <c r="AL39" i="25" s="1"/>
  <c r="I36" i="25"/>
  <c r="J36" i="25"/>
  <c r="U36" i="25"/>
  <c r="U48" i="25"/>
  <c r="U45" i="25"/>
  <c r="U33" i="25"/>
  <c r="U28" i="25"/>
  <c r="U30" i="25"/>
  <c r="U29" i="25"/>
  <c r="U42" i="25"/>
  <c r="U41" i="25"/>
  <c r="U40" i="25"/>
  <c r="R42" i="25"/>
  <c r="V42" i="25" s="1"/>
  <c r="R40" i="25"/>
  <c r="V40" i="25" s="1"/>
  <c r="U35" i="25"/>
  <c r="U47" i="25"/>
  <c r="U32" i="25"/>
  <c r="U44" i="25"/>
  <c r="N193" i="25"/>
  <c r="N178" i="25"/>
  <c r="O28" i="31"/>
  <c r="S160" i="25"/>
  <c r="T160" i="25" s="1"/>
  <c r="O23" i="31"/>
  <c r="O35" i="31"/>
  <c r="O47" i="31"/>
  <c r="R35" i="31"/>
  <c r="T35" i="31" s="1"/>
  <c r="R23" i="31"/>
  <c r="T23" i="31" s="1"/>
  <c r="E13" i="25"/>
  <c r="I13" i="25" s="1"/>
  <c r="L13" i="25" s="1"/>
  <c r="R47" i="31"/>
  <c r="T47" i="31" s="1"/>
  <c r="O32" i="31"/>
  <c r="R32" i="31" s="1"/>
  <c r="T32" i="31" s="1"/>
  <c r="O20" i="31"/>
  <c r="R20" i="31" s="1"/>
  <c r="T20" i="31" s="1"/>
  <c r="O44" i="31"/>
  <c r="R44" i="31" s="1"/>
  <c r="T44" i="31" s="1"/>
  <c r="O17" i="31"/>
  <c r="R17" i="31"/>
  <c r="T17" i="31" s="1"/>
  <c r="R41" i="31"/>
  <c r="T41" i="31" s="1"/>
  <c r="O42" i="31"/>
  <c r="O41" i="31"/>
  <c r="R39" i="31"/>
  <c r="T39" i="31" s="1"/>
  <c r="I16" i="31" s="1"/>
  <c r="O29" i="31"/>
  <c r="O30" i="31"/>
  <c r="R27" i="31"/>
  <c r="T27" i="31" s="1"/>
  <c r="I15" i="31" s="1"/>
  <c r="R30" i="31"/>
  <c r="T30" i="31" s="1"/>
  <c r="R29" i="31"/>
  <c r="T29" i="31" s="1"/>
  <c r="O36" i="31"/>
  <c r="O48" i="31"/>
  <c r="O24" i="31"/>
  <c r="R36" i="31"/>
  <c r="T36" i="31" s="1"/>
  <c r="R48" i="31"/>
  <c r="T48" i="31" s="1"/>
  <c r="R24" i="31"/>
  <c r="T24" i="31" s="1"/>
  <c r="O21" i="31"/>
  <c r="R21" i="31" s="1"/>
  <c r="T21" i="31" s="1"/>
  <c r="O33" i="31"/>
  <c r="R33" i="31" s="1"/>
  <c r="T33" i="31" s="1"/>
  <c r="O45" i="31"/>
  <c r="R45" i="31" s="1"/>
  <c r="T45" i="31" s="1"/>
  <c r="O18" i="31"/>
  <c r="R18" i="31"/>
  <c r="T18" i="31" s="1"/>
  <c r="R42" i="31"/>
  <c r="T42" i="31" s="1"/>
  <c r="N197" i="19"/>
  <c r="Y197" i="19"/>
  <c r="AB197" i="19" s="1"/>
  <c r="B14" i="31"/>
  <c r="U46" i="31"/>
  <c r="U34" i="31"/>
  <c r="U22" i="31"/>
  <c r="U19" i="31"/>
  <c r="V19" i="31" s="1"/>
  <c r="X19" i="31" s="1"/>
  <c r="U31" i="31"/>
  <c r="V31" i="31" s="1"/>
  <c r="X31" i="31" s="1"/>
  <c r="U43" i="31"/>
  <c r="V43" i="31" s="1"/>
  <c r="X43" i="31" s="1"/>
  <c r="B13" i="31"/>
  <c r="B19" i="31"/>
  <c r="B21" i="31"/>
  <c r="U40" i="31"/>
  <c r="B17" i="31"/>
  <c r="B16" i="31"/>
  <c r="B22" i="31"/>
  <c r="B15" i="31"/>
  <c r="B23" i="31"/>
  <c r="U28" i="31"/>
  <c r="B18" i="31"/>
  <c r="B20" i="31"/>
  <c r="U16" i="31"/>
  <c r="B25" i="31"/>
  <c r="V6" i="19"/>
  <c r="S6" i="19"/>
  <c r="V3" i="19"/>
  <c r="S3" i="19"/>
  <c r="V5" i="19"/>
  <c r="S5" i="19"/>
  <c r="O171" i="19"/>
  <c r="P171" i="19" s="1"/>
  <c r="J42" i="30" s="1"/>
  <c r="O186" i="19"/>
  <c r="P186" i="19" s="1"/>
  <c r="O45" i="19"/>
  <c r="P45" i="19" s="1"/>
  <c r="O185" i="19"/>
  <c r="P185" i="19" s="1"/>
  <c r="O184" i="19"/>
  <c r="P184" i="19" s="1"/>
  <c r="J47" i="30" s="1"/>
  <c r="O71" i="19"/>
  <c r="P71" i="19" s="1"/>
  <c r="O175" i="19"/>
  <c r="P175" i="19" s="1"/>
  <c r="O159" i="19"/>
  <c r="P159" i="19" s="1"/>
  <c r="O133" i="19"/>
  <c r="P133" i="19" s="1"/>
  <c r="O176" i="19"/>
  <c r="P176" i="19" s="1"/>
  <c r="J45" i="30" s="1"/>
  <c r="O181" i="19"/>
  <c r="P181" i="19" s="1"/>
  <c r="O183" i="19"/>
  <c r="P183" i="19" s="1"/>
  <c r="O195" i="19"/>
  <c r="P195" i="19" s="1"/>
  <c r="O64" i="19"/>
  <c r="P64" i="19" s="1"/>
  <c r="O41" i="19"/>
  <c r="P41" i="19" s="1"/>
  <c r="O150" i="19"/>
  <c r="P150" i="19" s="1"/>
  <c r="L232" i="25" s="1"/>
  <c r="K50" i="35" s="1"/>
  <c r="F83" i="21" s="1"/>
  <c r="O173" i="19"/>
  <c r="P173" i="19" s="1"/>
  <c r="J44" i="30" s="1"/>
  <c r="O51" i="19"/>
  <c r="P51" i="19" s="1"/>
  <c r="F56" i="22" s="1"/>
  <c r="O47" i="25"/>
  <c r="O35" i="25"/>
  <c r="R35" i="25"/>
  <c r="V35" i="25" s="1"/>
  <c r="R47" i="25"/>
  <c r="V47" i="25" s="1"/>
  <c r="O44" i="25"/>
  <c r="R44" i="25" s="1"/>
  <c r="V44" i="25" s="1"/>
  <c r="O32" i="25"/>
  <c r="R32" i="25" s="1"/>
  <c r="V32" i="25" s="1"/>
  <c r="O95" i="19"/>
  <c r="P95" i="19" s="1"/>
  <c r="O98" i="19"/>
  <c r="P98" i="19" s="1"/>
  <c r="O32" i="19"/>
  <c r="P32" i="19" s="1"/>
  <c r="O65" i="19"/>
  <c r="P65" i="19" s="1"/>
  <c r="O132" i="19"/>
  <c r="P132" i="19" s="1"/>
  <c r="O182" i="19"/>
  <c r="P182" i="19" s="1"/>
  <c r="O156" i="19"/>
  <c r="P156" i="19" s="1"/>
  <c r="O58" i="19"/>
  <c r="P58" i="19" s="1"/>
  <c r="O96" i="19"/>
  <c r="P96" i="19" s="1"/>
  <c r="O91" i="19"/>
  <c r="P91" i="19" s="1"/>
  <c r="O193" i="19"/>
  <c r="P193" i="19" s="1"/>
  <c r="O10" i="19"/>
  <c r="P10" i="19" s="1"/>
  <c r="O149" i="19"/>
  <c r="P149" i="19" s="1"/>
  <c r="O134" i="19"/>
  <c r="P134" i="19" s="1"/>
  <c r="O111" i="19"/>
  <c r="P111" i="19" s="1"/>
  <c r="O107" i="19"/>
  <c r="P107" i="19" s="1"/>
  <c r="O36" i="19"/>
  <c r="P36" i="19" s="1"/>
  <c r="O74" i="19"/>
  <c r="P74" i="19" s="1"/>
  <c r="O42" i="19"/>
  <c r="P42" i="19" s="1"/>
  <c r="O46" i="19"/>
  <c r="P46" i="19" s="1"/>
  <c r="O203" i="19"/>
  <c r="P203" i="19" s="1"/>
  <c r="O110" i="19"/>
  <c r="P110" i="19" s="1"/>
  <c r="O68" i="19"/>
  <c r="P68" i="19" s="1"/>
  <c r="O85" i="19"/>
  <c r="P85" i="19" s="1"/>
  <c r="O158" i="19"/>
  <c r="P158" i="19" s="1"/>
  <c r="O12" i="19"/>
  <c r="P12" i="19" s="1"/>
  <c r="O135" i="19"/>
  <c r="P135" i="19" s="1"/>
  <c r="O27" i="19"/>
  <c r="P27" i="19" s="1"/>
  <c r="O87" i="19"/>
  <c r="P87" i="19" s="1"/>
  <c r="O103" i="19"/>
  <c r="P103" i="19" s="1"/>
  <c r="O16" i="19"/>
  <c r="P16" i="19" s="1"/>
  <c r="O200" i="19"/>
  <c r="P200" i="19" s="1"/>
  <c r="O178" i="19"/>
  <c r="P178" i="19" s="1"/>
  <c r="O81" i="19"/>
  <c r="P81" i="19" s="1"/>
  <c r="O109" i="19"/>
  <c r="P109" i="19" s="1"/>
  <c r="O89" i="19"/>
  <c r="P89" i="19" s="1"/>
  <c r="O163" i="19"/>
  <c r="P163" i="19" s="1"/>
  <c r="O155" i="19"/>
  <c r="P155" i="19" s="1"/>
  <c r="O29" i="19"/>
  <c r="P29" i="19" s="1"/>
  <c r="O88" i="19"/>
  <c r="P88" i="19" s="1"/>
  <c r="O151" i="19"/>
  <c r="P151" i="19" s="1"/>
  <c r="L233" i="25" s="1"/>
  <c r="K51" i="35" s="1"/>
  <c r="F84" i="21" s="1"/>
  <c r="O6" i="19"/>
  <c r="P6" i="19" s="1"/>
  <c r="O101" i="19"/>
  <c r="P101" i="19" s="1"/>
  <c r="O63" i="19"/>
  <c r="P63" i="19" s="1"/>
  <c r="O192" i="19"/>
  <c r="P192" i="19" s="1"/>
  <c r="O154" i="19"/>
  <c r="P154" i="19" s="1"/>
  <c r="L235" i="25" s="1"/>
  <c r="K53" i="35" s="1"/>
  <c r="F86" i="21" s="1"/>
  <c r="O44" i="19"/>
  <c r="P44" i="19" s="1"/>
  <c r="O174" i="19"/>
  <c r="P174" i="19" s="1"/>
  <c r="O21" i="19"/>
  <c r="P21" i="19" s="1"/>
  <c r="O112" i="19"/>
  <c r="P112" i="19" s="1"/>
  <c r="O23" i="19"/>
  <c r="P23" i="19" s="1"/>
  <c r="O179" i="19"/>
  <c r="P179" i="19" s="1"/>
  <c r="O108" i="19"/>
  <c r="P108" i="19" s="1"/>
  <c r="O9" i="19"/>
  <c r="P9" i="19" s="1"/>
  <c r="O55" i="19"/>
  <c r="P55" i="19" s="1"/>
  <c r="O97" i="19"/>
  <c r="P97" i="19" s="1"/>
  <c r="O105" i="19"/>
  <c r="P105" i="19" s="1"/>
  <c r="O204" i="19"/>
  <c r="P204" i="19" s="1"/>
  <c r="O162" i="19"/>
  <c r="P162" i="19" s="1"/>
  <c r="L236" i="25" s="1"/>
  <c r="K54" i="35" s="1"/>
  <c r="F87" i="21" s="1"/>
  <c r="O90" i="19"/>
  <c r="P90" i="19" s="1"/>
  <c r="O160" i="19"/>
  <c r="P160" i="19" s="1"/>
  <c r="O35" i="19"/>
  <c r="P35" i="19" s="1"/>
  <c r="F52" i="22" s="1"/>
  <c r="O67" i="19"/>
  <c r="P67" i="19" s="1"/>
  <c r="O56" i="19"/>
  <c r="P56" i="19" s="1"/>
  <c r="O31" i="19"/>
  <c r="P31" i="19" s="1"/>
  <c r="O11" i="19"/>
  <c r="P11" i="19" s="1"/>
  <c r="O15" i="19"/>
  <c r="P15" i="19" s="1"/>
  <c r="O199" i="19"/>
  <c r="P199" i="19" s="1"/>
  <c r="O24" i="19"/>
  <c r="P24" i="19" s="1"/>
  <c r="O157" i="19"/>
  <c r="P157" i="19" s="1"/>
  <c r="O3" i="19"/>
  <c r="P3" i="19" s="1"/>
  <c r="O205" i="19"/>
  <c r="P205" i="19" s="1"/>
  <c r="O194" i="19"/>
  <c r="P194" i="19" s="1"/>
  <c r="I149" i="25" s="1"/>
  <c r="O40" i="19"/>
  <c r="P40" i="19" s="1"/>
  <c r="O153" i="19"/>
  <c r="P153" i="19" s="1"/>
  <c r="L234" i="25" s="1"/>
  <c r="K52" i="35" s="1"/>
  <c r="F85" i="21" s="1"/>
  <c r="O37" i="19"/>
  <c r="P37" i="19" s="1"/>
  <c r="O59" i="19"/>
  <c r="P59" i="19" s="1"/>
  <c r="O47" i="19"/>
  <c r="P47" i="19" s="1"/>
  <c r="O106" i="19"/>
  <c r="P106" i="19" s="1"/>
  <c r="O99" i="19"/>
  <c r="P99" i="19" s="1"/>
  <c r="O86" i="19"/>
  <c r="P86" i="19" s="1"/>
  <c r="L227" i="25" s="1"/>
  <c r="O202" i="19"/>
  <c r="P202" i="19" s="1"/>
  <c r="O73" i="19"/>
  <c r="P73" i="19" s="1"/>
  <c r="O72" i="19"/>
  <c r="P72" i="19" s="1"/>
  <c r="O104" i="19"/>
  <c r="P104" i="19" s="1"/>
  <c r="O93" i="19"/>
  <c r="P93" i="19" s="1"/>
  <c r="O49" i="19"/>
  <c r="P49" i="19" s="1"/>
  <c r="O201" i="19"/>
  <c r="P201" i="19" s="1"/>
  <c r="O28" i="25"/>
  <c r="O30" i="25"/>
  <c r="O29" i="25"/>
  <c r="R27" i="25"/>
  <c r="V27" i="25" s="1"/>
  <c r="R28" i="25"/>
  <c r="V28" i="25" s="1"/>
  <c r="R30" i="25"/>
  <c r="R29" i="25"/>
  <c r="O177" i="19"/>
  <c r="P177" i="19" s="1"/>
  <c r="J46" i="25" s="1"/>
  <c r="O38" i="19"/>
  <c r="P38" i="19" s="1"/>
  <c r="F84" i="22" s="1"/>
  <c r="O172" i="19"/>
  <c r="P172" i="19" s="1"/>
  <c r="J43" i="30" s="1"/>
  <c r="O80" i="19"/>
  <c r="P80" i="19" s="1"/>
  <c r="O57" i="19"/>
  <c r="P57" i="19" s="1"/>
  <c r="O131" i="19"/>
  <c r="P131" i="19" s="1"/>
  <c r="O30" i="19"/>
  <c r="P30" i="19" s="1"/>
  <c r="O66" i="19"/>
  <c r="P66" i="19" s="1"/>
  <c r="O48" i="25"/>
  <c r="O36" i="25"/>
  <c r="R48" i="25"/>
  <c r="V48" i="25" s="1"/>
  <c r="R36" i="25"/>
  <c r="V36" i="25" s="1"/>
  <c r="O33" i="25"/>
  <c r="R33" i="25" s="1"/>
  <c r="V33" i="25" s="1"/>
  <c r="O45" i="25"/>
  <c r="R45" i="25" s="1"/>
  <c r="V45" i="25" s="1"/>
  <c r="O92" i="19"/>
  <c r="P92" i="19" s="1"/>
  <c r="O53" i="19"/>
  <c r="P53" i="19" s="1"/>
  <c r="O102" i="19"/>
  <c r="P102" i="19" s="1"/>
  <c r="O100" i="19"/>
  <c r="P100" i="19" s="1"/>
  <c r="O26" i="19"/>
  <c r="P26" i="19" s="1"/>
  <c r="O43" i="19"/>
  <c r="P43" i="19" s="1"/>
  <c r="O50" i="19"/>
  <c r="P50" i="19" s="1"/>
  <c r="O42" i="25"/>
  <c r="O41" i="25"/>
  <c r="O40" i="25"/>
  <c r="R39" i="25"/>
  <c r="O22" i="19"/>
  <c r="P22" i="19" s="1"/>
  <c r="O60" i="19"/>
  <c r="O39" i="19"/>
  <c r="P39" i="19" s="1"/>
  <c r="O70" i="19"/>
  <c r="P70" i="19" s="1"/>
  <c r="O75" i="19"/>
  <c r="P75" i="19" s="1"/>
  <c r="O5" i="19"/>
  <c r="P5" i="19" s="1"/>
  <c r="O164" i="19"/>
  <c r="P164" i="19" s="1"/>
  <c r="O180" i="19"/>
  <c r="P180" i="19" s="1"/>
  <c r="O152" i="19"/>
  <c r="P152" i="19" s="1"/>
  <c r="O69" i="19"/>
  <c r="P69" i="19" s="1"/>
  <c r="T15" i="25"/>
  <c r="X15" i="25" s="1"/>
  <c r="T16" i="25"/>
  <c r="X16" i="25" s="1"/>
  <c r="E193" i="25"/>
  <c r="O23" i="25"/>
  <c r="R23" i="25"/>
  <c r="V23" i="25" s="1"/>
  <c r="O20" i="25"/>
  <c r="O17" i="25"/>
  <c r="R17" i="25" s="1"/>
  <c r="O24" i="25"/>
  <c r="R24" i="25"/>
  <c r="V24" i="25" s="1"/>
  <c r="O21" i="25"/>
  <c r="R21" i="25" s="1"/>
  <c r="V21" i="25" s="1"/>
  <c r="O18" i="25"/>
  <c r="R18" i="25" s="1"/>
  <c r="B23" i="25"/>
  <c r="B25" i="25"/>
  <c r="B20" i="25"/>
  <c r="B18" i="25"/>
  <c r="B21" i="25"/>
  <c r="B17" i="25"/>
  <c r="B19" i="25"/>
  <c r="B22" i="25"/>
  <c r="K3" i="24" a="1"/>
  <c r="K3" i="24" s="1"/>
  <c r="E3" i="24" a="1"/>
  <c r="E3" i="24" s="1"/>
  <c r="M3" i="24" a="1"/>
  <c r="M3" i="24" s="1"/>
  <c r="F3" i="24" a="1"/>
  <c r="F3" i="24" s="1"/>
  <c r="G3" i="24" a="1"/>
  <c r="G3" i="24" s="1"/>
  <c r="H3" i="24" a="1"/>
  <c r="H3" i="24" s="1"/>
  <c r="I3" i="24" a="1"/>
  <c r="I3" i="24" s="1"/>
  <c r="J3" i="24" a="1"/>
  <c r="J3" i="24" s="1"/>
  <c r="L3" i="24" a="1"/>
  <c r="L3" i="24" s="1"/>
  <c r="N2" i="24"/>
  <c r="L2" i="24"/>
  <c r="M2" i="24"/>
  <c r="J2" i="24"/>
  <c r="K2" i="24"/>
  <c r="H2" i="24"/>
  <c r="I2" i="24"/>
  <c r="F2" i="24"/>
  <c r="G2" i="24"/>
  <c r="D2" i="24"/>
  <c r="E2" i="24"/>
  <c r="R44" i="30" l="1"/>
  <c r="E16" i="30"/>
  <c r="J16" i="30" s="1"/>
  <c r="P210" i="19"/>
  <c r="I212" i="25"/>
  <c r="E212" i="25"/>
  <c r="R20" i="30"/>
  <c r="E14" i="30"/>
  <c r="J14" i="30" s="1"/>
  <c r="R32" i="30"/>
  <c r="V32" i="30" s="1"/>
  <c r="E15" i="30"/>
  <c r="J15" i="30" s="1"/>
  <c r="E228" i="25"/>
  <c r="P206" i="19"/>
  <c r="L228" i="25" s="1"/>
  <c r="F51" i="35" s="1"/>
  <c r="F79" i="21" s="1"/>
  <c r="I228" i="25"/>
  <c r="J47" i="25"/>
  <c r="F50" i="35"/>
  <c r="F78" i="21" s="1"/>
  <c r="K26" i="35"/>
  <c r="F53" i="21" s="1"/>
  <c r="J219" i="25"/>
  <c r="E15" i="25"/>
  <c r="J15" i="25" s="1"/>
  <c r="J48" i="25"/>
  <c r="J13" i="30"/>
  <c r="I13" i="30"/>
  <c r="L13" i="30" s="1"/>
  <c r="V42" i="30"/>
  <c r="T42" i="30"/>
  <c r="X42" i="30" s="1"/>
  <c r="V21" i="30"/>
  <c r="T21" i="30"/>
  <c r="X21" i="30" s="1"/>
  <c r="V48" i="30"/>
  <c r="T48" i="30"/>
  <c r="X48" i="30" s="1"/>
  <c r="V17" i="30"/>
  <c r="T17" i="30"/>
  <c r="X17" i="30" s="1"/>
  <c r="J49" i="25"/>
  <c r="J48" i="30"/>
  <c r="AI22" i="25"/>
  <c r="U24" i="30"/>
  <c r="U22" i="30"/>
  <c r="AI24" i="30"/>
  <c r="AI23" i="30"/>
  <c r="U23" i="30"/>
  <c r="AI22" i="30"/>
  <c r="AJ36" i="30"/>
  <c r="AH36" i="30"/>
  <c r="AL36" i="30" s="1"/>
  <c r="AJ33" i="30"/>
  <c r="AH33" i="30"/>
  <c r="AL33" i="30" s="1"/>
  <c r="V20" i="30"/>
  <c r="T20" i="30"/>
  <c r="X20" i="30" s="1"/>
  <c r="V23" i="30"/>
  <c r="T23" i="30"/>
  <c r="X23" i="30" s="1"/>
  <c r="T32" i="30"/>
  <c r="V52" i="30"/>
  <c r="T52" i="30"/>
  <c r="X52" i="30" s="1"/>
  <c r="R41" i="30"/>
  <c r="AF41" i="30"/>
  <c r="AJ24" i="30"/>
  <c r="AH24" i="30"/>
  <c r="AL24" i="30" s="1"/>
  <c r="AJ32" i="30"/>
  <c r="AH32" i="30"/>
  <c r="AL32" i="30" s="1"/>
  <c r="AJ28" i="30"/>
  <c r="AH28" i="30"/>
  <c r="AL28" i="30" s="1"/>
  <c r="V18" i="30"/>
  <c r="T18" i="30"/>
  <c r="X18" i="30" s="1"/>
  <c r="AJ20" i="30"/>
  <c r="AH20" i="30"/>
  <c r="AL20" i="30" s="1"/>
  <c r="V30" i="30"/>
  <c r="T30" i="30"/>
  <c r="X30" i="30" s="1"/>
  <c r="AJ29" i="30"/>
  <c r="AH29" i="30"/>
  <c r="AL29" i="30" s="1"/>
  <c r="AJ18" i="30"/>
  <c r="AH18" i="30"/>
  <c r="AL18" i="30" s="1"/>
  <c r="V36" i="30"/>
  <c r="T36" i="30"/>
  <c r="X36" i="30" s="1"/>
  <c r="V44" i="30"/>
  <c r="T44" i="30"/>
  <c r="V35" i="30"/>
  <c r="T35" i="30"/>
  <c r="X35" i="30" s="1"/>
  <c r="U21" i="30"/>
  <c r="AI20" i="30"/>
  <c r="AI21" i="30"/>
  <c r="U20" i="30"/>
  <c r="AI19" i="30"/>
  <c r="U19" i="30"/>
  <c r="V27" i="30"/>
  <c r="T27" i="30"/>
  <c r="X27" i="30" s="1"/>
  <c r="AJ45" i="30"/>
  <c r="AH45" i="30"/>
  <c r="AL45" i="30" s="1"/>
  <c r="AJ47" i="30"/>
  <c r="AH47" i="30"/>
  <c r="AL47" i="30" s="1"/>
  <c r="AJ40" i="30"/>
  <c r="AH40" i="30"/>
  <c r="AL40" i="30" s="1"/>
  <c r="AJ44" i="30"/>
  <c r="AH44" i="30"/>
  <c r="AL44" i="30" s="1"/>
  <c r="K25" i="35"/>
  <c r="F52" i="21" s="1"/>
  <c r="J218" i="25"/>
  <c r="V29" i="30"/>
  <c r="T29" i="30"/>
  <c r="X29" i="30" s="1"/>
  <c r="V40" i="30"/>
  <c r="T40" i="30"/>
  <c r="X40" i="30" s="1"/>
  <c r="AJ21" i="30"/>
  <c r="AH21" i="30"/>
  <c r="AL21" i="30" s="1"/>
  <c r="V47" i="30"/>
  <c r="T47" i="30"/>
  <c r="X47" i="30" s="1"/>
  <c r="V51" i="30"/>
  <c r="T51" i="30"/>
  <c r="L231" i="25"/>
  <c r="F54" i="35" s="1"/>
  <c r="F82" i="21" s="1"/>
  <c r="J216" i="25"/>
  <c r="AJ23" i="30"/>
  <c r="AH23" i="30"/>
  <c r="AL23" i="30" s="1"/>
  <c r="AJ35" i="30"/>
  <c r="AH35" i="30"/>
  <c r="AL35" i="30" s="1"/>
  <c r="AI15" i="30"/>
  <c r="U15" i="30"/>
  <c r="AJ30" i="30"/>
  <c r="AH30" i="30"/>
  <c r="AL30" i="30" s="1"/>
  <c r="AJ42" i="30"/>
  <c r="AH42" i="30"/>
  <c r="AL42" i="30" s="1"/>
  <c r="V45" i="30"/>
  <c r="T45" i="30"/>
  <c r="X45" i="30" s="1"/>
  <c r="AJ17" i="30"/>
  <c r="AH17" i="30"/>
  <c r="AL17" i="30" s="1"/>
  <c r="V24" i="30"/>
  <c r="T24" i="30"/>
  <c r="X24" i="30" s="1"/>
  <c r="K24" i="35"/>
  <c r="F51" i="21" s="1"/>
  <c r="J217" i="25"/>
  <c r="V28" i="30"/>
  <c r="T28" i="30"/>
  <c r="X28" i="30" s="1"/>
  <c r="V39" i="30"/>
  <c r="T39" i="30"/>
  <c r="X39" i="30" s="1"/>
  <c r="V33" i="30"/>
  <c r="T33" i="30"/>
  <c r="X33" i="30" s="1"/>
  <c r="AJ48" i="30"/>
  <c r="AH48" i="30"/>
  <c r="AL48" i="30" s="1"/>
  <c r="I70" i="25"/>
  <c r="L70" i="25" s="1"/>
  <c r="F94" i="22" s="1"/>
  <c r="V40" i="42"/>
  <c r="X40" i="42" s="1"/>
  <c r="V16" i="42"/>
  <c r="X16" i="42" s="1"/>
  <c r="V28" i="38"/>
  <c r="X28" i="38" s="1"/>
  <c r="V28" i="42"/>
  <c r="X28" i="42" s="1"/>
  <c r="V16" i="41"/>
  <c r="X16" i="41" s="1"/>
  <c r="V16" i="38"/>
  <c r="X16" i="38" s="1"/>
  <c r="V28" i="41"/>
  <c r="X28" i="41" s="1"/>
  <c r="V40" i="38"/>
  <c r="X40" i="38" s="1"/>
  <c r="V40" i="41"/>
  <c r="X40" i="41" s="1"/>
  <c r="T51" i="25"/>
  <c r="V29" i="38"/>
  <c r="X29" i="38" s="1"/>
  <c r="V41" i="41"/>
  <c r="X41" i="41" s="1"/>
  <c r="V29" i="42"/>
  <c r="X29" i="42" s="1"/>
  <c r="V17" i="42"/>
  <c r="X17" i="42" s="1"/>
  <c r="V17" i="41"/>
  <c r="X17" i="41" s="1"/>
  <c r="V17" i="38"/>
  <c r="X17" i="38" s="1"/>
  <c r="V41" i="42"/>
  <c r="X41" i="42" s="1"/>
  <c r="V29" i="41"/>
  <c r="X29" i="41" s="1"/>
  <c r="V41" i="38"/>
  <c r="X41" i="38" s="1"/>
  <c r="V36" i="41"/>
  <c r="X36" i="41" s="1"/>
  <c r="V47" i="41"/>
  <c r="X47" i="41" s="1"/>
  <c r="V48" i="41"/>
  <c r="X48" i="41" s="1"/>
  <c r="V34" i="41"/>
  <c r="X34" i="41" s="1"/>
  <c r="V24" i="42"/>
  <c r="X24" i="42" s="1"/>
  <c r="V35" i="41"/>
  <c r="X35" i="41" s="1"/>
  <c r="V47" i="42"/>
  <c r="X47" i="42" s="1"/>
  <c r="V23" i="41"/>
  <c r="X23" i="41" s="1"/>
  <c r="V23" i="38"/>
  <c r="X23" i="38" s="1"/>
  <c r="V46" i="38"/>
  <c r="X46" i="38" s="1"/>
  <c r="V22" i="42"/>
  <c r="X22" i="42" s="1"/>
  <c r="V46" i="41"/>
  <c r="X46" i="41" s="1"/>
  <c r="V24" i="41"/>
  <c r="X24" i="41" s="1"/>
  <c r="V23" i="42"/>
  <c r="X23" i="42" s="1"/>
  <c r="V35" i="38"/>
  <c r="X35" i="38" s="1"/>
  <c r="V46" i="42"/>
  <c r="X46" i="42" s="1"/>
  <c r="V22" i="41"/>
  <c r="X22" i="41" s="1"/>
  <c r="V35" i="42"/>
  <c r="X35" i="42" s="1"/>
  <c r="V47" i="38"/>
  <c r="X47" i="38" s="1"/>
  <c r="V24" i="38"/>
  <c r="X24" i="38" s="1"/>
  <c r="V36" i="42"/>
  <c r="X36" i="42" s="1"/>
  <c r="V48" i="42"/>
  <c r="X48" i="42" s="1"/>
  <c r="V34" i="38"/>
  <c r="X34" i="38" s="1"/>
  <c r="V48" i="38"/>
  <c r="X48" i="38" s="1"/>
  <c r="V36" i="38"/>
  <c r="X36" i="38" s="1"/>
  <c r="V22" i="38"/>
  <c r="X22" i="38" s="1"/>
  <c r="V34" i="42"/>
  <c r="X34" i="42" s="1"/>
  <c r="U24" i="42"/>
  <c r="U48" i="41"/>
  <c r="U48" i="42"/>
  <c r="U36" i="38"/>
  <c r="U36" i="41"/>
  <c r="U24" i="41"/>
  <c r="U36" i="42"/>
  <c r="U48" i="38"/>
  <c r="U24" i="38"/>
  <c r="U45" i="41"/>
  <c r="V45" i="41" s="1"/>
  <c r="X45" i="41" s="1"/>
  <c r="U33" i="42"/>
  <c r="V33" i="42" s="1"/>
  <c r="X33" i="42" s="1"/>
  <c r="U45" i="38"/>
  <c r="V45" i="38" s="1"/>
  <c r="X45" i="38" s="1"/>
  <c r="U33" i="38"/>
  <c r="V33" i="38" s="1"/>
  <c r="X33" i="38" s="1"/>
  <c r="U45" i="42"/>
  <c r="V45" i="42" s="1"/>
  <c r="X45" i="42" s="1"/>
  <c r="U21" i="38"/>
  <c r="V21" i="38" s="1"/>
  <c r="X21" i="38" s="1"/>
  <c r="U33" i="41"/>
  <c r="V33" i="41" s="1"/>
  <c r="X33" i="41" s="1"/>
  <c r="U21" i="41"/>
  <c r="V21" i="41" s="1"/>
  <c r="X21" i="41" s="1"/>
  <c r="U21" i="42"/>
  <c r="V21" i="42" s="1"/>
  <c r="X21" i="42" s="1"/>
  <c r="U18" i="38"/>
  <c r="U30" i="38"/>
  <c r="U42" i="38"/>
  <c r="U42" i="41"/>
  <c r="U30" i="41"/>
  <c r="U42" i="42"/>
  <c r="U18" i="42"/>
  <c r="U18" i="41"/>
  <c r="U30" i="42"/>
  <c r="U47" i="38"/>
  <c r="U47" i="41"/>
  <c r="U23" i="41"/>
  <c r="U35" i="41"/>
  <c r="U47" i="42"/>
  <c r="U35" i="42"/>
  <c r="U23" i="42"/>
  <c r="U23" i="38"/>
  <c r="U35" i="38"/>
  <c r="U32" i="38"/>
  <c r="V32" i="38" s="1"/>
  <c r="X32" i="38" s="1"/>
  <c r="U20" i="42"/>
  <c r="V20" i="42" s="1"/>
  <c r="X20" i="42" s="1"/>
  <c r="U20" i="41"/>
  <c r="V20" i="41" s="1"/>
  <c r="X20" i="41" s="1"/>
  <c r="U44" i="38"/>
  <c r="V44" i="38" s="1"/>
  <c r="X44" i="38" s="1"/>
  <c r="U44" i="41"/>
  <c r="V44" i="41" s="1"/>
  <c r="X44" i="41" s="1"/>
  <c r="U32" i="41"/>
  <c r="V32" i="41" s="1"/>
  <c r="X32" i="41" s="1"/>
  <c r="U44" i="42"/>
  <c r="V44" i="42" s="1"/>
  <c r="X44" i="42" s="1"/>
  <c r="U32" i="42"/>
  <c r="V32" i="42" s="1"/>
  <c r="X32" i="42" s="1"/>
  <c r="U20" i="38"/>
  <c r="V20" i="38" s="1"/>
  <c r="X20" i="38" s="1"/>
  <c r="U41" i="41"/>
  <c r="U29" i="41"/>
  <c r="U41" i="38"/>
  <c r="U17" i="38"/>
  <c r="U29" i="42"/>
  <c r="U29" i="38"/>
  <c r="U17" i="42"/>
  <c r="U41" i="42"/>
  <c r="U17" i="41"/>
  <c r="V52" i="25"/>
  <c r="V30" i="38"/>
  <c r="X30" i="38" s="1"/>
  <c r="V42" i="42"/>
  <c r="X42" i="42" s="1"/>
  <c r="V30" i="42"/>
  <c r="X30" i="42" s="1"/>
  <c r="V18" i="38"/>
  <c r="X18" i="38" s="1"/>
  <c r="V30" i="41"/>
  <c r="X30" i="41" s="1"/>
  <c r="V42" i="41"/>
  <c r="X42" i="41" s="1"/>
  <c r="V42" i="38"/>
  <c r="X42" i="38" s="1"/>
  <c r="V18" i="41"/>
  <c r="X18" i="41" s="1"/>
  <c r="V18" i="42"/>
  <c r="X18" i="42" s="1"/>
  <c r="I36" i="32"/>
  <c r="L36" i="25"/>
  <c r="F65" i="22" s="1"/>
  <c r="AI15" i="25"/>
  <c r="E14" i="25"/>
  <c r="J14" i="25" s="1"/>
  <c r="AJ24" i="25"/>
  <c r="AJ35" i="25"/>
  <c r="AJ17" i="25"/>
  <c r="AJ18" i="25"/>
  <c r="AI20" i="25"/>
  <c r="AI19" i="25"/>
  <c r="AI21" i="25"/>
  <c r="AJ33" i="25"/>
  <c r="AJ32" i="25"/>
  <c r="AJ40" i="25"/>
  <c r="AH40" i="25"/>
  <c r="AL40" i="25" s="1"/>
  <c r="AJ28" i="25"/>
  <c r="AH28" i="25"/>
  <c r="AL28" i="25" s="1"/>
  <c r="AJ30" i="25"/>
  <c r="AH30" i="25"/>
  <c r="AL30" i="25" s="1"/>
  <c r="AJ20" i="25"/>
  <c r="AJ21" i="25"/>
  <c r="R41" i="25"/>
  <c r="V41" i="25" s="1"/>
  <c r="AF41" i="25"/>
  <c r="AJ44" i="25"/>
  <c r="AJ45" i="25"/>
  <c r="AJ48" i="25"/>
  <c r="AI24" i="25"/>
  <c r="AI23" i="25"/>
  <c r="AJ47" i="25"/>
  <c r="AJ36" i="25"/>
  <c r="AJ42" i="25"/>
  <c r="AH42" i="25"/>
  <c r="AL42" i="25" s="1"/>
  <c r="AJ29" i="25"/>
  <c r="AH29" i="25"/>
  <c r="AL29" i="25" s="1"/>
  <c r="AJ23" i="25"/>
  <c r="E16" i="25"/>
  <c r="J16" i="25" s="1"/>
  <c r="J13" i="25"/>
  <c r="T42" i="25"/>
  <c r="X42" i="25" s="1"/>
  <c r="T40" i="25"/>
  <c r="X40" i="25" s="1"/>
  <c r="T30" i="25"/>
  <c r="X30" i="25" s="1"/>
  <c r="V30" i="25"/>
  <c r="T39" i="25"/>
  <c r="X39" i="25" s="1"/>
  <c r="V39" i="25"/>
  <c r="T29" i="25"/>
  <c r="X29" i="25" s="1"/>
  <c r="V29" i="25"/>
  <c r="T18" i="25"/>
  <c r="X18" i="25" s="1"/>
  <c r="V18" i="25"/>
  <c r="T17" i="25"/>
  <c r="X17" i="25" s="1"/>
  <c r="V17" i="25"/>
  <c r="I73" i="31"/>
  <c r="J212" i="25"/>
  <c r="L212" i="25"/>
  <c r="F24" i="35" s="1"/>
  <c r="L230" i="25"/>
  <c r="F53" i="35" s="1"/>
  <c r="F81" i="21" s="1"/>
  <c r="L214" i="25"/>
  <c r="J214" i="25"/>
  <c r="L229" i="25"/>
  <c r="F52" i="35" s="1"/>
  <c r="F80" i="21" s="1"/>
  <c r="L213" i="25"/>
  <c r="J213" i="25"/>
  <c r="V160" i="25"/>
  <c r="V164" i="25" s="1"/>
  <c r="T164" i="25"/>
  <c r="M141" i="25" s="1"/>
  <c r="M176" i="25"/>
  <c r="N176" i="25" s="1"/>
  <c r="P176" i="25" s="1"/>
  <c r="E176" i="25"/>
  <c r="G176" i="25" s="1"/>
  <c r="V197" i="19"/>
  <c r="S197" i="19"/>
  <c r="P197" i="19"/>
  <c r="L211" i="25"/>
  <c r="F23" i="35" s="1"/>
  <c r="J211" i="25"/>
  <c r="J220" i="25"/>
  <c r="L220" i="25"/>
  <c r="K27" i="35" s="1"/>
  <c r="F54" i="21" s="1"/>
  <c r="I37" i="32"/>
  <c r="J13" i="31"/>
  <c r="L13" i="31" s="1"/>
  <c r="I148" i="25"/>
  <c r="J45" i="25"/>
  <c r="F64" i="22"/>
  <c r="J43" i="25"/>
  <c r="F70" i="22" s="1"/>
  <c r="J44" i="25"/>
  <c r="F71" i="22" s="1"/>
  <c r="J42" i="25"/>
  <c r="F69" i="22" s="1"/>
  <c r="F224" i="21"/>
  <c r="F239" i="21" s="1"/>
  <c r="AK149" i="25"/>
  <c r="AK148" i="25"/>
  <c r="R148" i="25"/>
  <c r="R149" i="25"/>
  <c r="V17" i="31"/>
  <c r="X17" i="31" s="1"/>
  <c r="V41" i="31"/>
  <c r="X41" i="31" s="1"/>
  <c r="V29" i="31"/>
  <c r="X29" i="31" s="1"/>
  <c r="V36" i="31"/>
  <c r="X36" i="31" s="1"/>
  <c r="V46" i="31"/>
  <c r="X46" i="31" s="1"/>
  <c r="V22" i="31"/>
  <c r="X22" i="31" s="1"/>
  <c r="V24" i="31"/>
  <c r="X24" i="31" s="1"/>
  <c r="V47" i="31"/>
  <c r="X47" i="31" s="1"/>
  <c r="V48" i="31"/>
  <c r="X48" i="31" s="1"/>
  <c r="V35" i="31"/>
  <c r="X35" i="31" s="1"/>
  <c r="V23" i="31"/>
  <c r="X23" i="31" s="1"/>
  <c r="V34" i="31"/>
  <c r="X34" i="31" s="1"/>
  <c r="U48" i="31"/>
  <c r="U24" i="31"/>
  <c r="U36" i="31"/>
  <c r="U21" i="31"/>
  <c r="V21" i="31" s="1"/>
  <c r="X21" i="31" s="1"/>
  <c r="U45" i="31"/>
  <c r="V45" i="31" s="1"/>
  <c r="X45" i="31" s="1"/>
  <c r="U33" i="31"/>
  <c r="V33" i="31" s="1"/>
  <c r="U42" i="31"/>
  <c r="U18" i="31"/>
  <c r="U30" i="31"/>
  <c r="V18" i="31"/>
  <c r="X18" i="31" s="1"/>
  <c r="V42" i="31"/>
  <c r="X42" i="31" s="1"/>
  <c r="V30" i="31"/>
  <c r="X30" i="31" s="1"/>
  <c r="V28" i="31"/>
  <c r="X28" i="31" s="1"/>
  <c r="V16" i="31"/>
  <c r="X16" i="31" s="1"/>
  <c r="V40" i="31"/>
  <c r="X40" i="31" s="1"/>
  <c r="U47" i="31"/>
  <c r="U35" i="31"/>
  <c r="U23" i="31"/>
  <c r="U20" i="31"/>
  <c r="V20" i="31" s="1"/>
  <c r="X20" i="31" s="1"/>
  <c r="U32" i="31"/>
  <c r="V32" i="31" s="1"/>
  <c r="U44" i="31"/>
  <c r="V44" i="31" s="1"/>
  <c r="X44" i="31" s="1"/>
  <c r="U41" i="31"/>
  <c r="U17" i="31"/>
  <c r="U29" i="31"/>
  <c r="F95" i="22"/>
  <c r="F42" i="36"/>
  <c r="F47" i="22"/>
  <c r="F54" i="22"/>
  <c r="F55" i="22"/>
  <c r="F50" i="22"/>
  <c r="F63" i="22"/>
  <c r="U15" i="25"/>
  <c r="U22" i="25"/>
  <c r="T27" i="25"/>
  <c r="X27" i="25" s="1"/>
  <c r="T28" i="25"/>
  <c r="X28" i="25" s="1"/>
  <c r="U19" i="25"/>
  <c r="B16" i="25"/>
  <c r="B31" i="21"/>
  <c r="B14" i="25"/>
  <c r="B29" i="21"/>
  <c r="B13" i="25"/>
  <c r="B28" i="21"/>
  <c r="B15" i="25"/>
  <c r="B30" i="21"/>
  <c r="P172" i="25"/>
  <c r="M142" i="25"/>
  <c r="P186" i="25"/>
  <c r="P193" i="25" s="1"/>
  <c r="M143" i="25"/>
  <c r="G172" i="25"/>
  <c r="G186" i="25"/>
  <c r="D142" i="25"/>
  <c r="G160" i="25"/>
  <c r="G164" i="25" s="1"/>
  <c r="G39" i="21" s="1"/>
  <c r="E164" i="25"/>
  <c r="P160" i="25"/>
  <c r="P164" i="25" s="1"/>
  <c r="O140" i="25" s="1"/>
  <c r="N164" i="25"/>
  <c r="M140" i="25" s="1"/>
  <c r="R20" i="25"/>
  <c r="V20" i="25" s="1"/>
  <c r="U24" i="25"/>
  <c r="U21" i="25"/>
  <c r="U23" i="25"/>
  <c r="U20" i="25"/>
  <c r="D3" i="24" a="1"/>
  <c r="D3" i="24" s="1"/>
  <c r="X32" i="30" l="1"/>
  <c r="I15" i="30"/>
  <c r="L15" i="30" s="1"/>
  <c r="X44" i="30"/>
  <c r="I16" i="30"/>
  <c r="L16" i="30" s="1"/>
  <c r="G178" i="25"/>
  <c r="G40" i="21" s="1"/>
  <c r="K20" i="35" s="1"/>
  <c r="E178" i="25"/>
  <c r="D141" i="25" s="1"/>
  <c r="X51" i="30"/>
  <c r="I14" i="30"/>
  <c r="L14" i="30" s="1"/>
  <c r="K23" i="35"/>
  <c r="F49" i="21"/>
  <c r="G193" i="25"/>
  <c r="G41" i="21" s="1"/>
  <c r="K21" i="35" s="1"/>
  <c r="D140" i="25"/>
  <c r="AJ41" i="30"/>
  <c r="AH41" i="30"/>
  <c r="AL41" i="30" s="1"/>
  <c r="V41" i="30"/>
  <c r="T41" i="30"/>
  <c r="X41" i="30" s="1"/>
  <c r="AI18" i="30"/>
  <c r="U18" i="30"/>
  <c r="AI17" i="30"/>
  <c r="U16" i="30"/>
  <c r="AI16" i="30"/>
  <c r="U17" i="30"/>
  <c r="I17" i="32"/>
  <c r="F25" i="35"/>
  <c r="F47" i="21" s="1"/>
  <c r="F26" i="35"/>
  <c r="F48" i="21" s="1"/>
  <c r="K261" i="25"/>
  <c r="R261" i="25" s="1"/>
  <c r="N29" i="35" s="1"/>
  <c r="N24" i="35" s="1"/>
  <c r="K262" i="25"/>
  <c r="R262" i="25" s="1"/>
  <c r="N30" i="35" s="1"/>
  <c r="X51" i="25"/>
  <c r="T52" i="25"/>
  <c r="X52" i="25" s="1"/>
  <c r="V51" i="25"/>
  <c r="F42" i="44"/>
  <c r="F112" i="44" s="1"/>
  <c r="F114" i="44" s="1"/>
  <c r="F42" i="43"/>
  <c r="F112" i="43" s="1"/>
  <c r="F114" i="43" s="1"/>
  <c r="F42" i="37"/>
  <c r="F112" i="37" s="1"/>
  <c r="F114" i="37" s="1"/>
  <c r="H29" i="10" s="1"/>
  <c r="H31" i="10" s="1"/>
  <c r="H42" i="10" s="1"/>
  <c r="F42" i="40"/>
  <c r="F112" i="40" s="1"/>
  <c r="AH41" i="25"/>
  <c r="AL41" i="25" s="1"/>
  <c r="AJ41" i="25"/>
  <c r="T41" i="25"/>
  <c r="X41" i="25" s="1"/>
  <c r="AI18" i="25"/>
  <c r="AI17" i="25"/>
  <c r="AI16" i="25"/>
  <c r="F46" i="21"/>
  <c r="G73" i="21"/>
  <c r="K43" i="35" s="1"/>
  <c r="O141" i="25"/>
  <c r="N141" i="25" s="1"/>
  <c r="F45" i="21"/>
  <c r="X32" i="31"/>
  <c r="O143" i="25"/>
  <c r="N143" i="25" s="1"/>
  <c r="P178" i="25"/>
  <c r="F141" i="25"/>
  <c r="F140" i="25"/>
  <c r="L73" i="31"/>
  <c r="X33" i="31"/>
  <c r="G72" i="21"/>
  <c r="K39" i="35" s="1"/>
  <c r="F44" i="36"/>
  <c r="F72" i="22"/>
  <c r="I20" i="32" s="1"/>
  <c r="U17" i="25"/>
  <c r="U18" i="25"/>
  <c r="U16" i="25"/>
  <c r="M144" i="25"/>
  <c r="G23" i="23"/>
  <c r="G24" i="23"/>
  <c r="G25" i="23"/>
  <c r="G26" i="23"/>
  <c r="G27" i="23"/>
  <c r="G28" i="23"/>
  <c r="G29" i="23"/>
  <c r="G30" i="23"/>
  <c r="G31" i="23"/>
  <c r="G32" i="23"/>
  <c r="I23" i="23"/>
  <c r="I24" i="23"/>
  <c r="I25" i="23"/>
  <c r="I26" i="23"/>
  <c r="I27" i="23"/>
  <c r="I28" i="23"/>
  <c r="I29" i="23"/>
  <c r="I30" i="23"/>
  <c r="I31" i="23"/>
  <c r="I32" i="23"/>
  <c r="E32" i="23"/>
  <c r="E31" i="23"/>
  <c r="E30" i="23"/>
  <c r="E29" i="23"/>
  <c r="E28" i="23"/>
  <c r="E27" i="23"/>
  <c r="E26" i="23"/>
  <c r="E25" i="23"/>
  <c r="E24" i="23"/>
  <c r="E23" i="23"/>
  <c r="I16" i="23"/>
  <c r="I15" i="23"/>
  <c r="I14" i="23"/>
  <c r="I13" i="23"/>
  <c r="I12" i="23"/>
  <c r="I11" i="23"/>
  <c r="I10" i="23"/>
  <c r="I9" i="23"/>
  <c r="I8" i="23"/>
  <c r="I5" i="23"/>
  <c r="G8" i="23"/>
  <c r="I32" i="25" s="1" a="1"/>
  <c r="I32" i="25" s="1"/>
  <c r="L32" i="25" s="1"/>
  <c r="G9" i="23"/>
  <c r="G10" i="23"/>
  <c r="G11" i="23"/>
  <c r="G12" i="23"/>
  <c r="G13" i="23"/>
  <c r="G14" i="23"/>
  <c r="G15" i="23"/>
  <c r="G16" i="23"/>
  <c r="G5" i="23"/>
  <c r="E8" i="23"/>
  <c r="E9" i="23"/>
  <c r="E10" i="23"/>
  <c r="E11" i="23"/>
  <c r="E12" i="23"/>
  <c r="E13" i="23"/>
  <c r="E14" i="23"/>
  <c r="E15" i="23"/>
  <c r="E16" i="23"/>
  <c r="E5" i="23"/>
  <c r="E141" i="25" l="1"/>
  <c r="D143" i="25"/>
  <c r="F142" i="25"/>
  <c r="E142" i="25" s="1"/>
  <c r="K15" i="35"/>
  <c r="F50" i="21"/>
  <c r="K263" i="25"/>
  <c r="E140" i="25"/>
  <c r="I83" i="30"/>
  <c r="O142" i="25"/>
  <c r="N142" i="25" s="1"/>
  <c r="G74" i="21"/>
  <c r="K47" i="35" s="1"/>
  <c r="J62" i="32"/>
  <c r="J96" i="32"/>
  <c r="J45" i="32"/>
  <c r="J79" i="32"/>
  <c r="F114" i="40"/>
  <c r="F45" i="36"/>
  <c r="F61" i="22"/>
  <c r="G75" i="21"/>
  <c r="I31" i="32"/>
  <c r="I29" i="32"/>
  <c r="F109" i="21"/>
  <c r="F42" i="22"/>
  <c r="O13" i="23"/>
  <c r="O9" i="23"/>
  <c r="O30" i="23"/>
  <c r="O28" i="23"/>
  <c r="O27" i="23"/>
  <c r="O15" i="23"/>
  <c r="O14" i="23"/>
  <c r="O12" i="23"/>
  <c r="O11" i="23"/>
  <c r="O32" i="23"/>
  <c r="O8" i="23"/>
  <c r="O29" i="23"/>
  <c r="O26" i="23"/>
  <c r="O24" i="23"/>
  <c r="O23" i="23"/>
  <c r="O16" i="23"/>
  <c r="O5" i="23"/>
  <c r="O10" i="23"/>
  <c r="O31" i="23"/>
  <c r="O25" i="23"/>
  <c r="Y12" i="22"/>
  <c r="T11" i="22"/>
  <c r="T10" i="22"/>
  <c r="Y13" i="22" s="1"/>
  <c r="Y9" i="22"/>
  <c r="Y8" i="22"/>
  <c r="T8" i="22"/>
  <c r="Y7" i="22"/>
  <c r="T7" i="22"/>
  <c r="Y6" i="22"/>
  <c r="T6" i="22"/>
  <c r="Y5" i="22"/>
  <c r="I193" i="21"/>
  <c r="I192" i="21"/>
  <c r="I191" i="21"/>
  <c r="Q12" i="21"/>
  <c r="T11" i="21"/>
  <c r="Q11" i="21"/>
  <c r="Q10" i="21"/>
  <c r="Q9" i="21"/>
  <c r="T12" i="21" s="1"/>
  <c r="T8" i="21"/>
  <c r="Q8" i="21"/>
  <c r="T7" i="21"/>
  <c r="Q7" i="21"/>
  <c r="T6" i="21"/>
  <c r="Q6" i="21"/>
  <c r="T5" i="21"/>
  <c r="Q5" i="21"/>
  <c r="T4" i="21"/>
  <c r="Q4" i="21"/>
  <c r="T3" i="21"/>
  <c r="F143" i="25" l="1"/>
  <c r="I18" i="32"/>
  <c r="G61" i="22"/>
  <c r="K48" i="35"/>
  <c r="F98" i="21"/>
  <c r="F66" i="21"/>
  <c r="G36" i="10" s="1"/>
  <c r="I12" i="32"/>
  <c r="AG19" i="25" a="1"/>
  <c r="AG19" i="25" s="1"/>
  <c r="AG24" i="25" a="1"/>
  <c r="AG24" i="25" s="1"/>
  <c r="S22" i="25" a="1"/>
  <c r="S22" i="25" s="1"/>
  <c r="S20" i="25" a="1"/>
  <c r="S20" i="25" s="1"/>
  <c r="AG23" i="25" a="1"/>
  <c r="AG23" i="25" s="1"/>
  <c r="AG22" i="25" a="1"/>
  <c r="AG22" i="25" s="1"/>
  <c r="AG20" i="25" a="1"/>
  <c r="AG20" i="25" s="1"/>
  <c r="S19" i="25" a="1"/>
  <c r="S19" i="25" s="1"/>
  <c r="S23" i="25" a="1"/>
  <c r="S23" i="25" s="1"/>
  <c r="S21" i="25" a="1"/>
  <c r="S21" i="25" s="1"/>
  <c r="S24" i="25" a="1"/>
  <c r="S24" i="25" s="1"/>
  <c r="AG21" i="25" a="1"/>
  <c r="AG21" i="25" s="1"/>
  <c r="L83" i="30"/>
  <c r="F43" i="36"/>
  <c r="F113" i="36" s="1"/>
  <c r="G28" i="10" s="1"/>
  <c r="I32" i="32"/>
  <c r="T13" i="22"/>
  <c r="Q13" i="21"/>
  <c r="I194" i="21"/>
  <c r="H98" i="21" l="1"/>
  <c r="I37" i="10" s="1"/>
  <c r="G37" i="10"/>
  <c r="G39" i="10" s="1"/>
  <c r="L44" i="35"/>
  <c r="L15" i="35"/>
  <c r="I30" i="32"/>
  <c r="AG33" i="25"/>
  <c r="AG45" i="25"/>
  <c r="AK45" i="25" s="1"/>
  <c r="S43" i="25"/>
  <c r="W43" i="25" s="1"/>
  <c r="S31" i="25"/>
  <c r="W31" i="25" s="1"/>
  <c r="AG44" i="25"/>
  <c r="AK44" i="25" s="1"/>
  <c r="AG32" i="25"/>
  <c r="AG34" i="25"/>
  <c r="AG46" i="25"/>
  <c r="AK46" i="25" s="1"/>
  <c r="AG47" i="25"/>
  <c r="AH47" i="25" s="1"/>
  <c r="AL47" i="25" s="1"/>
  <c r="AG35" i="25"/>
  <c r="S32" i="25"/>
  <c r="W32" i="25" s="1"/>
  <c r="S44" i="25"/>
  <c r="W44" i="25" s="1"/>
  <c r="S48" i="25"/>
  <c r="W48" i="25" s="1"/>
  <c r="S36" i="25"/>
  <c r="W36" i="25" s="1"/>
  <c r="S34" i="25"/>
  <c r="W34" i="25" s="1"/>
  <c r="S46" i="25"/>
  <c r="W46" i="25" s="1"/>
  <c r="S33" i="25"/>
  <c r="W33" i="25" s="1"/>
  <c r="S45" i="25"/>
  <c r="W45" i="25" s="1"/>
  <c r="AG36" i="25"/>
  <c r="AG48" i="25"/>
  <c r="AK48" i="25" s="1"/>
  <c r="S47" i="25"/>
  <c r="W47" i="25" s="1"/>
  <c r="S35" i="25"/>
  <c r="W35" i="25" s="1"/>
  <c r="AG31" i="25"/>
  <c r="AG43" i="25"/>
  <c r="AK43" i="25" s="1"/>
  <c r="F115" i="36"/>
  <c r="I28" i="10" s="1"/>
  <c r="J29" i="32"/>
  <c r="AK23" i="25"/>
  <c r="AH23" i="25"/>
  <c r="AL23" i="25" s="1"/>
  <c r="AK24" i="25"/>
  <c r="AH24" i="25"/>
  <c r="AL24" i="25" s="1"/>
  <c r="AK20" i="25"/>
  <c r="AH20" i="25"/>
  <c r="AL20" i="25" s="1"/>
  <c r="AK21" i="25"/>
  <c r="AH21" i="25"/>
  <c r="AL21" i="25" s="1"/>
  <c r="AK22" i="25"/>
  <c r="AH22" i="25"/>
  <c r="AL22" i="25" s="1"/>
  <c r="AK19" i="25"/>
  <c r="AH19" i="25"/>
  <c r="AL19" i="25" s="1"/>
  <c r="F105" i="21"/>
  <c r="W19" i="25"/>
  <c r="W20" i="25"/>
  <c r="W21" i="25"/>
  <c r="W22" i="25"/>
  <c r="W23" i="25"/>
  <c r="W24" i="25"/>
  <c r="T22" i="25"/>
  <c r="X22" i="25" s="1"/>
  <c r="T24" i="25"/>
  <c r="X24" i="25" s="1"/>
  <c r="T20" i="25"/>
  <c r="X20" i="25" s="1"/>
  <c r="T23" i="25"/>
  <c r="X23" i="25" s="1"/>
  <c r="T21" i="25"/>
  <c r="X21" i="25" s="1"/>
  <c r="T19" i="25"/>
  <c r="X19" i="25" s="1"/>
  <c r="L38" i="35" l="1"/>
  <c r="AH43" i="25"/>
  <c r="AL43" i="25" s="1"/>
  <c r="AH45" i="25"/>
  <c r="AL45" i="25" s="1"/>
  <c r="T45" i="25"/>
  <c r="X45" i="25" s="1"/>
  <c r="AH44" i="25"/>
  <c r="AL44" i="25" s="1"/>
  <c r="T43" i="25"/>
  <c r="X43" i="25" s="1"/>
  <c r="T44" i="25"/>
  <c r="X44" i="25" s="1"/>
  <c r="T46" i="25"/>
  <c r="X46" i="25" s="1"/>
  <c r="AK47" i="25"/>
  <c r="T47" i="25"/>
  <c r="X47" i="25" s="1"/>
  <c r="AH46" i="25"/>
  <c r="AL46" i="25" s="1"/>
  <c r="T48" i="25"/>
  <c r="X48" i="25" s="1"/>
  <c r="AH48" i="25"/>
  <c r="AL48" i="25" s="1"/>
  <c r="I14" i="25"/>
  <c r="L14" i="25" s="1"/>
  <c r="T33" i="25"/>
  <c r="X33" i="25" s="1"/>
  <c r="T36" i="25"/>
  <c r="X36" i="25" s="1"/>
  <c r="AK33" i="25"/>
  <c r="AH33" i="25"/>
  <c r="AL33" i="25" s="1"/>
  <c r="AK36" i="25"/>
  <c r="AH36" i="25"/>
  <c r="AL36" i="25" s="1"/>
  <c r="AK32" i="25"/>
  <c r="AH32" i="25"/>
  <c r="AL32" i="25" s="1"/>
  <c r="AK34" i="25"/>
  <c r="AH34" i="25"/>
  <c r="AL34" i="25" s="1"/>
  <c r="AK31" i="25"/>
  <c r="AH31" i="25"/>
  <c r="AL31" i="25" s="1"/>
  <c r="AK35" i="25"/>
  <c r="AH35" i="25"/>
  <c r="AL35" i="25" s="1"/>
  <c r="T32" i="25"/>
  <c r="X32" i="25" s="1"/>
  <c r="T35" i="25"/>
  <c r="X35" i="25" s="1"/>
  <c r="T34" i="25"/>
  <c r="X34" i="25" s="1"/>
  <c r="T31" i="25"/>
  <c r="X31" i="25" s="1"/>
  <c r="I16" i="25" l="1"/>
  <c r="L16" i="25" s="1"/>
  <c r="F45" i="22" s="1"/>
  <c r="I15" i="32" s="1"/>
  <c r="I15" i="25"/>
  <c r="L15" i="25" l="1"/>
  <c r="F44" i="22" s="1"/>
  <c r="I14" i="32" s="1"/>
  <c r="I83" i="25"/>
  <c r="F43" i="22"/>
  <c r="B53" i="22"/>
  <c r="C24" i="25"/>
  <c r="F113" i="22" l="1"/>
  <c r="G27" i="10" s="1"/>
  <c r="G31" i="10" s="1"/>
  <c r="G42" i="10" s="1"/>
  <c r="B24" i="42"/>
  <c r="B24" i="41"/>
  <c r="B24" i="31"/>
  <c r="B24" i="38"/>
  <c r="L83" i="25"/>
  <c r="I13" i="32"/>
  <c r="Y4" i="22"/>
  <c r="B24" i="25"/>
  <c r="B55" i="22"/>
  <c r="B58" i="22"/>
  <c r="B59" i="22"/>
  <c r="B57" i="22"/>
  <c r="B56" i="22"/>
  <c r="J12" i="32" l="1"/>
  <c r="B27" i="38"/>
  <c r="B27" i="41"/>
  <c r="B27" i="42"/>
  <c r="B30" i="41"/>
  <c r="B30" i="42"/>
  <c r="B29" i="42"/>
  <c r="B29" i="41"/>
  <c r="B28" i="41"/>
  <c r="B28" i="42"/>
  <c r="B26" i="38"/>
  <c r="B26" i="42"/>
  <c r="B26" i="41"/>
  <c r="B30" i="31"/>
  <c r="B30" i="38"/>
  <c r="B28" i="31"/>
  <c r="B28" i="38"/>
  <c r="B29" i="31"/>
  <c r="B29" i="38"/>
  <c r="F115" i="22"/>
  <c r="B27" i="31"/>
  <c r="B26" i="31"/>
  <c r="B28" i="25"/>
  <c r="B30" i="25"/>
  <c r="B29" i="25"/>
  <c r="B27" i="25"/>
  <c r="B26" i="25"/>
  <c r="K31" i="35" l="1"/>
  <c r="F63" i="21" s="1"/>
  <c r="H66" i="21" s="1"/>
  <c r="I36" i="10" s="1"/>
  <c r="I39" i="10" s="1"/>
  <c r="I27" i="10"/>
  <c r="I31" i="10" s="1"/>
  <c r="L12" i="32"/>
  <c r="N140" i="25"/>
  <c r="O144" i="25"/>
  <c r="D63" i="21" l="1"/>
  <c r="I4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tc={AC0D1C19-B568-4294-8C37-95AEC0AAEA23}</author>
    <author>tc={069CA180-55EA-4635-90BA-9052E9D4D25F}</author>
    <author>tc={0DF3965E-E630-4956-952A-5381A9A83BAE}</author>
  </authors>
  <commentList>
    <comment ref="C7" authorId="0" shapeId="0" xr:uid="{AC0D1C19-B568-4294-8C37-95AEC0AAEA23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C8" authorId="1" shapeId="0" xr:uid="{069CA180-55EA-4635-90BA-9052E9D4D25F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C9" authorId="2" shapeId="0" xr:uid="{0DF3965E-E630-4956-952A-5381A9A83BAE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tc={A4808016-39C1-47A1-BB63-742D17984E16}</author>
    <author>tc={7C3CC93E-06F6-43EF-8B5B-4225348B5167}</author>
    <author>tc={10904247-04A2-4597-B7E1-F3B07B3A5B97}</author>
    <author>Anupam Bajpai</author>
  </authors>
  <commentList>
    <comment ref="C6" authorId="0" shapeId="0" xr:uid="{A4808016-39C1-47A1-BB63-742D17984E16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C7" authorId="1" shapeId="0" xr:uid="{7C3CC93E-06F6-43EF-8B5B-4225348B5167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C8" authorId="2" shapeId="0" xr:uid="{10904247-04A2-4597-B7E1-F3B07B3A5B97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H22" authorId="3" shapeId="0" xr:uid="{09EE865F-42CD-4295-A643-AF0D5D1AD380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Needs to be at least $95 for doors apart from standard doors</t>
        </r>
      </text>
    </comment>
    <comment ref="H39" authorId="3" shapeId="0" xr:uid="{1B636959-4C9A-4F4E-869F-C51A082F0E6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Needs to be at least $95 for doors apart from standard doors</t>
        </r>
      </text>
    </comment>
    <comment ref="H55" authorId="3" shapeId="0" xr:uid="{10881F5C-C9F7-4887-AFFD-BBD9E599E306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Needs to be at least $95 for doors apart from standard doors</t>
        </r>
      </text>
    </comment>
    <comment ref="H72" authorId="3" shapeId="0" xr:uid="{314CD6CD-EA7B-46C7-9CD6-5AA4DA7E1791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Needs to be at least $95 for doors apart from standard doors</t>
        </r>
      </text>
    </comment>
    <comment ref="H89" authorId="3" shapeId="0" xr:uid="{FB3BCDA6-84E0-4C43-92E7-40FAF5D6736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Needs to be at least $95 for doors apart from standard doors</t>
        </r>
      </text>
    </comment>
    <comment ref="H106" authorId="3" shapeId="0" xr:uid="{510BAE7E-2E72-4D62-876C-F6E71CD14FFB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Needs to be at least $95 for doors apart from standard doors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Anupam Bajpai</author>
    <author>tc={4632D88C-A613-4F59-A6C8-CA12ACC0DD6F}</author>
    <author>tc={6C19CABB-3F21-42C8-921E-B772941EBF87}</author>
    <author>tc={CCBB8E6A-6F21-43BB-88F4-6211E6B9E4AF}</author>
    <author>tc={1091A7A1-5BA2-41A9-93DF-173688F41065}</author>
    <author>tc={D0278A97-0FA0-4E37-A113-C0969553A8A5}</author>
    <author>tc={BBD197BA-CE94-48B6-BA78-64D0F8408ADC}</author>
  </authors>
  <commentList>
    <comment ref="T5" authorId="0" shapeId="0" xr:uid="{0B847228-C4D4-49D7-990D-8C3A4C5D0FB3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Acc Mgr needs to fillout
Date
By
Email</t>
        </r>
      </text>
    </comment>
    <comment ref="D6" authorId="1" shapeId="0" xr:uid="{4632D88C-A613-4F59-A6C8-CA12ACC0DD6F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F6" authorId="2" shapeId="0" xr:uid="{6C19CABB-3F21-42C8-921E-B772941EBF87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T6" authorId="0" shapeId="0" xr:uid="{AEFF7609-20BC-48AE-8A6F-396E842467CE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Complete all the fields in Billing info.
</t>
        </r>
      </text>
    </comment>
    <comment ref="D7" authorId="3" shapeId="0" xr:uid="{CCBB8E6A-6F21-43BB-88F4-6211E6B9E4AF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F7" authorId="4" shapeId="0" xr:uid="{1091A7A1-5BA2-41A9-93DF-173688F41065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T7" authorId="0" shapeId="0" xr:uid="{BF287A3E-46D2-4AFD-85AA-23CF3187C303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Complete all the fields in the Site Info.
</t>
        </r>
      </text>
    </comment>
    <comment ref="D8" authorId="5" shapeId="0" xr:uid="{D0278A97-0FA0-4E37-A113-C0969553A8A5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F8" authorId="6" shapeId="0" xr:uid="{BBD197BA-CE94-48B6-BA78-64D0F8408ADC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E106" authorId="0" shapeId="0" xr:uid="{72CB7657-F66A-4B98-A578-B160BEB261AA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required based on the </t>
        </r>
        <r>
          <rPr>
            <b/>
            <u/>
            <sz val="9"/>
            <color indexed="81"/>
            <rFont val="Tahoma"/>
            <family val="2"/>
          </rPr>
          <t>Location of the Heat Trace.</t>
        </r>
      </text>
    </comment>
    <comment ref="E107" authorId="0" shapeId="0" xr:uid="{27122F7E-2172-4EDA-A4CE-11CF88BF2675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based on the Job requirement 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Anupam Bajpai</author>
  </authors>
  <commentList>
    <comment ref="C26" authorId="0" shapeId="0" xr:uid="{67A6E196-F337-4AF8-AD0B-04062F6BC8C9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Each door frame takes 4 piece of this material and each piece weighs 5lbs</t>
        </r>
      </text>
    </comment>
    <comment ref="M27" authorId="0" shapeId="0" xr:uid="{0E3AE63B-E121-4E1C-8C72-93563FEC3E69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The cost from 4X8ft 3/4 OSB sheet.  </t>
        </r>
      </text>
    </comment>
    <comment ref="B67" authorId="0" shapeId="0" xr:uid="{8D04DC2E-D0F1-477D-B280-EEA3C0780025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This retainer is used for bottom sweep, half moon gaskets</t>
        </r>
      </text>
    </comment>
    <comment ref="B70" authorId="0" shapeId="0" xr:uid="{4C7D7D3F-5498-4457-B905-839C33E5C4CA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This retainer is used for double gaskets</t>
        </r>
      </text>
    </comment>
    <comment ref="B73" authorId="0" shapeId="0" xr:uid="{28C1B307-8118-4F0D-8493-0EE2D6E7B10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3" inch is always used across the width of the door </t>
        </r>
      </text>
    </comment>
    <comment ref="B74" authorId="0" shapeId="0" xr:uid="{14732D69-AE5C-4159-9FB5-3B8B6EF3ADBC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4" and 6" are used depending on the thickness of the door</t>
        </r>
      </text>
    </comment>
    <comment ref="B75" authorId="0" shapeId="0" xr:uid="{1F4E7931-F05A-4630-9DE7-2DCD023D58E3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4" and 6" are used depending on the thickness of the door</t>
        </r>
      </text>
    </comment>
    <comment ref="C81" authorId="0" shapeId="0" xr:uid="{2E3F3A57-9B6A-438C-8AC8-CB28D2BE6DA6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Each bottom frame and door frame takes 3 pieces of this sheet. </t>
        </r>
      </text>
    </comment>
    <comment ref="C84" authorId="0" shapeId="0" xr:uid="{1E2D27DC-D6DF-4BD8-B9D2-CC8969F9C4ED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Needs to be incorporated in Reinforced floor selection on main sheet</t>
        </r>
      </text>
    </comment>
    <comment ref="C85" authorId="0" shapeId="0" xr:uid="{3F9F3DB3-5873-4435-A9CC-3635EF7C51B5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needs to be incorporated in Reinforced floor selection - is thiner so more foam provides better insulation</t>
        </r>
      </text>
    </comment>
    <comment ref="C95" authorId="0" shapeId="0" xr:uid="{3B39B403-D7C4-4928-9A88-743EB10EA249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Kason - Hydraulic door closer</t>
        </r>
      </text>
    </comment>
    <comment ref="C96" authorId="0" shapeId="0" xr:uid="{510461DA-12D9-448E-9EB9-2F7926D8B721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Kason - Spring door closer</t>
        </r>
      </text>
    </comment>
    <comment ref="C97" authorId="0" shapeId="0" xr:uid="{000AF703-2C19-4151-9178-8C102FBCE4E3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LCN 1460 - Interior mounted ARM</t>
        </r>
      </text>
    </comment>
    <comment ref="C177" authorId="0" shapeId="0" xr:uid="{FAB4FA0C-AAFD-46C0-B37E-C7EC0F6A6709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Is installed in with every electric motor, to provide tension to chain</t>
        </r>
      </text>
    </comment>
    <comment ref="C187" authorId="0" shapeId="0" xr:uid="{66610AF2-97D0-49DD-80EB-F5A348B48A10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1 bearing per door</t>
        </r>
      </text>
    </comment>
    <comment ref="C188" authorId="0" shapeId="0" xr:uid="{02C00FCE-B3D5-4E95-A5FD-E6D201C092C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2 X width of the door width + 11 inch</t>
        </r>
      </text>
    </comment>
    <comment ref="C190" authorId="0" shapeId="0" xr:uid="{2E983C33-B2C2-4664-9583-0DF8D011F48B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This goes on the electric motor side to hold the chain in place</t>
        </r>
      </text>
    </comment>
    <comment ref="B206" authorId="0" shapeId="0" xr:uid="{62FCE5BD-BA4B-4544-B9F0-B2DE139B02F1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07" authorId="0" shapeId="0" xr:uid="{319704D9-8182-4205-8F7B-B528D5A6938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08" authorId="0" shapeId="0" xr:uid="{8B62D486-7AFD-4F71-860B-3AB4932B0FA5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09" authorId="0" shapeId="0" xr:uid="{B14A241C-7AC7-4661-A4E6-34D67134EA9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0" authorId="0" shapeId="0" xr:uid="{C9F6BF2D-0D12-4D99-849C-B0564A98B470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1" authorId="0" shapeId="0" xr:uid="{D1766B7D-9685-4861-BB1D-F2E8F271C6BA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2" authorId="0" shapeId="0" xr:uid="{1764930D-2C3C-478E-BFCE-D3581D226DDA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3" authorId="0" shapeId="0" xr:uid="{E5C18430-2EF3-4D77-8770-3C3B90DE962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4" authorId="0" shapeId="0" xr:uid="{D527481C-D0AB-4791-872D-4C33183A1E96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5" authorId="0" shapeId="0" xr:uid="{25CC58AA-6EFA-4F71-9EEC-CB9DBF4168F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6" authorId="0" shapeId="0" xr:uid="{02110DAC-D2C8-42B0-BE68-38A7C6858BBB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7" authorId="0" shapeId="0" xr:uid="{7DFEE157-61F9-4862-A76E-9F579C6C6C4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8" authorId="0" shapeId="0" xr:uid="{4BB516FC-8824-44AA-865D-C5E79BA9FAC3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19" authorId="0" shapeId="0" xr:uid="{86D5A731-C42E-4E9B-9677-24D0E587F8EC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20" authorId="0" shapeId="0" xr:uid="{DA1D9E60-F5BA-4B74-A7CD-E76832D0096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21" authorId="0" shapeId="0" xr:uid="{88076988-DBA1-4144-8E6E-66542BC5D1C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22" authorId="0" shapeId="0" xr:uid="{69D1D86C-3EA0-4CC5-93B3-0924EE26D47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  <comment ref="B223" authorId="0" shapeId="0" xr:uid="{8B488992-369C-4681-A6E5-07422CFEA99F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All trims have 15 mins or labour built in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Anupam Bajpai</author>
  </authors>
  <commentList>
    <comment ref="C81" authorId="0" shapeId="0" xr:uid="{E2964707-8708-4761-B4A7-2191F75A562D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Heat trace will be double in labour and material will be half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Anupam Bajpai</author>
  </authors>
  <commentList>
    <comment ref="B15" authorId="0" shapeId="0" xr:uid="{1AD1A6E5-94DE-4061-AB4D-063D8D4AD796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Can use tamper proof hardware</t>
        </r>
      </text>
    </comment>
    <comment ref="B22" authorId="0" shapeId="0" xr:uid="{A2CBB26E-7C25-4D18-8AF4-0A92DEFF3A5F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6" authorId="0" shapeId="0" xr:uid="{2D2DF997-BE2F-4ACE-A4D8-9D6BE6E129CC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Steel pipe comes in 20ft lengths </t>
        </r>
      </text>
    </comment>
    <comment ref="C79" authorId="0" shapeId="0" xr:uid="{4FB25435-4B48-4AC2-B69F-7B6C085287B5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Reinforce plate required before foaming - 20 mins - 30 mins</t>
        </r>
      </text>
    </comment>
    <comment ref="C80" authorId="0" shapeId="0" xr:uid="{4D7C6F13-650B-417B-8EA8-D1D40492D07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Metal structure needed for Cane bolt installation - 30 mins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Anupam Bajpai</author>
  </authors>
  <commentList>
    <comment ref="F13" authorId="0" shapeId="0" xr:uid="{BCA70542-770D-4D9E-B8FC-F8E3DE17CA97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Additional 25 mins, as 3 labor required for slab handling 
</t>
        </r>
      </text>
    </comment>
    <comment ref="F15" authorId="0" shapeId="0" xr:uid="{50CA0EA9-415E-48B0-A808-0DC59FE2F8F2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Along with additional labor for slab handling, additional 90 mins needed for metal joining
</t>
        </r>
      </text>
    </comment>
    <comment ref="F24" authorId="0" shapeId="0" xr:uid="{3295AAF8-2480-49C5-ACA3-FF00C20EF4EC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Additional 90 mins - for joining metal </t>
        </r>
      </text>
    </comment>
    <comment ref="F29" authorId="0" shapeId="0" xr:uid="{E6608F9B-F254-416B-B00A-6D0AEB22531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 additional 30 mins for slab handling</t>
        </r>
      </text>
    </comment>
    <comment ref="F42" authorId="0" shapeId="0" xr:uid="{42BE898A-9FBD-4EA4-A355-8BF885340041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Additional 90 mins - for joining metal </t>
        </r>
      </text>
    </comment>
    <comment ref="F47" authorId="0" shapeId="0" xr:uid="{EB5E780F-0332-40AF-887C-B4AA02E05C76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 additional 30 mins for slab handling</t>
        </r>
      </text>
    </comment>
    <comment ref="F72" authorId="0" shapeId="0" xr:uid="{DE2CE2F5-A8B0-4284-87CA-2B9F27A500FE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Additional 25 mins, as 3 labor required for slab handling 
</t>
        </r>
      </text>
    </comment>
    <comment ref="F74" authorId="0" shapeId="0" xr:uid="{E8EC4692-D550-4ECF-9E2E-60D199720AB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Along with additional labor for slab handling, additional 90 mins needed for metal joining
</t>
        </r>
      </text>
    </comment>
    <comment ref="F82" authorId="0" shapeId="0" xr:uid="{3813F8FE-2A17-45E4-BFF9-E58B8E435F4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Additional 90 mins - for joining metal </t>
        </r>
      </text>
    </comment>
    <comment ref="F87" authorId="0" shapeId="0" xr:uid="{B4EFF7F3-6818-4792-9729-9B44ED1F6D0C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 additional 30 mins for slab handling</t>
        </r>
      </text>
    </comment>
    <comment ref="F100" authorId="0" shapeId="0" xr:uid="{7261C307-0C9B-4842-9CE8-E1EA00989522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Additional 90 mins - for joining metal </t>
        </r>
      </text>
    </comment>
    <comment ref="F105" authorId="0" shapeId="0" xr:uid="{53E26A65-577C-4CE7-A5FD-AA5F606D25B3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Need additional 30 mins for slab handling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tc={7752AB4F-8FA8-4966-8988-4A69E67EDB10}</author>
    <author>tc={1B0DAC34-2F66-4A61-9EC8-EE20D06A1A41}</author>
    <author>tc={B5B85753-78D6-4A63-876D-B588DC86BA35}</author>
    <author>tc={3FB26FEF-151E-4D41-9674-F33EC8D19438}</author>
    <author>tc={DE69DF9B-56C4-433F-AB64-EF3997265F5A}</author>
    <author>tc={08E539EF-0311-441D-A0E8-FC4710B7886E}</author>
    <author>Anupam Bajpai</author>
  </authors>
  <commentList>
    <comment ref="D6" authorId="0" shapeId="0" xr:uid="{7752AB4F-8FA8-4966-8988-4A69E67EDB10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F6" authorId="1" shapeId="0" xr:uid="{1B0DAC34-2F66-4A61-9EC8-EE20D06A1A41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D7" authorId="2" shapeId="0" xr:uid="{B5B85753-78D6-4A63-876D-B588DC86BA35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F7" authorId="3" shapeId="0" xr:uid="{3FB26FEF-151E-4D41-9674-F33EC8D19438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D8" authorId="4" shapeId="0" xr:uid="{DE69DF9B-56C4-433F-AB64-EF3997265F5A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F8" authorId="5" shapeId="0" xr:uid="{08E539EF-0311-441D-A0E8-FC4710B7886E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E106" authorId="6" shapeId="0" xr:uid="{9F1A5BEC-E15B-4885-8D42-93A967373679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required based on the </t>
        </r>
        <r>
          <rPr>
            <b/>
            <u/>
            <sz val="9"/>
            <color indexed="81"/>
            <rFont val="Tahoma"/>
            <family val="2"/>
          </rPr>
          <t>Location of the Heat Trace.</t>
        </r>
      </text>
    </comment>
    <comment ref="E107" authorId="6" shapeId="0" xr:uid="{09EF0BD3-4719-4C1A-83ED-54C3A4ACF8D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based on the Job requirement 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tc={37308594-2E59-43D8-8C25-000D12039E37}</author>
    <author>tc={89BB8389-F80E-4ACD-981F-0590F9021CDC}</author>
    <author>tc={59C5743F-B131-4ECE-914B-5DB5A1AA0CB9}</author>
    <author>tc={9141CF8B-83A7-4FC4-B974-68B60467B502}</author>
    <author>tc={6AF1794B-C29C-45E5-B112-030A32E9DFCB}</author>
    <author>tc={7DB78517-389B-4A3B-B13E-C375F1122457}</author>
    <author>Anupam Bajpai</author>
  </authors>
  <commentList>
    <comment ref="D6" authorId="0" shapeId="0" xr:uid="{37308594-2E59-43D8-8C25-000D12039E37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F6" authorId="1" shapeId="0" xr:uid="{89BB8389-F80E-4ACD-981F-0590F9021CDC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D7" authorId="2" shapeId="0" xr:uid="{59C5743F-B131-4ECE-914B-5DB5A1AA0CB9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F7" authorId="3" shapeId="0" xr:uid="{9141CF8B-83A7-4FC4-B974-68B60467B5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D8" authorId="4" shapeId="0" xr:uid="{6AF1794B-C29C-45E5-B112-030A32E9DFCB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F8" authorId="5" shapeId="0" xr:uid="{7DB78517-389B-4A3B-B13E-C375F1122457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E105" authorId="6" shapeId="0" xr:uid="{D0620106-7A62-492D-899C-B91F74750BA5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required based on the </t>
        </r>
        <r>
          <rPr>
            <b/>
            <u/>
            <sz val="9"/>
            <color indexed="81"/>
            <rFont val="Tahoma"/>
            <family val="2"/>
          </rPr>
          <t>Location of the Heat Trace.</t>
        </r>
      </text>
    </comment>
    <comment ref="E106" authorId="6" shapeId="0" xr:uid="{FAD11F89-B9C3-4BBF-B824-3B078AA9606E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based on the Job requirement 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tc={F56E1B40-BCC7-4540-9A0D-35553339FFE8}</author>
    <author>tc={047850BC-21CA-4698-AE99-BDB33FCDEE6F}</author>
    <author>tc={976DD04D-D836-4676-9AF3-EF93EE0C03BE}</author>
    <author>tc={4B671B06-FFEC-4BC7-A8B3-C366A4B6E374}</author>
    <author>tc={75305F6F-7127-461B-B922-417BB885B670}</author>
    <author>tc={1397E261-0A8E-428B-850B-0217390BDE7F}</author>
    <author>Anupam Bajpai</author>
  </authors>
  <commentList>
    <comment ref="D6" authorId="0" shapeId="0" xr:uid="{F56E1B40-BCC7-4540-9A0D-35553339FFE8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F6" authorId="1" shapeId="0" xr:uid="{047850BC-21CA-4698-AE99-BDB33FCDEE6F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D7" authorId="2" shapeId="0" xr:uid="{976DD04D-D836-4676-9AF3-EF93EE0C03BE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F7" authorId="3" shapeId="0" xr:uid="{4B671B06-FFEC-4BC7-A8B3-C366A4B6E374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D8" authorId="4" shapeId="0" xr:uid="{75305F6F-7127-461B-B922-417BB885B670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F8" authorId="5" shapeId="0" xr:uid="{1397E261-0A8E-428B-850B-0217390BDE7F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E105" authorId="6" shapeId="0" xr:uid="{6D58413C-3577-4218-A8D6-DD0EADF34447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required based on the </t>
        </r>
        <r>
          <rPr>
            <b/>
            <u/>
            <sz val="9"/>
            <color indexed="81"/>
            <rFont val="Tahoma"/>
            <family val="2"/>
          </rPr>
          <t>Location of the Heat Trace.</t>
        </r>
      </text>
    </comment>
    <comment ref="E106" authorId="6" shapeId="0" xr:uid="{3F7B3DA2-A928-4E57-B663-70C9FE5C245F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based on the Job requirement 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tc={2F5A7808-5FED-448E-B986-99ABE3B9D922}</author>
    <author>tc={E7E8B224-BD12-459B-8501-CA82D4F96BF8}</author>
    <author>tc={A7C6532E-FFBB-46A0-AB91-9C4FEABF224D}</author>
    <author>tc={B8ED9775-EC6E-493D-AF49-576542D68047}</author>
    <author>tc={C015CEAE-8AA3-4705-A054-A0E1B03DE90D}</author>
    <author>tc={487B332F-3370-4397-9DFB-96D2B39FC7AE}</author>
    <author>Anupam Bajpai</author>
  </authors>
  <commentList>
    <comment ref="D6" authorId="0" shapeId="0" xr:uid="{2F5A7808-5FED-448E-B986-99ABE3B9D922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F6" authorId="1" shapeId="0" xr:uid="{E7E8B224-BD12-459B-8501-CA82D4F96BF8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D7" authorId="2" shapeId="0" xr:uid="{A7C6532E-FFBB-46A0-AB91-9C4FEABF224D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F7" authorId="3" shapeId="0" xr:uid="{B8ED9775-EC6E-493D-AF49-576542D68047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D8" authorId="4" shapeId="0" xr:uid="{C015CEAE-8AA3-4705-A054-A0E1B03DE90D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F8" authorId="5" shapeId="0" xr:uid="{487B332F-3370-4397-9DFB-96D2B39FC7AE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E105" authorId="6" shapeId="0" xr:uid="{3F413172-E811-4C4D-A176-1AA307AA33CA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required based on the </t>
        </r>
        <r>
          <rPr>
            <b/>
            <u/>
            <sz val="9"/>
            <color indexed="81"/>
            <rFont val="Tahoma"/>
            <family val="2"/>
          </rPr>
          <t>Location of the Heat Trace.</t>
        </r>
      </text>
    </comment>
    <comment ref="E106" authorId="6" shapeId="0" xr:uid="{336DD138-C873-4969-89B5-E966378A7FB1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based on the Job requirement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tc={0A88613F-E0E6-4F46-BE35-7DE2A9C4F24A}</author>
    <author>tc={DE746270-981A-46A4-B4A3-0BCE4042D75D}</author>
    <author>tc={78507E76-106E-4453-B527-03474922DD03}</author>
    <author>tc={F8AD5867-5B80-4029-80F4-A8A9FDBEDBC2}</author>
    <author>tc={E927D4AC-5DF0-402D-AE45-7A3ED01459F7}</author>
    <author>tc={E7C66F04-AE87-4A0B-B58B-C43298D8741C}</author>
    <author>Anupam Bajpai</author>
  </authors>
  <commentList>
    <comment ref="D6" authorId="0" shapeId="0" xr:uid="{0A88613F-E0E6-4F46-BE35-7DE2A9C4F24A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F6" authorId="1" shapeId="0" xr:uid="{DE746270-981A-46A4-B4A3-0BCE4042D75D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D7" authorId="2" shapeId="0" xr:uid="{78507E76-106E-4453-B527-03474922DD03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F7" authorId="3" shapeId="0" xr:uid="{F8AD5867-5B80-4029-80F4-A8A9FDBEDBC2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D8" authorId="4" shapeId="0" xr:uid="{E927D4AC-5DF0-402D-AE45-7A3ED01459F7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F8" authorId="5" shapeId="0" xr:uid="{E7C66F04-AE87-4A0B-B58B-C43298D8741C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E105" authorId="6" shapeId="0" xr:uid="{B48CD509-DF27-406C-83E3-0512697D0559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required based on the </t>
        </r>
        <r>
          <rPr>
            <b/>
            <u/>
            <sz val="9"/>
            <color indexed="81"/>
            <rFont val="Tahoma"/>
            <family val="2"/>
          </rPr>
          <t>Location of the Heat Trace.</t>
        </r>
      </text>
    </comment>
    <comment ref="E106" authorId="6" shapeId="0" xr:uid="{BC8B32B8-0024-4381-8658-FCF358DA451F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the </t>
        </r>
        <r>
          <rPr>
            <b/>
            <u/>
            <sz val="9"/>
            <color indexed="81"/>
            <rFont val="Tahoma"/>
            <family val="2"/>
          </rPr>
          <t>Linear Ft.</t>
        </r>
        <r>
          <rPr>
            <sz val="9"/>
            <color indexed="81"/>
            <rFont val="Tahoma"/>
            <family val="2"/>
          </rPr>
          <t xml:space="preserve"> based on the Job requirement 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tc={4E7D8A1E-28C9-4A10-B470-BD339A0F5FF3}</author>
    <author>tc={DA2E8F49-7AAC-49D2-BB7B-7985D9DD55EB}</author>
    <author>tc={BFD41758-96F3-47DE-A91F-DC7800ADA98D}</author>
    <author>Anupam Bajpai</author>
  </authors>
  <commentList>
    <comment ref="C6" authorId="0" shapeId="0" xr:uid="{4E7D8A1E-28C9-4A10-B470-BD339A0F5FF3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C7" authorId="1" shapeId="0" xr:uid="{DA2E8F49-7AAC-49D2-BB7B-7985D9DD55EB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C8" authorId="2" shapeId="0" xr:uid="{BFD41758-96F3-47DE-A91F-DC7800ADA98D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C26" authorId="3" shapeId="0" xr:uid="{D3109AA7-D5CB-4FD5-97FB-F5BC47790690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provide the perimeter of the ramp in </t>
        </r>
        <r>
          <rPr>
            <b/>
            <sz val="9"/>
            <color indexed="81"/>
            <rFont val="Tahoma"/>
            <family val="2"/>
          </rPr>
          <t xml:space="preserve">INCHES
</t>
        </r>
      </text>
    </comment>
    <comment ref="D29" authorId="3" shapeId="0" xr:uid="{65A3BD72-4D7E-487A-B06B-2B689E4617B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</t>
        </r>
        <r>
          <rPr>
            <b/>
            <sz val="9"/>
            <color indexed="81"/>
            <rFont val="Tahoma"/>
            <family val="2"/>
          </rPr>
          <t xml:space="preserve">Purchase Cost </t>
        </r>
      </text>
    </comment>
    <comment ref="D30" authorId="3" shapeId="0" xr:uid="{79A2B652-71B8-4BBB-8EF2-A34980E6396A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</t>
        </r>
        <r>
          <rPr>
            <b/>
            <sz val="9"/>
            <color indexed="81"/>
            <rFont val="Tahoma"/>
            <family val="2"/>
          </rPr>
          <t xml:space="preserve">Purchase Cost </t>
        </r>
      </text>
    </comment>
    <comment ref="D31" authorId="3" shapeId="0" xr:uid="{7C5069A6-1D69-49CE-B970-BFE41B878018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</t>
        </r>
        <r>
          <rPr>
            <b/>
            <sz val="9"/>
            <color indexed="81"/>
            <rFont val="Tahoma"/>
            <family val="2"/>
          </rPr>
          <t xml:space="preserve">Purchase Cost </t>
        </r>
      </text>
    </comment>
    <comment ref="D56" authorId="3" shapeId="0" xr:uid="{AE415085-FB21-4D06-AC42-1B2E1A478AA0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</t>
        </r>
        <r>
          <rPr>
            <b/>
            <sz val="9"/>
            <color indexed="81"/>
            <rFont val="Tahoma"/>
            <family val="2"/>
          </rPr>
          <t xml:space="preserve">Purchase Cost </t>
        </r>
      </text>
    </comment>
    <comment ref="D57" authorId="3" shapeId="0" xr:uid="{D8648C71-BE9D-4705-A159-4C6C7C7C6BF3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</t>
        </r>
        <r>
          <rPr>
            <b/>
            <sz val="9"/>
            <color indexed="81"/>
            <rFont val="Tahoma"/>
            <family val="2"/>
          </rPr>
          <t xml:space="preserve">Purchase Cost </t>
        </r>
      </text>
    </comment>
    <comment ref="D58" authorId="3" shapeId="0" xr:uid="{BB7F3B54-0A28-42F1-9397-6D1B66E95012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Please Enter </t>
        </r>
        <r>
          <rPr>
            <b/>
            <sz val="9"/>
            <color indexed="81"/>
            <rFont val="Tahoma"/>
            <family val="2"/>
          </rPr>
          <t xml:space="preserve">Purchase Cost 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Anupam Bajpai</author>
    <author>tc={4F477AE0-1833-46E9-AA99-50E05C694A14}</author>
    <author>tc={9EC5DA7B-C059-42F0-B0FE-2243834FF43C}</author>
    <author>tc={7BB3D790-B809-4133-925C-89F5553E3A7A}</author>
    <author>tc={215680BA-12F8-4D30-B7B6-B7551A2C9946}</author>
    <author>tc={08252F7B-16D6-448E-A80C-5E46DAFA0355}</author>
    <author>tc={6F488E82-316B-4C18-B29A-E8AF57B63E20}</author>
  </authors>
  <commentList>
    <comment ref="Q4" authorId="0" shapeId="0" xr:uid="{E82942FD-241C-4904-841B-A24B87A4A950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Acc Mgr needs to fillout
Date
By
Email</t>
        </r>
      </text>
    </comment>
    <comment ref="Q5" authorId="0" shapeId="0" xr:uid="{7EE9EBE7-E284-447C-80E6-EA40DF6F2D74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Complete all the fields in Billing info.
</t>
        </r>
      </text>
    </comment>
    <comment ref="C6" authorId="1" shapeId="0" xr:uid="{4F477AE0-1833-46E9-AA99-50E05C694A14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E6" authorId="2" shapeId="0" xr:uid="{9EC5DA7B-C059-42F0-B0FE-2243834FF43C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Customer Business Name</t>
      </text>
    </comment>
    <comment ref="Q6" authorId="0" shapeId="0" xr:uid="{3BD158F6-8735-46A5-9C0A-8273DD6BCB71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Complete all the fields in the Site Info.
</t>
        </r>
      </text>
    </comment>
    <comment ref="C7" authorId="3" shapeId="0" xr:uid="{7BB3D790-B809-4133-925C-89F5553E3A7A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E7" authorId="4" shapeId="0" xr:uid="{215680BA-12F8-4D30-B7B6-B7551A2C9946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Street and Location number</t>
      </text>
    </comment>
    <comment ref="C8" authorId="5" shapeId="0" xr:uid="{08252F7B-16D6-448E-A80C-5E46DAFA0355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E8" authorId="6" shapeId="0" xr:uid="{6F488E82-316B-4C18-B29A-E8AF57B63E20}">
      <text>
        <t>[Threaded comment]
Your version of Excel allows you to read this threaded comment; however, any edits to it will get removed if the file is opened in a newer version of Excel. Learn more: https://go.microsoft.com/fwlink/?linkid=870924
Comment:
    City, State and Postal Code</t>
      </text>
    </comment>
    <comment ref="F107" authorId="0" shapeId="0" xr:uid="{7512FDD9-06E4-401C-860C-D772B80EA18E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Total Sale Price</t>
        </r>
        <r>
          <rPr>
            <sz val="9"/>
            <color indexed="81"/>
            <rFont val="Tahoma"/>
            <family val="2"/>
          </rPr>
          <t xml:space="preserve"> to be entered here. This is required for Quotation 
purpose. 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Anupam Bajpai</author>
  </authors>
  <commentList>
    <comment ref="C81" authorId="0" shapeId="0" xr:uid="{B6EA9E21-9DF0-4DC0-BFD1-F49C0B849F12}">
      <text>
        <r>
          <rPr>
            <b/>
            <sz val="9"/>
            <color indexed="81"/>
            <rFont val="Tahoma"/>
            <family val="2"/>
          </rPr>
          <t>Anupam Bajpai:</t>
        </r>
        <r>
          <rPr>
            <sz val="9"/>
            <color indexed="81"/>
            <rFont val="Tahoma"/>
            <family val="2"/>
          </rPr>
          <t xml:space="preserve">
Heat trace will be double in labour and material will be half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<sst xmlns="http://schemas.openxmlformats.org/spreadsheetml/2006/main" count="6898" uniqueCount="1070">
  <si>
    <t/>
  </si>
  <si>
    <t xml:space="preserve">To:                                      </t>
  </si>
  <si>
    <t>Quote #</t>
  </si>
  <si>
    <t>Address:</t>
  </si>
  <si>
    <t>Issued:</t>
  </si>
  <si>
    <t>Issued By:</t>
  </si>
  <si>
    <t xml:space="preserve">Attn:       </t>
  </si>
  <si>
    <t>Email:</t>
  </si>
  <si>
    <t>Location:</t>
  </si>
  <si>
    <t>Phone:</t>
  </si>
  <si>
    <t>Description:</t>
  </si>
  <si>
    <t xml:space="preserve">Quote for: </t>
  </si>
  <si>
    <t>Verbiasage that Sales Rep. can type</t>
  </si>
  <si>
    <t xml:space="preserve">Scope </t>
  </si>
  <si>
    <t>Doors Type</t>
  </si>
  <si>
    <t xml:space="preserve">Specs </t>
  </si>
  <si>
    <t xml:space="preserve">Total </t>
  </si>
  <si>
    <t>Notes</t>
  </si>
  <si>
    <t>Accepted By: ______________________</t>
  </si>
  <si>
    <t>PO#: ______________________</t>
  </si>
  <si>
    <t>*Please review the T&amp;C in the next page</t>
  </si>
  <si>
    <t>Terms and Conditions</t>
  </si>
  <si>
    <t xml:space="preserve">Sheet </t>
  </si>
  <si>
    <t xml:space="preserve">Section </t>
  </si>
  <si>
    <t>Sub-Section</t>
  </si>
  <si>
    <t xml:space="preserve">Title </t>
  </si>
  <si>
    <t xml:space="preserve">Description </t>
  </si>
  <si>
    <t xml:space="preserve">Quotation - Single Door </t>
  </si>
  <si>
    <t>CUSTOMER SECTION</t>
  </si>
  <si>
    <t xml:space="preserve">Quote Start Date </t>
  </si>
  <si>
    <t xml:space="preserve">Quote #: </t>
  </si>
  <si>
    <t xml:space="preserve">Quote Send Date </t>
  </si>
  <si>
    <t xml:space="preserve">Project Name </t>
  </si>
  <si>
    <t>Bill To Address &amp; Name</t>
  </si>
  <si>
    <t xml:space="preserve">To: </t>
  </si>
  <si>
    <t>Address</t>
  </si>
  <si>
    <t>DOOR 1 - SELL PRICE</t>
  </si>
  <si>
    <t>Door Type</t>
  </si>
  <si>
    <t>Power Operated Sliding door - Single horizontal Slide</t>
  </si>
  <si>
    <t xml:space="preserve">Type </t>
  </si>
  <si>
    <t>Interior</t>
  </si>
  <si>
    <t>Door Panel and Frame</t>
  </si>
  <si>
    <t>Material/Details</t>
  </si>
  <si>
    <t xml:space="preserve">Other - Please specify. </t>
  </si>
  <si>
    <t xml:space="preserve">Min. Cost </t>
  </si>
  <si>
    <t>Mark-up</t>
  </si>
  <si>
    <t>Sell</t>
  </si>
  <si>
    <t xml:space="preserve">Cooler / Freezer </t>
  </si>
  <si>
    <t>Freezer</t>
  </si>
  <si>
    <t>Exterior Type</t>
  </si>
  <si>
    <t>Door Panel</t>
  </si>
  <si>
    <t>26 Ga. White - Stucco Embossed Finish</t>
  </si>
  <si>
    <t>Frame Structure</t>
  </si>
  <si>
    <t>Wood</t>
  </si>
  <si>
    <t>Face Frame</t>
  </si>
  <si>
    <t>HDPE (Plastic) Clad - 26 Ga. White - Stucco Embossed</t>
  </si>
  <si>
    <t>Motorized/Manual</t>
  </si>
  <si>
    <t>Motorized</t>
  </si>
  <si>
    <t>Inside Jamb</t>
  </si>
  <si>
    <t>Width (Inches)</t>
  </si>
  <si>
    <t>Back Frame</t>
  </si>
  <si>
    <t>Height (inches)</t>
  </si>
  <si>
    <t>Freezer Door - Motor Volts</t>
  </si>
  <si>
    <t xml:space="preserve">120VAC/1AMP Electric Defrost system. </t>
  </si>
  <si>
    <t>Depth (Inches)</t>
  </si>
  <si>
    <t>Bottom Sweep/Weather Strip</t>
  </si>
  <si>
    <t>Weather Strip</t>
  </si>
  <si>
    <t>Wall Thickness (inches)</t>
  </si>
  <si>
    <t>Labor &amp; Foam Expense</t>
  </si>
  <si>
    <t>QUANTITY (COUNT)</t>
  </si>
  <si>
    <t xml:space="preserve">Swing Door Package </t>
  </si>
  <si>
    <t xml:space="preserve">Sliding Door Package </t>
  </si>
  <si>
    <t xml:space="preserve">Package - Left Hand </t>
  </si>
  <si>
    <t xml:space="preserve">Category </t>
  </si>
  <si>
    <t xml:space="preserve">Purchase Cost </t>
  </si>
  <si>
    <t>Misc. ADD ON</t>
  </si>
  <si>
    <t xml:space="preserve">Drafting Charges </t>
  </si>
  <si>
    <t xml:space="preserve">DOOR 2 - SELL PRICE </t>
  </si>
  <si>
    <t>Infitting Doors - Swing door</t>
  </si>
  <si>
    <t>Manual</t>
  </si>
  <si>
    <t>Not Required</t>
  </si>
  <si>
    <t>Bottom Sweep</t>
  </si>
  <si>
    <t xml:space="preserve">Details </t>
  </si>
  <si>
    <t xml:space="preserve">DOOR 3 - SELL PRICE </t>
  </si>
  <si>
    <t>Manual Bi-Part Sliding door - Horizontal Slide</t>
  </si>
  <si>
    <t>Cooler</t>
  </si>
  <si>
    <t>Aluminium</t>
  </si>
  <si>
    <t xml:space="preserve">DOOR 4 - SELL PRICE </t>
  </si>
  <si>
    <t xml:space="preserve">DOOR 5 - SELL PRICE </t>
  </si>
  <si>
    <t xml:space="preserve">DOOR 6 - SELL PRICE </t>
  </si>
  <si>
    <t>Estimation sheet Completion - QUOTED JOB</t>
  </si>
  <si>
    <t xml:space="preserve">Job Cost breakdown </t>
  </si>
  <si>
    <t xml:space="preserve">Quote Status </t>
  </si>
  <si>
    <t>CA - Customer Approved</t>
  </si>
  <si>
    <t xml:space="preserve">Door Type </t>
  </si>
  <si>
    <t>Site Address &amp; Name</t>
  </si>
  <si>
    <t xml:space="preserve">Sales Rep. </t>
  </si>
  <si>
    <t>Sales Manager</t>
  </si>
  <si>
    <t xml:space="preserve">Sales rep. info and order data </t>
  </si>
  <si>
    <t xml:space="preserve">No. of Doors </t>
  </si>
  <si>
    <t>Email</t>
  </si>
  <si>
    <t xml:space="preserve">Customer BILLING Info. </t>
  </si>
  <si>
    <t xml:space="preserve">Door Type Count </t>
  </si>
  <si>
    <r>
      <t xml:space="preserve">Customer </t>
    </r>
    <r>
      <rPr>
        <b/>
        <strike/>
        <sz val="10"/>
        <color rgb="FFFF0000"/>
        <rFont val="Calibri"/>
        <family val="2"/>
        <scheme val="minor"/>
      </rPr>
      <t>JOB LOCATION</t>
    </r>
    <r>
      <rPr>
        <b/>
        <strike/>
        <sz val="10"/>
        <color rgb="FF000000"/>
        <rFont val="Calibri"/>
        <family val="2"/>
        <scheme val="minor"/>
      </rPr>
      <t xml:space="preserve"> - PART SHIPMENT/WORK location</t>
    </r>
  </si>
  <si>
    <t>Job Description and Scope</t>
  </si>
  <si>
    <t>Attn:</t>
  </si>
  <si>
    <t xml:space="preserve">Door Type Details </t>
  </si>
  <si>
    <t xml:space="preserve">Door Spec Details </t>
  </si>
  <si>
    <t xml:space="preserve">Additional Parts </t>
  </si>
  <si>
    <t xml:space="preserve">Margin Meet the requirment </t>
  </si>
  <si>
    <t xml:space="preserve">SALE TOTAL </t>
  </si>
  <si>
    <t>Cust PO</t>
  </si>
  <si>
    <t>QUOTE COMPLETION</t>
  </si>
  <si>
    <t xml:space="preserve">Margin </t>
  </si>
  <si>
    <t>Customer Requested Date:</t>
  </si>
  <si>
    <t>JOB SCOPE SECTION</t>
  </si>
  <si>
    <t>Job Scope Brief Description</t>
  </si>
  <si>
    <t>Production and CAD drawing Notes</t>
  </si>
  <si>
    <t>Feet to Inches (Calculator)</t>
  </si>
  <si>
    <t>DOOR TYPE DETAILS</t>
  </si>
  <si>
    <t xml:space="preserve">Feet  </t>
  </si>
  <si>
    <t xml:space="preserve">Inches </t>
  </si>
  <si>
    <t>DOOR AND OPTIONS SPECS</t>
  </si>
  <si>
    <t>Feature</t>
  </si>
  <si>
    <t>Min. Cost Price</t>
  </si>
  <si>
    <t>Freezer Door</t>
  </si>
  <si>
    <t>Kick Plate Material</t>
  </si>
  <si>
    <t>Kick Plate Size</t>
  </si>
  <si>
    <t>Kick Plate Location</t>
  </si>
  <si>
    <t>ViewPort Window Size</t>
  </si>
  <si>
    <t>ViewPort Window Type</t>
  </si>
  <si>
    <t>Motion Sensor</t>
  </si>
  <si>
    <t>Additional Heater Location</t>
  </si>
  <si>
    <t>Labor</t>
  </si>
  <si>
    <t>Labor Expense</t>
  </si>
  <si>
    <t xml:space="preserve">Material </t>
  </si>
  <si>
    <t xml:space="preserve">Foam Expense </t>
  </si>
  <si>
    <t>Gasket</t>
  </si>
  <si>
    <t>Double Gasket</t>
  </si>
  <si>
    <t xml:space="preserve">Additional Gasket </t>
  </si>
  <si>
    <t>Sliding Door Standard</t>
  </si>
  <si>
    <t>Qty</t>
  </si>
  <si>
    <t xml:space="preserve">Sliding Door Parts </t>
  </si>
  <si>
    <t>Sliding Door Parts</t>
  </si>
  <si>
    <t>Options</t>
  </si>
  <si>
    <t xml:space="preserve">ADDITIONAL OPTIONS  &amp; ADD ON - PARTS </t>
  </si>
  <si>
    <t>Hinge</t>
  </si>
  <si>
    <t>Additional Hinge 1</t>
  </si>
  <si>
    <t>Additional Hinge 2</t>
  </si>
  <si>
    <t>Additional Hinge 3</t>
  </si>
  <si>
    <t>Latch</t>
  </si>
  <si>
    <t>Additional Latch 1</t>
  </si>
  <si>
    <t>Additional Latch 2</t>
  </si>
  <si>
    <t xml:space="preserve">Interior Release </t>
  </si>
  <si>
    <t>Hook</t>
  </si>
  <si>
    <t xml:space="preserve">Door Closer </t>
  </si>
  <si>
    <t>Strike</t>
  </si>
  <si>
    <t>Rain Hood / Projection</t>
  </si>
  <si>
    <t xml:space="preserve">Wind Chains </t>
  </si>
  <si>
    <t>Internal Light</t>
  </si>
  <si>
    <t>Light Switch</t>
  </si>
  <si>
    <t>Vent</t>
  </si>
  <si>
    <t>Heat Vent 3"</t>
  </si>
  <si>
    <t xml:space="preserve">Temperature Gauge </t>
  </si>
  <si>
    <t>Temperature Gauge (Dial Thermometer)</t>
  </si>
  <si>
    <t xml:space="preserve">Receptacle Box </t>
  </si>
  <si>
    <t>Junction Box</t>
  </si>
  <si>
    <t>PVC - 4" X 4" X 2"</t>
  </si>
  <si>
    <t xml:space="preserve">Plugs </t>
  </si>
  <si>
    <t>Cover</t>
  </si>
  <si>
    <t>Silicon</t>
  </si>
  <si>
    <t>Heat Trace - Location &amp; Ft. req.</t>
  </si>
  <si>
    <t>Electrical Wire - Ft. required</t>
  </si>
  <si>
    <t>Misc. ADD Ons (Sell Price)</t>
  </si>
  <si>
    <t>Sell Price</t>
  </si>
  <si>
    <t xml:space="preserve">Drafting </t>
  </si>
  <si>
    <t xml:space="preserve">Crating </t>
  </si>
  <si>
    <t xml:space="preserve">Handling </t>
  </si>
  <si>
    <t>SELL Details</t>
  </si>
  <si>
    <t>Door 1 - Min. Cost Price</t>
  </si>
  <si>
    <t xml:space="preserve">Crating Cost </t>
  </si>
  <si>
    <t>Unit Price</t>
  </si>
  <si>
    <t xml:space="preserve">Quantity </t>
  </si>
  <si>
    <t>Material Total</t>
  </si>
  <si>
    <t>Plastic Wrap</t>
  </si>
  <si>
    <t xml:space="preserve">Magnet </t>
  </si>
  <si>
    <t>K1245 Hinge Chrome  Flush RH</t>
  </si>
  <si>
    <t>K56 Latch Body Chrome</t>
  </si>
  <si>
    <t>Mushroom Button</t>
  </si>
  <si>
    <t>Spring Door Closer</t>
  </si>
  <si>
    <t>K56 Strike Chrome  1/8 Bel x 1/4</t>
  </si>
  <si>
    <t>Misc. ADD Ons</t>
  </si>
  <si>
    <t>Door 2 - Min. Cost Price</t>
  </si>
  <si>
    <t>Length (Inches)</t>
  </si>
  <si>
    <t xml:space="preserve">Hood </t>
  </si>
  <si>
    <t>Door 3 - Min. Cost Price</t>
  </si>
  <si>
    <t xml:space="preserve">ROOM 1 - SELL PRICE </t>
  </si>
  <si>
    <t xml:space="preserve">Room Type </t>
  </si>
  <si>
    <t xml:space="preserve">Side </t>
  </si>
  <si>
    <t>Length (ft.)</t>
  </si>
  <si>
    <t>Height (ft.)</t>
  </si>
  <si>
    <t>Max Panel height (ft.)</t>
  </si>
  <si>
    <t>Panel Thickness (inch.)</t>
  </si>
  <si>
    <t xml:space="preserve">Sq. Ft. </t>
  </si>
  <si>
    <t>ROOM 1</t>
  </si>
  <si>
    <t xml:space="preserve">Side 1 </t>
  </si>
  <si>
    <t xml:space="preserve">Side 2 </t>
  </si>
  <si>
    <t xml:space="preserve">Side 3 </t>
  </si>
  <si>
    <t>Side 4</t>
  </si>
  <si>
    <t>Ceiling/Floor</t>
  </si>
  <si>
    <t>Type</t>
  </si>
  <si>
    <t>Width (ft.)</t>
  </si>
  <si>
    <t xml:space="preserve">Ceiling </t>
  </si>
  <si>
    <t>Standard Ceiling</t>
  </si>
  <si>
    <t xml:space="preserve">Floor </t>
  </si>
  <si>
    <t>Crating Calculations</t>
  </si>
  <si>
    <t>Internal Vapor Proof Lights - Freezer/Cooler</t>
  </si>
  <si>
    <t xml:space="preserve">Crate Count </t>
  </si>
  <si>
    <t>Crate Weight (lbs)</t>
  </si>
  <si>
    <t xml:space="preserve">Total Crating Cost </t>
  </si>
  <si>
    <t>Single Pole Pilot Light Switch</t>
  </si>
  <si>
    <t xml:space="preserve">Metal - Octagon (Hexagon) Box 4" x 4" x 1-1/2" </t>
  </si>
  <si>
    <t>Switch</t>
  </si>
  <si>
    <t>3 Way Pole Pilot Light Switch</t>
  </si>
  <si>
    <t xml:space="preserve">Panel Count </t>
  </si>
  <si>
    <t xml:space="preserve">Crate Dimensions </t>
  </si>
  <si>
    <t>Crate Cost</t>
  </si>
  <si>
    <t xml:space="preserve">White </t>
  </si>
  <si>
    <t>Misc. Category</t>
  </si>
  <si>
    <t xml:space="preserve">Glass Doors </t>
  </si>
  <si>
    <t xml:space="preserve">Roof Membrane </t>
  </si>
  <si>
    <t xml:space="preserve">Refrigation </t>
  </si>
  <si>
    <t>TOTAL COMBO - SELL PRICE</t>
  </si>
  <si>
    <t xml:space="preserve">Panel Thickness </t>
  </si>
  <si>
    <t xml:space="preserve">ROOM 2 - Freezer </t>
  </si>
  <si>
    <t>Side 4 - Common Wall</t>
  </si>
  <si>
    <t xml:space="preserve">ROOM 3 - Cooler </t>
  </si>
  <si>
    <t>Side 5</t>
  </si>
  <si>
    <t xml:space="preserve">PANELS - SELL PRICE </t>
  </si>
  <si>
    <t>Side 6</t>
  </si>
  <si>
    <t>Side 7</t>
  </si>
  <si>
    <t xml:space="preserve">Standard Floor </t>
  </si>
  <si>
    <t xml:space="preserve">Job Sell breakdown </t>
  </si>
  <si>
    <t xml:space="preserve">In Development - ID </t>
  </si>
  <si>
    <t>Truck Charge</t>
  </si>
  <si>
    <t>Date Required:</t>
  </si>
  <si>
    <t>ASAP</t>
  </si>
  <si>
    <t>Job Scope Description</t>
  </si>
  <si>
    <t>Internal Notes</t>
  </si>
  <si>
    <r>
      <rPr>
        <b/>
        <i/>
        <u/>
        <sz val="11"/>
        <color theme="1"/>
        <rFont val="Calibri"/>
        <family val="2"/>
        <scheme val="minor"/>
      </rPr>
      <t>FOR REFERENCE</t>
    </r>
    <r>
      <rPr>
        <b/>
        <i/>
        <sz val="10"/>
        <color theme="1"/>
        <rFont val="Calibri"/>
        <family val="2"/>
        <scheme val="minor"/>
      </rPr>
      <t xml:space="preserve"> - DOOR AND OPTIONS SPECS</t>
    </r>
  </si>
  <si>
    <t>ROOM 1 Specs</t>
  </si>
  <si>
    <t>Cooler/Freezer</t>
  </si>
  <si>
    <t>Panel Thickness</t>
  </si>
  <si>
    <t xml:space="preserve">Walls </t>
  </si>
  <si>
    <t>SUB Sell - ROOM SPECS</t>
  </si>
  <si>
    <t>COMBO ROOM Specs</t>
  </si>
  <si>
    <t>COMBO</t>
  </si>
  <si>
    <t>SELL &amp; Sell Details</t>
  </si>
  <si>
    <t>Total Room Min. Cost Price</t>
  </si>
  <si>
    <t>Profit</t>
  </si>
  <si>
    <t xml:space="preserve">Total Sale Price </t>
  </si>
  <si>
    <t>Margin details</t>
  </si>
  <si>
    <t>Margin %</t>
  </si>
  <si>
    <t xml:space="preserve">Crating Sell </t>
  </si>
  <si>
    <t>Sub-Contractors</t>
  </si>
  <si>
    <t xml:space="preserve">Sell </t>
  </si>
  <si>
    <t>Mark-up %</t>
  </si>
  <si>
    <t>Subs Total</t>
  </si>
  <si>
    <t>SUBS</t>
  </si>
  <si>
    <t xml:space="preserve">Labour/ Subs Total </t>
  </si>
  <si>
    <t>Room 3 Specs</t>
  </si>
  <si>
    <t>Room 3 Type</t>
  </si>
  <si>
    <t xml:space="preserve">In Feet and inches </t>
  </si>
  <si>
    <t>Length (inch)</t>
  </si>
  <si>
    <t>Width (inch)</t>
  </si>
  <si>
    <t>Height (inch)</t>
  </si>
  <si>
    <t xml:space="preserve">Size Type </t>
  </si>
  <si>
    <t xml:space="preserve">Ceiling Plates </t>
  </si>
  <si>
    <t>Conversion Inch to Feet</t>
  </si>
  <si>
    <t xml:space="preserve">Inch </t>
  </si>
  <si>
    <t xml:space="preserve">Feet </t>
  </si>
  <si>
    <t xml:space="preserve">Inch to Feet </t>
  </si>
  <si>
    <t xml:space="preserve">Calculation Chart for Reference - Chemical Cal. </t>
  </si>
  <si>
    <t>Drop Down</t>
  </si>
  <si>
    <t xml:space="preserve">Job Status </t>
  </si>
  <si>
    <t>Kick Plate Height</t>
  </si>
  <si>
    <t xml:space="preserve">Motor </t>
  </si>
  <si>
    <t>With Sill or sweep</t>
  </si>
  <si>
    <t>Hardware</t>
  </si>
  <si>
    <t>Infitting Door</t>
  </si>
  <si>
    <t xml:space="preserve">Sq.Inch </t>
  </si>
  <si>
    <t>Sq. Feet</t>
  </si>
  <si>
    <t xml:space="preserve">Chemical Density </t>
  </si>
  <si>
    <t>Yes</t>
  </si>
  <si>
    <t xml:space="preserve">I - In development </t>
  </si>
  <si>
    <t>18"H</t>
  </si>
  <si>
    <t>Exterior Door - with step sill</t>
  </si>
  <si>
    <t>No Tamper - Proof</t>
  </si>
  <si>
    <t xml:space="preserve">Yes </t>
  </si>
  <si>
    <t xml:space="preserve">Sq. Inch to Sq. Ft </t>
  </si>
  <si>
    <t>Cost per Sq. ft. (USD)</t>
  </si>
  <si>
    <t>No</t>
  </si>
  <si>
    <t>IA - Internal Approval</t>
  </si>
  <si>
    <t>24"H</t>
  </si>
  <si>
    <t>Exterior</t>
  </si>
  <si>
    <t>Exterior Door - with sweep seal</t>
  </si>
  <si>
    <t>Tamper - Proof</t>
  </si>
  <si>
    <t xml:space="preserve">Meter </t>
  </si>
  <si>
    <t>Cost per Sq. ft. (CAD)</t>
  </si>
  <si>
    <t xml:space="preserve">S - Sent </t>
  </si>
  <si>
    <t>36"H</t>
  </si>
  <si>
    <t xml:space="preserve">Meter to Ft </t>
  </si>
  <si>
    <t>Density per Sq. ft.</t>
  </si>
  <si>
    <t>Panel/Door Thickness (inch)</t>
  </si>
  <si>
    <t>Cost per Sq.ft</t>
  </si>
  <si>
    <t>Cost per Sq. Inch.</t>
  </si>
  <si>
    <t>Gross Margin %</t>
  </si>
  <si>
    <t>Sell per Sq. inch.</t>
  </si>
  <si>
    <t>48"H</t>
  </si>
  <si>
    <t>D - Dead</t>
  </si>
  <si>
    <t xml:space="preserve">Hardware Cost </t>
  </si>
  <si>
    <t xml:space="preserve">Material Cost/per Sq. Ft.  OR 
Part Cost </t>
  </si>
  <si>
    <t xml:space="preserve">Additional Items </t>
  </si>
  <si>
    <t>Dimensions (Sq. ft) 
or Linear Ft.</t>
  </si>
  <si>
    <t>Material Cost</t>
  </si>
  <si>
    <t>Total Cost</t>
  </si>
  <si>
    <t>Material Cost/per Sq. Ft.  OR 
Part Sell</t>
  </si>
  <si>
    <t xml:space="preserve">Material Sell </t>
  </si>
  <si>
    <t>Labor Sell</t>
  </si>
  <si>
    <t>Total Sell</t>
  </si>
  <si>
    <t xml:space="preserve">Door Inside Frame </t>
  </si>
  <si>
    <t xml:space="preserve">Assuming 12 screws per door </t>
  </si>
  <si>
    <t xml:space="preserve">Cost </t>
  </si>
  <si>
    <t>Face Frame and Back Frame Thickness</t>
  </si>
  <si>
    <t>Dimensions (Sq. ft)</t>
  </si>
  <si>
    <t xml:space="preserve">Additional Items Cost </t>
  </si>
  <si>
    <t xml:space="preserve">Total Cost </t>
  </si>
  <si>
    <t xml:space="preserve">Material Sell/per Sq. Ft.  OR 
Part Sell </t>
  </si>
  <si>
    <t xml:space="preserve">Additional Items Sell </t>
  </si>
  <si>
    <t xml:space="preserve">Total Sell </t>
  </si>
  <si>
    <t>Face Frame and Back Frame Width (inch)</t>
  </si>
  <si>
    <t>1. Door Corners Metal Support
2. Wood Frame
3. Gasket
4. Retainer</t>
  </si>
  <si>
    <t xml:space="preserve">4 Sided Frame </t>
  </si>
  <si>
    <t xml:space="preserve">Calculation Chart for Ref. - Frame (Face Frame) </t>
  </si>
  <si>
    <t>Aluminium Frame - Standard</t>
  </si>
  <si>
    <t xml:space="preserve">Cost per Linear Ft. </t>
  </si>
  <si>
    <t>Aluminium Clad - Steel</t>
  </si>
  <si>
    <r>
      <rPr>
        <b/>
        <i/>
        <sz val="12"/>
        <color theme="1"/>
        <rFont val="Calibri"/>
        <family val="2"/>
        <scheme val="minor"/>
      </rPr>
      <t>Cost per Linear Ft.</t>
    </r>
    <r>
      <rPr>
        <sz val="12"/>
        <color theme="1"/>
        <rFont val="Calibri"/>
        <family val="2"/>
        <scheme val="minor"/>
      </rPr>
      <t xml:space="preserve">
1. Steel Cost per sq.ft</t>
    </r>
  </si>
  <si>
    <t>Aluminium Clad - 26 Ga. White - Stucco Embossed</t>
  </si>
  <si>
    <r>
      <rPr>
        <b/>
        <i/>
        <sz val="12"/>
        <color theme="1"/>
        <rFont val="Calibri"/>
        <family val="2"/>
        <scheme val="minor"/>
      </rPr>
      <t>Cost per Linear Ft.</t>
    </r>
    <r>
      <rPr>
        <sz val="12"/>
        <color theme="1"/>
        <rFont val="Calibri"/>
        <family val="2"/>
        <scheme val="minor"/>
      </rPr>
      <t xml:space="preserve">
1. Material Cost per Sq.ft</t>
    </r>
  </si>
  <si>
    <t>Aluminium Clad - 26 Ga. White - Smooth Finished</t>
  </si>
  <si>
    <t>Wood Clad - Steel</t>
  </si>
  <si>
    <t>1. Wood Cost (5.5inch thickness)
2. Metal Cost</t>
  </si>
  <si>
    <t>Wood Clad - 26 Ga. White - Stucco Embossed</t>
  </si>
  <si>
    <t>Labor
Gasket</t>
  </si>
  <si>
    <t>Wood Clad - 26 Ga. White - Smooth Finished</t>
  </si>
  <si>
    <t>HDPE (Plastic) Clad - Steel</t>
  </si>
  <si>
    <t>HDPE (Plastic) Clad - 26 Ga. White - Smooth Finished</t>
  </si>
  <si>
    <t>Calculation Chart for Ref. - Inside Jamb</t>
  </si>
  <si>
    <t>1. 0.75 inch 10ga Aluminium sheet</t>
  </si>
  <si>
    <t>1. 0.75 inch 10ga Aluminium sheet
2. Steel Cost per sq.ft</t>
  </si>
  <si>
    <t>1. 0.75 inch 10ga Aluminium sheet
2. Material Cost per Sq.ft</t>
  </si>
  <si>
    <t>1. Wood Cost (0.75 inch thickness)
2. Metal Cost</t>
  </si>
  <si>
    <t xml:space="preserve">Calculation Chart for Ref. - Frame (Back Frame) </t>
  </si>
  <si>
    <t>1. 10ga Aluminium sheet</t>
  </si>
  <si>
    <t>1. 10ga Aluminium sheet
2. Steel Cost per sq.ft</t>
  </si>
  <si>
    <t>Sliding Door Option</t>
  </si>
  <si>
    <t>1. 10ga Aluminium sheet
2. Material Cost per Sq.ft</t>
  </si>
  <si>
    <t>Calculation Chart for Infitting Door Spec</t>
  </si>
  <si>
    <t>Foam</t>
  </si>
  <si>
    <t>26 Ga. White - Smooth Finish</t>
  </si>
  <si>
    <t>Heat trace wire (Perimeter X 3 times)
- Curly wire - 1ft. 
- Junction box
- Labor</t>
  </si>
  <si>
    <t>Electrical trace wire (9 ft per swing door to run heat to bottom of door)
Labor</t>
  </si>
  <si>
    <t xml:space="preserve">Summary Sheet - Drop down </t>
  </si>
  <si>
    <t xml:space="preserve">Reinforced Ceiling </t>
  </si>
  <si>
    <t>ROOM 2 - Cooler</t>
  </si>
  <si>
    <t xml:space="preserve">ROOM 3 - Freezer </t>
  </si>
  <si>
    <t>Labor Cost per Hour.</t>
  </si>
  <si>
    <t>Specs.</t>
  </si>
  <si>
    <t>Length (inch.)</t>
  </si>
  <si>
    <t>Height (inch.)</t>
  </si>
  <si>
    <t>L</t>
  </si>
  <si>
    <t>W</t>
  </si>
  <si>
    <t>H</t>
  </si>
  <si>
    <t>CEILING/FLOOR</t>
  </si>
  <si>
    <t>Width (inch.)</t>
  </si>
  <si>
    <t>Dim in Inch.</t>
  </si>
  <si>
    <t>Sq. Inches Calculations</t>
  </si>
  <si>
    <t>Sq. ft.</t>
  </si>
  <si>
    <t>Sq.ft Calculation</t>
  </si>
  <si>
    <t>Wall</t>
  </si>
  <si>
    <t>Floorless</t>
  </si>
  <si>
    <t>Floor</t>
  </si>
  <si>
    <t xml:space="preserve">Costing Summary </t>
  </si>
  <si>
    <t xml:space="preserve">Gross Margin % </t>
  </si>
  <si>
    <t xml:space="preserve">Wall Panels </t>
  </si>
  <si>
    <t xml:space="preserve">Ceiling Tiles Cal. </t>
  </si>
  <si>
    <t>Ceiling and Floor Size type</t>
  </si>
  <si>
    <t xml:space="preserve">Length </t>
  </si>
  <si>
    <t>Width</t>
  </si>
  <si>
    <t>Area Sq. Ft.</t>
  </si>
  <si>
    <t>Qty Required</t>
  </si>
  <si>
    <t xml:space="preserve">Wall Panels - Calculation Chart </t>
  </si>
  <si>
    <t>Room Size (Sq. ft)</t>
  </si>
  <si>
    <t>Height per Panel (inch)</t>
  </si>
  <si>
    <t xml:space="preserve">Total Length </t>
  </si>
  <si>
    <t>Length</t>
  </si>
  <si>
    <t>Length per Panel (inch)</t>
  </si>
  <si>
    <t>Labor Cost per Sq.ft</t>
  </si>
  <si>
    <t>Width per Panel (inch)</t>
  </si>
  <si>
    <t>No. of Panels</t>
  </si>
  <si>
    <t>Cost Per Sq.ft / 
per Piece</t>
  </si>
  <si>
    <t xml:space="preserve">Material Cost </t>
  </si>
  <si>
    <t xml:space="preserve">Metal </t>
  </si>
  <si>
    <t>Camlocks</t>
  </si>
  <si>
    <t xml:space="preserve">Ceiling Panels - Calculation Chart </t>
  </si>
  <si>
    <t>Standard Ceiling Thickness (inch)</t>
  </si>
  <si>
    <t>Reinforced Ceiling Thickness (inch)</t>
  </si>
  <si>
    <t>Reinforced Material - Punched U Channel</t>
  </si>
  <si>
    <t xml:space="preserve">Reinforced Labor   </t>
  </si>
  <si>
    <t xml:space="preserve">Floor Panels - Calculation Chart </t>
  </si>
  <si>
    <t>Standard Floor Thickness (inch)</t>
  </si>
  <si>
    <t>Reinforced Floor Thickness (inch)</t>
  </si>
  <si>
    <t>Reinforced Material - OSB wood 4X8ft. Sheet</t>
  </si>
  <si>
    <t xml:space="preserve">Reinforced Labor </t>
  </si>
  <si>
    <t>Labor Costing In Above Cal.</t>
  </si>
  <si>
    <t xml:space="preserve">Labor Costing for Time Cal. </t>
  </si>
  <si>
    <t xml:space="preserve">Labor Time Calculations </t>
  </si>
  <si>
    <t xml:space="preserve">Total Minutes </t>
  </si>
  <si>
    <t xml:space="preserve">Labor - Panel </t>
  </si>
  <si>
    <t xml:space="preserve">Labor - Ceiling </t>
  </si>
  <si>
    <t xml:space="preserve">Labor - Floor </t>
  </si>
  <si>
    <t xml:space="preserve">ROOM 1 Options - Details </t>
  </si>
  <si>
    <t>Category</t>
  </si>
  <si>
    <t xml:space="preserve">ROOM Options - Details </t>
  </si>
  <si>
    <t>Crating Labor Cost Cal. - 4X8 sqft.</t>
  </si>
  <si>
    <t xml:space="preserve">Width </t>
  </si>
  <si>
    <t xml:space="preserve">Height </t>
  </si>
  <si>
    <t xml:space="preserve">Crate sqft. Cal. </t>
  </si>
  <si>
    <t xml:space="preserve">Labor Count </t>
  </si>
  <si>
    <t>No. of Panels per Crate based on Thickness</t>
  </si>
  <si>
    <t xml:space="preserve">Crate Cost Cal. </t>
  </si>
  <si>
    <t xml:space="preserve">Labor Minutes </t>
  </si>
  <si>
    <t xml:space="preserve">Crating Standard </t>
  </si>
  <si>
    <t xml:space="preserve">Panel Standard </t>
  </si>
  <si>
    <t>Panels Per Crate</t>
  </si>
  <si>
    <t xml:space="preserve">Material Cost per ft. </t>
  </si>
  <si>
    <t xml:space="preserve">Labor Cost </t>
  </si>
  <si>
    <t>Panel width</t>
  </si>
  <si>
    <t xml:space="preserve">Labor Cost per sqft. </t>
  </si>
  <si>
    <t xml:space="preserve">Panel Height </t>
  </si>
  <si>
    <t xml:space="preserve">Gap between Panels </t>
  </si>
  <si>
    <t>Combo room panel Height</t>
  </si>
  <si>
    <t>Crating Calculation - Room 1</t>
  </si>
  <si>
    <t xml:space="preserve">Room Specs </t>
  </si>
  <si>
    <t>L (inches)</t>
  </si>
  <si>
    <t>H (inches)</t>
  </si>
  <si>
    <t>Max. Panel Height (inches)</t>
  </si>
  <si>
    <t xml:space="preserve">Panel thickness </t>
  </si>
  <si>
    <t xml:space="preserve">Panels stacked vertically </t>
  </si>
  <si>
    <t xml:space="preserve">Crate Sqft. </t>
  </si>
  <si>
    <t>Crate Wt. (lbs)</t>
  </si>
  <si>
    <t xml:space="preserve">Crate Required </t>
  </si>
  <si>
    <t xml:space="preserve">Crate Details </t>
  </si>
  <si>
    <t>Panel Count</t>
  </si>
  <si>
    <t>Crate Dimensions</t>
  </si>
  <si>
    <t>Crate Linear Length (ft)</t>
  </si>
  <si>
    <t>Side 1</t>
  </si>
  <si>
    <t>Side 2</t>
  </si>
  <si>
    <t xml:space="preserve">No. of Panels per Crate </t>
  </si>
  <si>
    <t>Side 3</t>
  </si>
  <si>
    <t xml:space="preserve">Wall Sqft. </t>
  </si>
  <si>
    <t xml:space="preserve">Ceiling Sqft. </t>
  </si>
  <si>
    <t xml:space="preserve">Floor Sqft. </t>
  </si>
  <si>
    <t xml:space="preserve">Floor/Ceiling Panel Count </t>
  </si>
  <si>
    <t>Crating Calculation - Combo Room</t>
  </si>
  <si>
    <t xml:space="preserve">Room Sq.ft </t>
  </si>
  <si>
    <t xml:space="preserve">Crate Cost per Sq.ft </t>
  </si>
  <si>
    <t>126 inch - X 48 inch - X 54 inch</t>
  </si>
  <si>
    <t>108 inch - X 48 inch - X 52 inch</t>
  </si>
  <si>
    <t>4X4</t>
  </si>
  <si>
    <t>96 inch - X 48 inch - X 52 inch</t>
  </si>
  <si>
    <t xml:space="preserve">Panel </t>
  </si>
  <si>
    <t>Dim in Ft.</t>
  </si>
  <si>
    <t>Sq. Inch</t>
  </si>
  <si>
    <t xml:space="preserve">Door </t>
  </si>
  <si>
    <t>Combo</t>
  </si>
  <si>
    <t xml:space="preserve">Door Data Validation </t>
  </si>
  <si>
    <t xml:space="preserve">Category Data Validation </t>
  </si>
  <si>
    <t>Tamper Proof Hardware</t>
  </si>
  <si>
    <t xml:space="preserve">Fasteners </t>
  </si>
  <si>
    <t xml:space="preserve">Door Options Data Validation </t>
  </si>
  <si>
    <t>Door Closer</t>
  </si>
  <si>
    <t>Temp. Gauge</t>
  </si>
  <si>
    <t>Heat Trace Wire</t>
  </si>
  <si>
    <t>Heat Trace Location</t>
  </si>
  <si>
    <t>Electrical Wire</t>
  </si>
  <si>
    <t xml:space="preserve">Junction Box </t>
  </si>
  <si>
    <t>Left hand Motor holder</t>
  </si>
  <si>
    <t xml:space="preserve">Standard - based on Electric motor selection </t>
  </si>
  <si>
    <t>Right Hand Motor holder</t>
  </si>
  <si>
    <t xml:space="preserve">Outside Handle </t>
  </si>
  <si>
    <t xml:space="preserve">Std </t>
  </si>
  <si>
    <t xml:space="preserve">Inside Handle </t>
  </si>
  <si>
    <t xml:space="preserve">Guide Latch/Catch Set </t>
  </si>
  <si>
    <t xml:space="preserve">Reversible Lock </t>
  </si>
  <si>
    <t>Pull Cord - Cooler</t>
  </si>
  <si>
    <t>Pull Cord - Freezer</t>
  </si>
  <si>
    <t xml:space="preserve">Motion sensor </t>
  </si>
  <si>
    <t xml:space="preserve">Emergency release </t>
  </si>
  <si>
    <t xml:space="preserve">Costing needed </t>
  </si>
  <si>
    <t xml:space="preserve">Battery back-up </t>
  </si>
  <si>
    <t>Room Data Validation</t>
  </si>
  <si>
    <t>Ceiling Plates</t>
  </si>
  <si>
    <t>4" X 4" - Visible</t>
  </si>
  <si>
    <t>4" X 4" - Hidden</t>
  </si>
  <si>
    <t>26 Ga. #304 Stainless steel - 2B Finish</t>
  </si>
  <si>
    <t xml:space="preserve">Other </t>
  </si>
  <si>
    <t>18 Ga. Galvanised</t>
  </si>
  <si>
    <t>12 ga galvanized</t>
  </si>
  <si>
    <t>16 ga galvanized</t>
  </si>
  <si>
    <t>10ga aluminum sheets</t>
  </si>
  <si>
    <t>1/8" T Aluminium Tread Plate</t>
  </si>
  <si>
    <t>18 Ga. #304 Stainless steel - 2B Finish</t>
  </si>
  <si>
    <t>GASKETS</t>
  </si>
  <si>
    <t xml:space="preserve">DOOR 1 </t>
  </si>
  <si>
    <t>Package 1</t>
  </si>
  <si>
    <t>DOOR 2</t>
  </si>
  <si>
    <t>Package 2</t>
  </si>
  <si>
    <t>Package 3</t>
  </si>
  <si>
    <t>DOOR 3</t>
  </si>
  <si>
    <t xml:space="preserve">Interior </t>
  </si>
  <si>
    <t>Swing Door Package - COOLER</t>
  </si>
  <si>
    <t>Items</t>
  </si>
  <si>
    <t xml:space="preserve">Package 1 </t>
  </si>
  <si>
    <t xml:space="preserve">Package 3 </t>
  </si>
  <si>
    <t xml:space="preserve">Gasket </t>
  </si>
  <si>
    <t xml:space="preserve">Standard Gasket </t>
  </si>
  <si>
    <t>K1248 Hinge Chrome   1-5/8  RH</t>
  </si>
  <si>
    <t xml:space="preserve">K58 Latch Body Polished Chrome </t>
  </si>
  <si>
    <t>Package - Right Hand</t>
  </si>
  <si>
    <t>Package - Left Hand With Splin Gasket</t>
  </si>
  <si>
    <t>Package - Right Hand WITH Splin Gasket</t>
  </si>
  <si>
    <t xml:space="preserve">Splin Gasket </t>
  </si>
  <si>
    <t>Max Panel Length (Ft.)</t>
  </si>
  <si>
    <t>Max Panel Length (inches)</t>
  </si>
  <si>
    <t>Hinges</t>
  </si>
  <si>
    <t>Heavy Duty - Zinc Plated Large strap hinges</t>
  </si>
  <si>
    <t xml:space="preserve">K1245 Hinge - Offset </t>
  </si>
  <si>
    <t>K1248 Hinge - Spring Loaded</t>
  </si>
  <si>
    <t>K1245 Hinge - Offset with Tamper Proof</t>
  </si>
  <si>
    <t xml:space="preserve">K1248 Hinge - Spring Loaded with Tamper Proof </t>
  </si>
  <si>
    <t xml:space="preserve">Door Wind Chains </t>
  </si>
  <si>
    <t>PARTS &amp; MATERIAL PRICING SHEET</t>
  </si>
  <si>
    <t>DOOR 1</t>
  </si>
  <si>
    <t xml:space="preserve">DOOR 3 </t>
  </si>
  <si>
    <t>USD - CAD</t>
  </si>
  <si>
    <t>Vendor</t>
  </si>
  <si>
    <t xml:space="preserve">Material Type </t>
  </si>
  <si>
    <t>Material Name Modification for Drawing Alignment</t>
  </si>
  <si>
    <t xml:space="preserve">UOM </t>
  </si>
  <si>
    <t>Cost per Lb (CAD)</t>
  </si>
  <si>
    <t xml:space="preserve">Min. Purchase Qty. </t>
  </si>
  <si>
    <t>Width Standard (ft.)</t>
  </si>
  <si>
    <t>Weight per Gauge (lb/ft2)</t>
  </si>
  <si>
    <t xml:space="preserve">Cal. Length </t>
  </si>
  <si>
    <t>Cost (USD)</t>
  </si>
  <si>
    <t>Cost (CAD) / 
Cost per UOM (CAD)</t>
  </si>
  <si>
    <t xml:space="preserve">Cost Cal. For Order Sheet </t>
  </si>
  <si>
    <t xml:space="preserve">Sell Cal. For Order Sheet </t>
  </si>
  <si>
    <t>Cost per Ft2</t>
  </si>
  <si>
    <t xml:space="preserve">Current Pricing </t>
  </si>
  <si>
    <t xml:space="preserve">Previous Pricing </t>
  </si>
  <si>
    <t xml:space="preserve">Previous Pricing Date </t>
  </si>
  <si>
    <t xml:space="preserve">% Change </t>
  </si>
  <si>
    <t>DOOR MARGINS</t>
  </si>
  <si>
    <t>Midwest Metals</t>
  </si>
  <si>
    <t>Material</t>
  </si>
  <si>
    <t>Galvanized Steel</t>
  </si>
  <si>
    <t xml:space="preserve">Lbs </t>
  </si>
  <si>
    <t xml:space="preserve">Door 1 </t>
  </si>
  <si>
    <t>Door 2</t>
  </si>
  <si>
    <t>Door 3</t>
  </si>
  <si>
    <t xml:space="preserve">Swing </t>
  </si>
  <si>
    <t>Steel Pack</t>
  </si>
  <si>
    <t>Stainless Steel</t>
  </si>
  <si>
    <t xml:space="preserve">Sliding </t>
  </si>
  <si>
    <t>Everest Steel</t>
  </si>
  <si>
    <t>Samuel</t>
  </si>
  <si>
    <t>ASA Alloys</t>
  </si>
  <si>
    <t>4" x 2"  x 0.25 thck Aluminum Angle</t>
  </si>
  <si>
    <t>Pcs</t>
  </si>
  <si>
    <t>4" x 3"  x 0.25 thck Aluminum Angle</t>
  </si>
  <si>
    <t>CBC Metals</t>
  </si>
  <si>
    <t>1/16" T Aluminium Tread Plate</t>
  </si>
  <si>
    <t>20 Ga. #304 Stainless steel - 2B Finish</t>
  </si>
  <si>
    <t>Coldmatics</t>
  </si>
  <si>
    <t xml:space="preserve">Bended material </t>
  </si>
  <si>
    <t>Sliding Door - Bottom channel - 8ft</t>
  </si>
  <si>
    <t>Ft</t>
  </si>
  <si>
    <t>Freezer - heater wire section cover - 100 inch</t>
  </si>
  <si>
    <t>ft</t>
  </si>
  <si>
    <t xml:space="preserve">Weather seal cover plate - 10ft </t>
  </si>
  <si>
    <t>Hydro Extrusion</t>
  </si>
  <si>
    <t xml:space="preserve">Door Aluminium Frame </t>
  </si>
  <si>
    <t>Cooler Frame</t>
  </si>
  <si>
    <t>Freezer Frame</t>
  </si>
  <si>
    <t>Door HDPE frame</t>
  </si>
  <si>
    <t xml:space="preserve">Grey - Plastic Extrusion </t>
  </si>
  <si>
    <t xml:space="preserve">Pc </t>
  </si>
  <si>
    <t>Grey - Plastic Extrusion per Ft.</t>
  </si>
  <si>
    <t>ft.</t>
  </si>
  <si>
    <t xml:space="preserve">Infitting frame </t>
  </si>
  <si>
    <t xml:space="preserve">Infitting frame gasket </t>
  </si>
  <si>
    <t>HRO&amp;P - hot roll oil and pickle</t>
  </si>
  <si>
    <t xml:space="preserve">Door - Wood </t>
  </si>
  <si>
    <t xml:space="preserve">Wood Frame Cost </t>
  </si>
  <si>
    <t xml:space="preserve">Sq. Ft </t>
  </si>
  <si>
    <t>Gates &amp; Doors</t>
  </si>
  <si>
    <t>Motor</t>
  </si>
  <si>
    <t xml:space="preserve">Motor + Control Box </t>
  </si>
  <si>
    <t>Kason Canada</t>
  </si>
  <si>
    <t>Fastners (CamLock)</t>
  </si>
  <si>
    <t>4SB  Large Panel Lock</t>
  </si>
  <si>
    <t>piece</t>
  </si>
  <si>
    <t>Fastners (CamStrike)</t>
  </si>
  <si>
    <t>8SB  Large Panel Strike</t>
  </si>
  <si>
    <t>Double Seal Insulated</t>
  </si>
  <si>
    <t>Glass Window</t>
  </si>
  <si>
    <t>3/4" x 14" x 16"</t>
  </si>
  <si>
    <t>1-3/8 x 14" x 16"</t>
  </si>
  <si>
    <t>3/4" x 15"x  21"</t>
  </si>
  <si>
    <t>1-3/8" x 15" x 21"</t>
  </si>
  <si>
    <t>Atlas Rolling Systems</t>
  </si>
  <si>
    <t xml:space="preserve">Motion Sensor </t>
  </si>
  <si>
    <t xml:space="preserve">Altas Rolling System </t>
  </si>
  <si>
    <t>Fastenal Canada</t>
  </si>
  <si>
    <t>Tamper proof screw 1/4" x 1"</t>
  </si>
  <si>
    <t>Kason</t>
  </si>
  <si>
    <t xml:space="preserve">Piece </t>
  </si>
  <si>
    <t>K1245 Hinge Chrome  1-1/2 RH</t>
  </si>
  <si>
    <t>K1245 Hinge Chrome  1-5/8  RH</t>
  </si>
  <si>
    <t>K1248 Hinge Chrome  Flush LH</t>
  </si>
  <si>
    <t>K1248 Hinge Chrome  1-1/2  LH</t>
  </si>
  <si>
    <t>K1248 Hinge Chrome   1-5/8  LH</t>
  </si>
  <si>
    <t xml:space="preserve">Padlockable </t>
  </si>
  <si>
    <t>Alt. Part needed</t>
  </si>
  <si>
    <t xml:space="preserve">K56 Keyed Cylinder Lock </t>
  </si>
  <si>
    <t xml:space="preserve">K58 Keyed Cylinder Lock </t>
  </si>
  <si>
    <t>K1238 Latch no Panel Chr w/ cyl Chr</t>
  </si>
  <si>
    <t xml:space="preserve">Kason #489 Recessed Release </t>
  </si>
  <si>
    <t>Hardware Agencies</t>
  </si>
  <si>
    <t xml:space="preserve">Bump Bar </t>
  </si>
  <si>
    <t>Bump Bar &amp; Mushroom Button</t>
  </si>
  <si>
    <t>Panic Bar - (No exterior Re-entry)</t>
  </si>
  <si>
    <t>Panic Bar with lever Latch</t>
  </si>
  <si>
    <t xml:space="preserve">Kason #483 Release </t>
  </si>
  <si>
    <t>Inside Release</t>
  </si>
  <si>
    <t>Inside Release Fglass for 3"</t>
  </si>
  <si>
    <t>Inside Release Fglass for 4"</t>
  </si>
  <si>
    <t>Cost Required - Purchasing</t>
  </si>
  <si>
    <t>Matched to Door Finish</t>
  </si>
  <si>
    <t>Matched to Hinge Finish</t>
  </si>
  <si>
    <t xml:space="preserve">Elastochem Specialty </t>
  </si>
  <si>
    <t>Chemical</t>
  </si>
  <si>
    <t>ISO</t>
  </si>
  <si>
    <t>Poly - Resin</t>
  </si>
  <si>
    <t>Vinyl Extrusion</t>
  </si>
  <si>
    <t xml:space="preserve">Gaskets </t>
  </si>
  <si>
    <t>Window Frame gasket</t>
  </si>
  <si>
    <t>Magnet gasket</t>
  </si>
  <si>
    <t>Retainer</t>
  </si>
  <si>
    <t>Gasket retainer</t>
  </si>
  <si>
    <t>Joint Cover</t>
  </si>
  <si>
    <t>Double gasket</t>
  </si>
  <si>
    <t>Double gasket holder</t>
  </si>
  <si>
    <t>Splin gasket</t>
  </si>
  <si>
    <t>Door Bottom Sweep</t>
  </si>
  <si>
    <t>AM Rubber</t>
  </si>
  <si>
    <t xml:space="preserve">Weather Seals </t>
  </si>
  <si>
    <t>3" wide</t>
  </si>
  <si>
    <t>4" wide</t>
  </si>
  <si>
    <t>6" wide</t>
  </si>
  <si>
    <t>1/8" x 3/8" Sponge adehisive</t>
  </si>
  <si>
    <t>1/16" x 3/8" Sponge adehisive</t>
  </si>
  <si>
    <t>Seal &amp; Design</t>
  </si>
  <si>
    <t>Stopper Rubber</t>
  </si>
  <si>
    <t>1" Buna rubber</t>
  </si>
  <si>
    <t>Jobmaster</t>
  </si>
  <si>
    <t>Swing Door parts</t>
  </si>
  <si>
    <t>Magnetic Strip 3/8" wide</t>
  </si>
  <si>
    <t>Nicholson &amp; Cates</t>
  </si>
  <si>
    <t xml:space="preserve">Wood </t>
  </si>
  <si>
    <t>Crating Wood</t>
  </si>
  <si>
    <t>pieces</t>
  </si>
  <si>
    <t>3/4" Oriented Strand Board (OSB)</t>
  </si>
  <si>
    <t>4X8ft</t>
  </si>
  <si>
    <t xml:space="preserve">sheet </t>
  </si>
  <si>
    <t>2" x 2" x 6"</t>
  </si>
  <si>
    <t>2" x 6" x 8"</t>
  </si>
  <si>
    <t>3/4" x 48" x96" Plywood</t>
  </si>
  <si>
    <t>Home Depot</t>
  </si>
  <si>
    <t>7/16" OSB</t>
  </si>
  <si>
    <t>Set</t>
  </si>
  <si>
    <t>K56 Strike Chrome  3/4 x 1-5/8</t>
  </si>
  <si>
    <t>K56 Strike Chrome  1-3/4 x 2-1/2</t>
  </si>
  <si>
    <t>K59 Strike Chrome  1/8 Bel x 1/4</t>
  </si>
  <si>
    <t>K59 Strike Chrome  3/4 x 1-5/8</t>
  </si>
  <si>
    <t>Heat Vent 4"</t>
  </si>
  <si>
    <t>Hydraulic Door Closer</t>
  </si>
  <si>
    <t>LCN - 1460 Interior Mounted</t>
  </si>
  <si>
    <t>Flush Hook</t>
  </si>
  <si>
    <t>Hook Overlap Chr 1-1/8</t>
  </si>
  <si>
    <t>Pinacle Steels</t>
  </si>
  <si>
    <t xml:space="preserve">Tubing </t>
  </si>
  <si>
    <t>S. Steel tubing for rails on Sliding door</t>
  </si>
  <si>
    <t>Howe Precision</t>
  </si>
  <si>
    <t>Dekko</t>
  </si>
  <si>
    <t>1R</t>
  </si>
  <si>
    <t>FT</t>
  </si>
  <si>
    <t>1.4R</t>
  </si>
  <si>
    <t>1.5R</t>
  </si>
  <si>
    <t>1.7R</t>
  </si>
  <si>
    <t>1.8R</t>
  </si>
  <si>
    <t>2 R</t>
  </si>
  <si>
    <t>2.5R</t>
  </si>
  <si>
    <t>3 R</t>
  </si>
  <si>
    <t>3.5 R</t>
  </si>
  <si>
    <t>4 R</t>
  </si>
  <si>
    <t>4.5 R</t>
  </si>
  <si>
    <t>5 R</t>
  </si>
  <si>
    <t>5.6 R</t>
  </si>
  <si>
    <t>6 R</t>
  </si>
  <si>
    <t>6.8R</t>
  </si>
  <si>
    <t>7R</t>
  </si>
  <si>
    <t>8R</t>
  </si>
  <si>
    <t>10R</t>
  </si>
  <si>
    <t>11.5R</t>
  </si>
  <si>
    <t>16R</t>
  </si>
  <si>
    <t>18R</t>
  </si>
  <si>
    <t>20R</t>
  </si>
  <si>
    <t>25R</t>
  </si>
  <si>
    <t>30R</t>
  </si>
  <si>
    <t>38R</t>
  </si>
  <si>
    <t>40R</t>
  </si>
  <si>
    <t>52R</t>
  </si>
  <si>
    <t>58R</t>
  </si>
  <si>
    <t>Tevelec</t>
  </si>
  <si>
    <t>16/3 SJOOW</t>
  </si>
  <si>
    <t>Meter</t>
  </si>
  <si>
    <t>18/4 SJOOW</t>
  </si>
  <si>
    <t>16 gauge White</t>
  </si>
  <si>
    <t>Spool</t>
  </si>
  <si>
    <t>16 gauge Black</t>
  </si>
  <si>
    <t>16 gauge Green</t>
  </si>
  <si>
    <t>M.Y Products</t>
  </si>
  <si>
    <t>Electrical part</t>
  </si>
  <si>
    <t>Bushing  #6  SB 500-6</t>
  </si>
  <si>
    <t>Yellow Marrett  #33</t>
  </si>
  <si>
    <t>#8 Non-Insulated Ring Terminals, 16-14</t>
  </si>
  <si>
    <t>Non Insulated Terminal Butt Connector 22-16, Aluminum Material</t>
  </si>
  <si>
    <t>Partially Insulated Ring Terminals..(0.58)</t>
  </si>
  <si>
    <t xml:space="preserve">1/2" EMT Set Screw Connector Zinc  </t>
  </si>
  <si>
    <t xml:space="preserve">1/2" EMT Set Screw Coupling Zinc  </t>
  </si>
  <si>
    <t xml:space="preserve">3/4" EMT Set Screw Coupling Zinc  </t>
  </si>
  <si>
    <t xml:space="preserve">3/4" EMT Set Screw Connector Zinc  </t>
  </si>
  <si>
    <t xml:space="preserve">City Electric </t>
  </si>
  <si>
    <t>S/S One Gang for One Duplex Receptacle Wall Plate   SL 18</t>
  </si>
  <si>
    <t>White Plastic Wall Plate for Toggle Switch..</t>
  </si>
  <si>
    <t>1G Single Blank Wall Plate 430 S/S</t>
  </si>
  <si>
    <t>Duplex Receptacle White Cover Plastic Covers</t>
  </si>
  <si>
    <t>M.Y. Prodcuts</t>
  </si>
  <si>
    <t>16/4 Curly wire - 4ft</t>
  </si>
  <si>
    <t>M.Y.Products</t>
  </si>
  <si>
    <t>4" X 2-3/4" X 1-7/8"</t>
  </si>
  <si>
    <t>SS Plain Cover</t>
  </si>
  <si>
    <t>SS Receptacle Cover</t>
  </si>
  <si>
    <t>Plastic Receptacle Cover</t>
  </si>
  <si>
    <t>Wolfpack</t>
  </si>
  <si>
    <t>Plastic Stretch Wrap</t>
  </si>
  <si>
    <t>roll</t>
  </si>
  <si>
    <t>IHL</t>
  </si>
  <si>
    <t>Tape</t>
  </si>
  <si>
    <t>Aluminium Tape</t>
  </si>
  <si>
    <t>box</t>
  </si>
  <si>
    <t>Masking Tape</t>
  </si>
  <si>
    <t>Crating Tape</t>
  </si>
  <si>
    <t>Incom</t>
  </si>
  <si>
    <t>Gator Grip Anti-Slip Tape, 60 Grit, 1" x 60'</t>
  </si>
  <si>
    <t>Roll</t>
  </si>
  <si>
    <t>tube</t>
  </si>
  <si>
    <t xml:space="preserve">Clear </t>
  </si>
  <si>
    <t xml:space="preserve">Aluminium  </t>
  </si>
  <si>
    <t>Harware Agencies</t>
  </si>
  <si>
    <t>Wind Chains</t>
  </si>
  <si>
    <t xml:space="preserve">piece </t>
  </si>
  <si>
    <t>Interior Door Closer</t>
  </si>
  <si>
    <t>Exit Device Aluminum</t>
  </si>
  <si>
    <t>Concord Hardware</t>
  </si>
  <si>
    <t>5"  Spring Bolt</t>
  </si>
  <si>
    <t>Cane Bolt 12" Zinc Plated</t>
  </si>
  <si>
    <t>Sliding door parts</t>
  </si>
  <si>
    <t>Millomat</t>
  </si>
  <si>
    <t>SS tube</t>
  </si>
  <si>
    <t xml:space="preserve">per ft. </t>
  </si>
  <si>
    <t>Main Roller</t>
  </si>
  <si>
    <t>pair</t>
  </si>
  <si>
    <t>Bottom Stay Roller</t>
  </si>
  <si>
    <t>Aluminum Frame bracket</t>
  </si>
  <si>
    <t>Wood Frame bracket</t>
  </si>
  <si>
    <t>Electric door bracket</t>
  </si>
  <si>
    <t>Tension Bracket</t>
  </si>
  <si>
    <t>Coldtech</t>
  </si>
  <si>
    <t>Guide Latch/Catch Set</t>
  </si>
  <si>
    <t xml:space="preserve">set </t>
  </si>
  <si>
    <t>Reversible Lock</t>
  </si>
  <si>
    <t>RBI</t>
  </si>
  <si>
    <t>Tech RB   1614-2RS  Bearing</t>
  </si>
  <si>
    <t>#40 RVI Chain</t>
  </si>
  <si>
    <t>Roller chain connecting link for 40-1R</t>
  </si>
  <si>
    <t>Sprocket  H40B14 x 1"</t>
  </si>
  <si>
    <t>Sliding Door End Cap, 60MM RD 1.030 GA Polish LDPE Black</t>
  </si>
  <si>
    <t>Protective packaging</t>
  </si>
  <si>
    <t>Protection flim</t>
  </si>
  <si>
    <t>Protective film for white coils</t>
  </si>
  <si>
    <t>Hightower</t>
  </si>
  <si>
    <t xml:space="preserve">Mold Release </t>
  </si>
  <si>
    <t xml:space="preserve">Foam mold release </t>
  </si>
  <si>
    <t>drum</t>
  </si>
  <si>
    <t>SK Food</t>
  </si>
  <si>
    <t>Cords Canada</t>
  </si>
  <si>
    <t>Window accessories</t>
  </si>
  <si>
    <t>802 Tree Clips (xmas tree Fastner)..1 Box of 1000</t>
  </si>
  <si>
    <t>Reinforced Ceiling Support</t>
  </si>
  <si>
    <t xml:space="preserve">Punched Channel </t>
  </si>
  <si>
    <t xml:space="preserve">Crating Wood </t>
  </si>
  <si>
    <t xml:space="preserve">16ft Lumber (1/4 inch thick) </t>
  </si>
  <si>
    <t>Helmitin</t>
  </si>
  <si>
    <t>Glue</t>
  </si>
  <si>
    <t>Red Glue</t>
  </si>
  <si>
    <t>pail</t>
  </si>
  <si>
    <t>White Glue</t>
  </si>
  <si>
    <t>Golden Supply</t>
  </si>
  <si>
    <t xml:space="preserve">Gloves </t>
  </si>
  <si>
    <t>Chemical gloves (Green)</t>
  </si>
  <si>
    <t>dozen</t>
  </si>
  <si>
    <t>Nitrile gloves</t>
  </si>
  <si>
    <t>Cut Resistant gloves (blue)</t>
  </si>
  <si>
    <t>Multi purpose gloves (Gray)</t>
  </si>
  <si>
    <t>Leather gloves</t>
  </si>
  <si>
    <t>Coldmatics - Approx. Labor Installation Time for Door Parts and Options</t>
  </si>
  <si>
    <t>Labour Overhead Cost Rate (Est.)</t>
  </si>
  <si>
    <t>Labour Overhead Sell Rate (Est.)</t>
  </si>
  <si>
    <t xml:space="preserve">Sr. No. </t>
  </si>
  <si>
    <t xml:space="preserve">Part Category - Installation </t>
  </si>
  <si>
    <t xml:space="preserve">Parts Details </t>
  </si>
  <si>
    <t>Labor Time for Installation (Min)</t>
  </si>
  <si>
    <t xml:space="preserve">Kick Plate Installation </t>
  </si>
  <si>
    <t xml:space="preserve">One side - up to 5ft. </t>
  </si>
  <si>
    <t xml:space="preserve">One side - between 5ft. - 6.25ft </t>
  </si>
  <si>
    <t xml:space="preserve">ViewPort Window Installation - Cooler </t>
  </si>
  <si>
    <t xml:space="preserve">ViewPort Window Installation - Cooler + Heated </t>
  </si>
  <si>
    <t>3/4" x 15" x 21"</t>
  </si>
  <si>
    <t>ViewPort Window Installation - Heated Freezer</t>
  </si>
  <si>
    <t>Heated3/4" x 14" x 16"</t>
  </si>
  <si>
    <t>Heated1-3/8 X 14" X 16"</t>
  </si>
  <si>
    <t>Heated3/4" x 15" x 21"</t>
  </si>
  <si>
    <t xml:space="preserve">Heated1-3/8 X 15" X 21" </t>
  </si>
  <si>
    <t xml:space="preserve">Hinge Installation </t>
  </si>
  <si>
    <t>Hinge + Tamper Proof</t>
  </si>
  <si>
    <t>Takes about 7 tamper proof screws per hinge</t>
  </si>
  <si>
    <t>Latch (Door handle + Latch)</t>
  </si>
  <si>
    <t xml:space="preserve">Latch </t>
  </si>
  <si>
    <t xml:space="preserve">Interior Release Installation </t>
  </si>
  <si>
    <t xml:space="preserve">Standard (Half moon) </t>
  </si>
  <si>
    <t xml:space="preserve">Gaskets - Sliding </t>
  </si>
  <si>
    <t xml:space="preserve">Double gasket </t>
  </si>
  <si>
    <t xml:space="preserve">Bottom Sweep - Swing Cooler </t>
  </si>
  <si>
    <t xml:space="preserve">Bottom Sweep - Swing Freezer </t>
  </si>
  <si>
    <t>Run the heating wire</t>
  </si>
  <si>
    <t xml:space="preserve">Retainer - Swing Gasket </t>
  </si>
  <si>
    <t xml:space="preserve">Retainer - Slider gasket </t>
  </si>
  <si>
    <t>Weather Seals - Sliding door - Cooler</t>
  </si>
  <si>
    <t>3" wide + 4" wide - Double layered</t>
  </si>
  <si>
    <t xml:space="preserve">Weather Seals - Sliding door - Freezer </t>
  </si>
  <si>
    <t>3" wide + 6" wide - Double layered</t>
  </si>
  <si>
    <t>Total One Package</t>
  </si>
  <si>
    <t xml:space="preserve">Vent - Door </t>
  </si>
  <si>
    <t xml:space="preserve">Curly wire + SS cover + 2 waterproof connector </t>
  </si>
  <si>
    <t xml:space="preserve">Vent - Frame </t>
  </si>
  <si>
    <t xml:space="preserve">Heat Trace Wire </t>
  </si>
  <si>
    <t xml:space="preserve">Per Frame upto 4ft </t>
  </si>
  <si>
    <t>Per Frame upto 10ft</t>
  </si>
  <si>
    <t>Per Frame upto 20ft</t>
  </si>
  <si>
    <t xml:space="preserve">Electrical Wire </t>
  </si>
  <si>
    <t>Panel - will take receptacle box and this should be premiem sell item - Ensure that Mark-up</t>
  </si>
  <si>
    <t xml:space="preserve">SS Tube up to 4 ft </t>
  </si>
  <si>
    <t xml:space="preserve">SS Tube up to 4 ft - Motor </t>
  </si>
  <si>
    <t>SS Tube up to 10ft</t>
  </si>
  <si>
    <t xml:space="preserve">SS Tube up to 10ft - Motor </t>
  </si>
  <si>
    <t xml:space="preserve">SS Tube - 14 ft </t>
  </si>
  <si>
    <t>Bottom Stay Roller - U Channel (Galv. 16 Ga) - up to 4ft</t>
  </si>
  <si>
    <t>Bottom Stay Roller - U Channel (Galv. 16 Ga) - up to 10ft</t>
  </si>
  <si>
    <t xml:space="preserve">Aluminum Frame bracket - up to 4ft </t>
  </si>
  <si>
    <t>Aluminum Frame bracket - up to 10ft</t>
  </si>
  <si>
    <t xml:space="preserve">Wood Frame bracket - up to 4ft </t>
  </si>
  <si>
    <t xml:space="preserve">Wood Frame bracket - up to 10ft </t>
  </si>
  <si>
    <t>Electric door bracket (Door closer) up to 4ft</t>
  </si>
  <si>
    <t>Electric door bracket (Door closer) up to 10ft</t>
  </si>
  <si>
    <t xml:space="preserve">Pull Cord </t>
  </si>
  <si>
    <t>Door Closer (Mounted on site)</t>
  </si>
  <si>
    <t>Cane Bolt</t>
  </si>
  <si>
    <t xml:space="preserve">Cane Bolt - BiParting door </t>
  </si>
  <si>
    <t>Rain hood / Canopy</t>
  </si>
  <si>
    <t xml:space="preserve">Hood - Canopy - Swing </t>
  </si>
  <si>
    <t xml:space="preserve">Hood - Canopy - Sliding </t>
  </si>
  <si>
    <t>Step Sill</t>
  </si>
  <si>
    <t xml:space="preserve">Step Sill </t>
  </si>
  <si>
    <t xml:space="preserve">Infitting door </t>
  </si>
  <si>
    <t xml:space="preserve">Metal cutting </t>
  </si>
  <si>
    <t>Frame const.</t>
  </si>
  <si>
    <t xml:space="preserve">Set-up foaming </t>
  </si>
  <si>
    <t xml:space="preserve">Cleaning </t>
  </si>
  <si>
    <t>Wood Frame (Extra Time) vs Aluminium</t>
  </si>
  <si>
    <t>Frame</t>
  </si>
  <si>
    <t>Wood/HDPE</t>
  </si>
  <si>
    <t>W (inch.)</t>
  </si>
  <si>
    <t>H (inch.)</t>
  </si>
  <si>
    <t>Sq. Inches</t>
  </si>
  <si>
    <t>Size (inch. 2)</t>
  </si>
  <si>
    <t>Labour Time (mins.)</t>
  </si>
  <si>
    <t>Labour Cost</t>
  </si>
  <si>
    <t xml:space="preserve">Aluminium Frame Factor </t>
  </si>
  <si>
    <t>Swing</t>
  </si>
  <si>
    <t>Sliding</t>
  </si>
  <si>
    <t>BiParting</t>
  </si>
  <si>
    <t>SELL RATE</t>
  </si>
  <si>
    <t>L (inch.)</t>
  </si>
  <si>
    <t>Material Mark-up</t>
  </si>
  <si>
    <t>Labor Mark-up</t>
  </si>
  <si>
    <t xml:space="preserve">Mark-up </t>
  </si>
  <si>
    <t>Manual Sliding door - Single horizontal slide</t>
  </si>
  <si>
    <t>Overlap Doors - Swing door</t>
  </si>
  <si>
    <t xml:space="preserve">Room </t>
  </si>
  <si>
    <t>DOOR TYPES</t>
  </si>
  <si>
    <t>Product Type</t>
  </si>
  <si>
    <t xml:space="preserve">Options </t>
  </si>
  <si>
    <t>Search Function</t>
  </si>
  <si>
    <t>Material/Option Type</t>
  </si>
  <si>
    <t>Main</t>
  </si>
  <si>
    <t>Option</t>
  </si>
  <si>
    <t>110V AC/1AMP Electric Defrost System</t>
  </si>
  <si>
    <t xml:space="preserve">208VAC/1AMP Electric Defrost system. </t>
  </si>
  <si>
    <t xml:space="preserve">575VAC/1AMP Electric Defrost system. </t>
  </si>
  <si>
    <t>Other</t>
  </si>
  <si>
    <t xml:space="preserve">Wallside </t>
  </si>
  <si>
    <t>Interior and Exterior</t>
  </si>
  <si>
    <t>Insulated</t>
  </si>
  <si>
    <t>Heated</t>
  </si>
  <si>
    <t>Photo Eye</t>
  </si>
  <si>
    <t>On Door</t>
  </si>
  <si>
    <t>On Frame</t>
  </si>
  <si>
    <t xml:space="preserve">Keyed Cylinder Lock </t>
  </si>
  <si>
    <t>Hood</t>
  </si>
  <si>
    <t>Customer PO</t>
  </si>
  <si>
    <t xml:space="preserve">Job Name: </t>
  </si>
  <si>
    <t>Date</t>
  </si>
  <si>
    <t>By</t>
  </si>
  <si>
    <t>Trim</t>
  </si>
  <si>
    <t>Exterior Trim - 2" X 2" (26 GA white stucco)</t>
  </si>
  <si>
    <t>Ryerson</t>
  </si>
  <si>
    <t>24 Ga. #304 Stainless steel - 2B Finish</t>
  </si>
  <si>
    <t>24 Ga. #304 Stainless steel - #4</t>
  </si>
  <si>
    <t>Exterior Trim - 2" X 5" (26 GA white stucco)</t>
  </si>
  <si>
    <t>Exterior Trim - 2" X 7" (26 GA white stucco)</t>
  </si>
  <si>
    <t>Exterior Trim - 2" X 2" (26 GA white smooth)</t>
  </si>
  <si>
    <t>Exterior Trim - 2" X 5" (26 GA white smooth)</t>
  </si>
  <si>
    <t>Exterior Trim - 2" X 7" (26 GA white smooth)</t>
  </si>
  <si>
    <t>Exterior Trim - 2" X 2" (26 GA SS)</t>
  </si>
  <si>
    <t>Exterior Trim - 2" X 5" (26 GA SS)</t>
  </si>
  <si>
    <t>Exterior Trim - 2" X 7" (26 GA SS)</t>
  </si>
  <si>
    <t>Interior Trim - 2" X 2" (26 GA white stucco)</t>
  </si>
  <si>
    <t>Interior Trim - 2" X 5" (26 GA white stucco)</t>
  </si>
  <si>
    <t>Interior Trim - 2" X 7" (26 GA white stucco)</t>
  </si>
  <si>
    <t>Interior Trim - 2" X 2" (26 GA white smooth)</t>
  </si>
  <si>
    <t>Interior Trim - 2" X 5" (26 GA white smooth)</t>
  </si>
  <si>
    <t>Interior Trim - 2" X 7" (26 GA white smooth)</t>
  </si>
  <si>
    <t>Interior Trim - 2" X 2" (26 GA SS)</t>
  </si>
  <si>
    <t>Interior Trim - 2" X 5" (26 GA SS)</t>
  </si>
  <si>
    <t>Interior Trim - 2" X 7" (26 GA SS)</t>
  </si>
  <si>
    <t>Cut-out</t>
  </si>
  <si>
    <t xml:space="preserve">Cut-outs </t>
  </si>
  <si>
    <t>per unit</t>
  </si>
  <si>
    <t>Ramp</t>
  </si>
  <si>
    <t>Room LED lights - 48"</t>
  </si>
  <si>
    <t xml:space="preserve">Threshold Plate </t>
  </si>
  <si>
    <t xml:space="preserve">per unit </t>
  </si>
  <si>
    <t>Material Interior</t>
  </si>
  <si>
    <t>Material Exterior</t>
  </si>
  <si>
    <t>Panel/Door Thickness (inch) - Cooler</t>
  </si>
  <si>
    <t>Panel/Door Thickness (inch) - Freezer</t>
  </si>
  <si>
    <t xml:space="preserve">Reinforced Material - HDPE </t>
  </si>
  <si>
    <t>Reinforced Floor - Wood</t>
  </si>
  <si>
    <t>Reinforced Floor - Plastic</t>
  </si>
  <si>
    <t>ROOM TYPE</t>
  </si>
  <si>
    <t>Room Type</t>
  </si>
  <si>
    <t xml:space="preserve">Ramp </t>
  </si>
  <si>
    <t>24 Ga. White - Stucco Embossed Finish</t>
  </si>
  <si>
    <t>U-Channel</t>
  </si>
  <si>
    <t xml:space="preserve">U-Channel - 3" </t>
  </si>
  <si>
    <t xml:space="preserve">U-Channel - 4" </t>
  </si>
  <si>
    <t xml:space="preserve">U-Channel - 5" </t>
  </si>
  <si>
    <t xml:space="preserve">U-Channel - 6" </t>
  </si>
  <si>
    <t xml:space="preserve">per inch. </t>
  </si>
  <si>
    <t>LED Lights</t>
  </si>
  <si>
    <t xml:space="preserve">Trims </t>
  </si>
  <si>
    <t xml:space="preserve">Cut out </t>
  </si>
  <si>
    <t xml:space="preserve">LED Lights </t>
  </si>
  <si>
    <t>Qty / Dimensions (per ft. or per inch)</t>
  </si>
  <si>
    <t xml:space="preserve">U-Channel per ft. </t>
  </si>
  <si>
    <r>
      <t xml:space="preserve">Ramp </t>
    </r>
    <r>
      <rPr>
        <b/>
        <sz val="10"/>
        <color rgb="FFFF0000"/>
        <rFont val="Calibri"/>
        <family val="2"/>
        <scheme val="minor"/>
      </rPr>
      <t xml:space="preserve">per inch. </t>
    </r>
  </si>
  <si>
    <r>
      <t xml:space="preserve">Cut-Outs </t>
    </r>
    <r>
      <rPr>
        <b/>
        <sz val="10"/>
        <color rgb="FFFF0000"/>
        <rFont val="Calibri"/>
        <family val="2"/>
        <scheme val="minor"/>
      </rPr>
      <t>per unit</t>
    </r>
  </si>
  <si>
    <r>
      <t xml:space="preserve">Trims </t>
    </r>
    <r>
      <rPr>
        <b/>
        <sz val="10"/>
        <color rgb="FFFF0000"/>
        <rFont val="Calibri"/>
        <family val="2"/>
        <scheme val="minor"/>
      </rPr>
      <t>per ft.</t>
    </r>
  </si>
  <si>
    <t>Purchase cost (CAD) - convert USD to CAD at 1.45</t>
  </si>
  <si>
    <t>Per unit</t>
  </si>
  <si>
    <t>Cost</t>
  </si>
  <si>
    <t>Purchase Cost</t>
  </si>
  <si>
    <t xml:space="preserve">Doors </t>
  </si>
  <si>
    <t xml:space="preserve">Account Mgr. Info. </t>
  </si>
  <si>
    <t>Quote Summary</t>
  </si>
  <si>
    <t xml:space="preserve">Cooler/Freezer </t>
  </si>
  <si>
    <t>Doors</t>
  </si>
  <si>
    <t>Door Sheet Number</t>
  </si>
  <si>
    <t>Quotation - Door 1</t>
  </si>
  <si>
    <t>Quotation - Door 2</t>
  </si>
  <si>
    <t>Quotation - Door 3</t>
  </si>
  <si>
    <t>Dimensions</t>
  </si>
  <si>
    <t xml:space="preserve">TOTAL </t>
  </si>
  <si>
    <t>Rooms</t>
  </si>
  <si>
    <t>Room Sheet</t>
  </si>
  <si>
    <t>Sq. ft</t>
  </si>
  <si>
    <t xml:space="preserve">Type (Ceiling / Floor) </t>
  </si>
  <si>
    <t>Single</t>
  </si>
  <si>
    <t>Main Folder</t>
  </si>
  <si>
    <t>Folder Creation Table</t>
  </si>
  <si>
    <t xml:space="preserve">Sub-Folders </t>
  </si>
  <si>
    <t>Estimate Info</t>
  </si>
  <si>
    <t>Invoicing</t>
  </si>
  <si>
    <t>Quote</t>
  </si>
  <si>
    <t>Folders within sub-folder</t>
  </si>
  <si>
    <t>Documentation</t>
  </si>
  <si>
    <t>Invoices</t>
  </si>
  <si>
    <t>Coldmatic POs</t>
  </si>
  <si>
    <t>Frost</t>
  </si>
  <si>
    <t>WIC with 38" X 78" infitting door</t>
  </si>
  <si>
    <t>PROJECT TOTAL</t>
  </si>
  <si>
    <t>Cam</t>
  </si>
  <si>
    <t>cam@frost.com</t>
  </si>
  <si>
    <t>123-456-7898</t>
  </si>
  <si>
    <t>AnupamB@coldmatic.com</t>
  </si>
  <si>
    <t>Lis</t>
  </si>
  <si>
    <t xml:space="preserve">Inspection </t>
  </si>
  <si>
    <t>SR-0511</t>
  </si>
  <si>
    <t xml:space="preserve">FACE / BACK and JAMB - FRAMING CALCULATION </t>
  </si>
  <si>
    <t xml:space="preserve">FOAMING CALCULATION </t>
  </si>
  <si>
    <t>DOOR SLAB</t>
  </si>
  <si>
    <t>Alum. Frame</t>
  </si>
  <si>
    <t xml:space="preserve">NEED To Talk in the next meeting </t>
  </si>
  <si>
    <t>FOAM CALCULATION</t>
  </si>
  <si>
    <t>ROOMS CALCULATION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</si>
</sst>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;[Red]\-&quot;$&quot;#,##0"/>
    <numFmt numFmtId="44" formatCode="_-&quot;$&quot;* #,##0.00_-;\-&quot;$&quot;* #,##0.00_-;_-&quot;$&quot;* &quot;-&quot;??_-;_-@_-"/>
    <numFmt numFmtId="164" formatCode="&quot;$&quot;#,##0.00"/>
    <numFmt numFmtId="165" formatCode="&quot;$&quot;#,##0"/>
    <numFmt numFmtId="166" formatCode="&quot;$&quot;#,##0.000"/>
    <numFmt numFmtId="167" formatCode="0.000"/>
    <numFmt numFmtId="168" formatCode="[$-409]d\-mmm\-yy;@"/>
    <numFmt numFmtId="169" formatCode="0.0"/>
    <numFmt numFmtId="170" formatCode="0.0%"/>
  </numFmts>
  <fonts count="6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trike/>
      <sz val="11"/>
      <color theme="1"/>
      <name val="Calibri"/>
      <family val="2"/>
      <scheme val="minor"/>
    </font>
    <font>
      <strike/>
      <sz val="12"/>
      <color theme="1"/>
      <name val="Calibri"/>
      <family val="2"/>
      <scheme val="minor"/>
    </font>
    <font>
      <b/>
      <strike/>
      <sz val="11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Segoe UI"/>
      <family val="2"/>
    </font>
    <font>
      <i/>
      <sz val="11"/>
      <color theme="1"/>
      <name val="Segoe UI"/>
      <family val="2"/>
    </font>
    <font>
      <sz val="11"/>
      <color theme="1"/>
      <name val="Segoe UI"/>
      <family val="2"/>
    </font>
    <font>
      <b/>
      <i/>
      <sz val="10"/>
      <color theme="1"/>
      <name val="Calibri"/>
      <family val="2"/>
      <scheme val="minor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sz val="9"/>
      <color rgb="FF000000"/>
      <name val="Verdana"/>
      <family val="2"/>
    </font>
    <font>
      <b/>
      <sz val="14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9"/>
      <color indexed="81"/>
      <name val="Tahoma"/>
      <family val="2"/>
    </font>
    <font>
      <b/>
      <strike/>
      <sz val="10"/>
      <color rgb="FF00000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trike/>
      <sz val="10"/>
      <color rgb="FFFF0000"/>
      <name val="Calibri"/>
      <family val="2"/>
      <scheme val="minor"/>
    </font>
    <font>
      <b/>
      <strike/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strike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trike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1" tint="0.49998474074526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</fills>
  <borders count="59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theme="3"/>
      </left>
      <right style="thin">
        <color auto="1"/>
      </right>
      <top style="medium">
        <color theme="3"/>
      </top>
      <bottom/>
      <diagonal/>
    </border>
    <border>
      <left style="thin">
        <color auto="1"/>
      </left>
      <right style="thin">
        <color auto="1"/>
      </right>
      <top style="medium">
        <color theme="3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medium">
        <color theme="3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9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  <xf numFmtId="0" fontId="6" fillId="0" borderId="0"/>
    <xf numFmtId="0" fontId="2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44" fontId="12" fillId="0" borderId="0" applyFont="0" applyFill="0" applyBorder="0" applyAlignment="0" applyProtection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</cellStyleXfs>
  <cellXfs count="1025">
    <xf numFmtId="0" fontId="0" fillId="0" borderId="0" xfId="0"/>
    <xf numFmtId="0" fontId="18" fillId="9" borderId="11" xfId="34" applyFont="1" applyFill="1" applyBorder="1" applyAlignment="1">
      <alignment horizontal="center" vertical="center"/>
    </xf>
    <xf numFmtId="0" fontId="18" fillId="9" borderId="12" xfId="34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5" fillId="0" borderId="3" xfId="0" applyFont="1" applyBorder="1" applyAlignment="1">
      <alignment horizontal="center" vertical="center"/>
    </xf>
    <xf numFmtId="0" fontId="28" fillId="0" borderId="3" xfId="0" applyFont="1" applyBorder="1" applyAlignment="1" applyProtection="1">
      <alignment vertical="center"/>
      <protection locked="0"/>
    </xf>
    <xf numFmtId="0" fontId="29" fillId="0" borderId="3" xfId="0" applyFont="1" applyBorder="1" applyAlignment="1" applyProtection="1">
      <alignment vertical="center" wrapText="1"/>
      <protection locked="0"/>
    </xf>
    <xf numFmtId="0" fontId="29" fillId="0" borderId="3" xfId="0" applyFont="1" applyBorder="1" applyAlignment="1" applyProtection="1">
      <alignment horizontal="left" vertical="center" wrapText="1"/>
      <protection locked="0"/>
    </xf>
    <xf numFmtId="0" fontId="27" fillId="4" borderId="3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vertical="center"/>
    </xf>
    <xf numFmtId="0" fontId="0" fillId="0" borderId="3" xfId="0" applyBorder="1"/>
    <xf numFmtId="0" fontId="7" fillId="0" borderId="3" xfId="0" applyFont="1" applyBorder="1" applyAlignment="1" applyProtection="1">
      <alignment horizontal="center" vertical="center"/>
      <protection locked="0"/>
    </xf>
    <xf numFmtId="0" fontId="0" fillId="14" borderId="3" xfId="0" applyFill="1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7" fillId="0" borderId="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" xfId="0" applyBorder="1" applyAlignment="1">
      <alignment vertical="center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8" fillId="18" borderId="3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0" borderId="3" xfId="0" applyBorder="1" applyAlignment="1" applyProtection="1">
      <alignment horizontal="center" vertical="center"/>
      <protection locked="0"/>
    </xf>
    <xf numFmtId="2" fontId="0" fillId="0" borderId="3" xfId="0" applyNumberFormat="1" applyBorder="1" applyAlignment="1">
      <alignment horizontal="center" vertical="center"/>
    </xf>
    <xf numFmtId="0" fontId="18" fillId="15" borderId="3" xfId="0" applyFont="1" applyFill="1" applyBorder="1" applyAlignment="1" applyProtection="1">
      <alignment horizontal="left" vertical="center"/>
      <protection locked="0"/>
    </xf>
    <xf numFmtId="0" fontId="18" fillId="15" borderId="3" xfId="0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164" fontId="0" fillId="20" borderId="3" xfId="0" applyNumberFormat="1" applyFill="1" applyBorder="1" applyAlignment="1">
      <alignment horizontal="center" vertical="center"/>
    </xf>
    <xf numFmtId="0" fontId="0" fillId="20" borderId="3" xfId="0" applyFill="1" applyBorder="1" applyAlignment="1">
      <alignment horizontal="center" vertical="center"/>
    </xf>
    <xf numFmtId="0" fontId="31" fillId="6" borderId="3" xfId="0" applyFont="1" applyFill="1" applyBorder="1" applyAlignment="1" applyProtection="1">
      <alignment vertical="center"/>
      <protection locked="0"/>
    </xf>
    <xf numFmtId="0" fontId="31" fillId="6" borderId="3" xfId="0" applyFont="1" applyFill="1" applyBorder="1" applyAlignment="1" applyProtection="1">
      <alignment horizontal="left" vertical="center" wrapText="1"/>
      <protection locked="0"/>
    </xf>
    <xf numFmtId="0" fontId="31" fillId="6" borderId="3" xfId="0" applyFont="1" applyFill="1" applyBorder="1" applyAlignment="1" applyProtection="1">
      <alignment horizontal="center" vertical="center"/>
      <protection locked="0"/>
    </xf>
    <xf numFmtId="0" fontId="31" fillId="6" borderId="3" xfId="0" applyFont="1" applyFill="1" applyBorder="1" applyAlignment="1" applyProtection="1">
      <alignment horizontal="right" vertical="center"/>
      <protection locked="0"/>
    </xf>
    <xf numFmtId="0" fontId="32" fillId="0" borderId="3" xfId="0" applyFont="1" applyBorder="1" applyAlignment="1" applyProtection="1">
      <alignment vertical="center"/>
      <protection locked="0"/>
    </xf>
    <xf numFmtId="0" fontId="32" fillId="0" borderId="3" xfId="0" applyFont="1" applyBorder="1" applyAlignment="1" applyProtection="1">
      <alignment horizontal="left" vertical="center" wrapText="1"/>
      <protection locked="0"/>
    </xf>
    <xf numFmtId="0" fontId="32" fillId="0" borderId="3" xfId="0" applyFont="1" applyBorder="1" applyAlignment="1" applyProtection="1">
      <alignment horizontal="center" vertical="center"/>
      <protection locked="0"/>
    </xf>
    <xf numFmtId="9" fontId="32" fillId="0" borderId="3" xfId="33" applyFont="1" applyBorder="1" applyAlignment="1" applyProtection="1">
      <alignment horizontal="center" vertical="center"/>
      <protection locked="0"/>
    </xf>
    <xf numFmtId="164" fontId="32" fillId="0" borderId="3" xfId="0" applyNumberFormat="1" applyFont="1" applyBorder="1" applyAlignment="1">
      <alignment horizontal="right" vertical="center"/>
    </xf>
    <xf numFmtId="164" fontId="33" fillId="17" borderId="3" xfId="0" applyNumberFormat="1" applyFont="1" applyFill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30" fillId="0" borderId="4" xfId="0" applyFont="1" applyBorder="1" applyAlignment="1" applyProtection="1">
      <alignment vertical="center" wrapText="1"/>
      <protection locked="0"/>
    </xf>
    <xf numFmtId="0" fontId="11" fillId="0" borderId="3" xfId="0" applyFont="1" applyBorder="1" applyAlignment="1" applyProtection="1">
      <alignment vertical="center"/>
      <protection locked="0"/>
    </xf>
    <xf numFmtId="0" fontId="7" fillId="0" borderId="3" xfId="0" applyFont="1" applyBorder="1" applyAlignment="1" applyProtection="1">
      <alignment vertical="center"/>
      <protection locked="0"/>
    </xf>
    <xf numFmtId="0" fontId="7" fillId="9" borderId="3" xfId="0" applyFont="1" applyFill="1" applyBorder="1" applyAlignment="1" applyProtection="1">
      <alignment vertical="center"/>
      <protection locked="0"/>
    </xf>
    <xf numFmtId="0" fontId="0" fillId="16" borderId="3" xfId="0" applyFill="1" applyBorder="1" applyAlignment="1" applyProtection="1">
      <alignment vertical="center"/>
      <protection locked="0"/>
    </xf>
    <xf numFmtId="0" fontId="18" fillId="0" borderId="3" xfId="0" applyFont="1" applyBorder="1" applyAlignment="1" applyProtection="1">
      <alignment vertical="center"/>
      <protection locked="0"/>
    </xf>
    <xf numFmtId="0" fontId="7" fillId="0" borderId="6" xfId="0" applyFont="1" applyBorder="1" applyAlignment="1">
      <alignment vertical="center"/>
    </xf>
    <xf numFmtId="0" fontId="0" fillId="16" borderId="9" xfId="0" applyFill="1" applyBorder="1" applyAlignment="1" applyProtection="1">
      <alignment vertical="center"/>
      <protection locked="0"/>
    </xf>
    <xf numFmtId="0" fontId="0" fillId="16" borderId="0" xfId="0" applyFill="1" applyAlignment="1" applyProtection="1">
      <alignment horizontal="left" vertical="center" wrapText="1"/>
      <protection locked="0"/>
    </xf>
    <xf numFmtId="0" fontId="0" fillId="16" borderId="0" xfId="0" applyFill="1" applyAlignment="1" applyProtection="1">
      <alignment vertical="center"/>
      <protection locked="0"/>
    </xf>
    <xf numFmtId="0" fontId="18" fillId="4" borderId="3" xfId="0" applyFont="1" applyFill="1" applyBorder="1" applyAlignment="1" applyProtection="1">
      <alignment horizontal="left" vertical="center"/>
      <protection locked="0"/>
    </xf>
    <xf numFmtId="0" fontId="28" fillId="0" borderId="3" xfId="0" applyFont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0" xfId="0" applyProtection="1"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13" fillId="7" borderId="3" xfId="0" applyFont="1" applyFill="1" applyBorder="1" applyProtection="1">
      <protection locked="0"/>
    </xf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 vertical="center"/>
    </xf>
    <xf numFmtId="0" fontId="11" fillId="7" borderId="3" xfId="0" applyFont="1" applyFill="1" applyBorder="1" applyAlignment="1" applyProtection="1">
      <alignment horizontal="left" indent="2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6" xfId="0" applyBorder="1" applyAlignment="1">
      <alignment vertical="center"/>
    </xf>
    <xf numFmtId="0" fontId="35" fillId="0" borderId="3" xfId="0" applyFont="1" applyBorder="1" applyAlignment="1">
      <alignment horizontal="left" vertical="center" indent="2"/>
    </xf>
    <xf numFmtId="0" fontId="7" fillId="0" borderId="0" xfId="0" applyFont="1" applyAlignment="1">
      <alignment horizontal="center" vertical="center"/>
    </xf>
    <xf numFmtId="0" fontId="18" fillId="10" borderId="3" xfId="0" applyFont="1" applyFill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29" fillId="0" borderId="9" xfId="0" applyFont="1" applyBorder="1" applyAlignment="1">
      <alignment vertical="center" wrapText="1"/>
    </xf>
    <xf numFmtId="0" fontId="34" fillId="0" borderId="0" xfId="0" applyFont="1"/>
    <xf numFmtId="0" fontId="36" fillId="0" borderId="0" xfId="0" applyFont="1" applyAlignment="1">
      <alignment horizontal="right" vertical="center"/>
    </xf>
    <xf numFmtId="0" fontId="37" fillId="0" borderId="0" xfId="0" applyFont="1" applyAlignment="1">
      <alignment vertical="top" wrapText="1"/>
    </xf>
    <xf numFmtId="0" fontId="38" fillId="23" borderId="0" xfId="0" applyFont="1" applyFill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/>
    </xf>
    <xf numFmtId="0" fontId="18" fillId="0" borderId="0" xfId="0" applyFont="1" applyAlignment="1">
      <alignment horizontal="center"/>
    </xf>
    <xf numFmtId="164" fontId="18" fillId="0" borderId="0" xfId="0" applyNumberFormat="1" applyFont="1" applyAlignment="1">
      <alignment horizont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right" vertical="center"/>
    </xf>
    <xf numFmtId="0" fontId="41" fillId="0" borderId="9" xfId="0" applyFont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21" xfId="0" applyBorder="1" applyAlignment="1">
      <alignment wrapText="1"/>
    </xf>
    <xf numFmtId="0" fontId="42" fillId="0" borderId="9" xfId="0" applyFont="1" applyBorder="1" applyAlignment="1">
      <alignment vertical="center" wrapText="1"/>
    </xf>
    <xf numFmtId="0" fontId="42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0" fontId="29" fillId="0" borderId="18" xfId="0" applyFont="1" applyBorder="1" applyAlignment="1">
      <alignment vertical="top" wrapText="1"/>
    </xf>
    <xf numFmtId="0" fontId="29" fillId="0" borderId="19" xfId="0" applyFont="1" applyBorder="1" applyAlignment="1">
      <alignment vertical="top" wrapText="1"/>
    </xf>
    <xf numFmtId="0" fontId="29" fillId="0" borderId="19" xfId="0" applyFont="1" applyBorder="1" applyAlignment="1">
      <alignment vertical="center" wrapText="1"/>
    </xf>
    <xf numFmtId="0" fontId="29" fillId="0" borderId="23" xfId="0" applyFont="1" applyBorder="1" applyAlignment="1">
      <alignment vertical="center" wrapText="1"/>
    </xf>
    <xf numFmtId="0" fontId="29" fillId="0" borderId="28" xfId="0" applyFont="1" applyBorder="1" applyAlignment="1">
      <alignment vertical="center" wrapText="1"/>
    </xf>
    <xf numFmtId="0" fontId="30" fillId="0" borderId="24" xfId="0" applyFont="1" applyBorder="1" applyAlignment="1">
      <alignment vertical="center" wrapText="1"/>
    </xf>
    <xf numFmtId="0" fontId="30" fillId="0" borderId="2" xfId="0" applyFont="1" applyBorder="1" applyAlignment="1">
      <alignment vertical="top" wrapText="1"/>
    </xf>
    <xf numFmtId="0" fontId="18" fillId="24" borderId="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18" fillId="12" borderId="3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vertical="top"/>
    </xf>
    <xf numFmtId="0" fontId="0" fillId="0" borderId="3" xfId="0" applyBorder="1" applyAlignment="1">
      <alignment horizontal="left" vertical="center"/>
    </xf>
    <xf numFmtId="0" fontId="18" fillId="0" borderId="3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wrapText="1"/>
    </xf>
    <xf numFmtId="0" fontId="0" fillId="0" borderId="4" xfId="0" applyBorder="1" applyAlignment="1">
      <alignment vertical="center" wrapText="1"/>
    </xf>
    <xf numFmtId="0" fontId="7" fillId="0" borderId="2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7" fillId="0" borderId="23" xfId="0" applyFont="1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left" vertical="center" wrapText="1"/>
    </xf>
    <xf numFmtId="0" fontId="18" fillId="20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17" borderId="3" xfId="0" applyFill="1" applyBorder="1" applyAlignment="1">
      <alignment horizontal="center" vertical="center" wrapText="1"/>
    </xf>
    <xf numFmtId="164" fontId="0" fillId="17" borderId="3" xfId="36" applyNumberFormat="1" applyFont="1" applyFill="1" applyBorder="1" applyAlignment="1">
      <alignment horizontal="center" vertical="center" wrapText="1"/>
    </xf>
    <xf numFmtId="164" fontId="0" fillId="0" borderId="3" xfId="0" applyNumberFormat="1" applyBorder="1" applyAlignment="1">
      <alignment horizontal="center" vertical="center" wrapText="1"/>
    </xf>
    <xf numFmtId="164" fontId="0" fillId="19" borderId="3" xfId="0" applyNumberFormat="1" applyFill="1" applyBorder="1" applyAlignment="1">
      <alignment horizontal="center" vertical="center" wrapText="1"/>
    </xf>
    <xf numFmtId="164" fontId="0" fillId="15" borderId="3" xfId="0" applyNumberFormat="1" applyFill="1" applyBorder="1" applyAlignment="1">
      <alignment horizontal="center" vertical="center" wrapText="1"/>
    </xf>
    <xf numFmtId="0" fontId="0" fillId="14" borderId="3" xfId="0" applyFill="1" applyBorder="1" applyAlignment="1">
      <alignment vertical="center" wrapText="1"/>
    </xf>
    <xf numFmtId="9" fontId="0" fillId="0" borderId="3" xfId="33" applyFont="1" applyBorder="1" applyAlignment="1">
      <alignment horizontal="center" vertical="center" wrapText="1"/>
    </xf>
    <xf numFmtId="0" fontId="0" fillId="4" borderId="3" xfId="0" applyFill="1" applyBorder="1" applyAlignment="1">
      <alignment horizontal="left" vertical="center" wrapText="1"/>
    </xf>
    <xf numFmtId="0" fontId="0" fillId="4" borderId="3" xfId="0" applyFill="1" applyBorder="1" applyAlignment="1">
      <alignment vertical="center" wrapText="1"/>
    </xf>
    <xf numFmtId="164" fontId="0" fillId="0" borderId="3" xfId="36" applyNumberFormat="1" applyFont="1" applyBorder="1" applyAlignment="1">
      <alignment horizontal="center" vertical="center" wrapText="1"/>
    </xf>
    <xf numFmtId="0" fontId="0" fillId="27" borderId="0" xfId="0" applyFill="1"/>
    <xf numFmtId="0" fontId="0" fillId="26" borderId="0" xfId="0" applyFill="1"/>
    <xf numFmtId="0" fontId="0" fillId="21" borderId="0" xfId="0" applyFill="1"/>
    <xf numFmtId="0" fontId="0" fillId="28" borderId="0" xfId="0" applyFill="1"/>
    <xf numFmtId="0" fontId="0" fillId="4" borderId="0" xfId="0" applyFill="1" applyAlignment="1">
      <alignment vertical="center"/>
    </xf>
    <xf numFmtId="164" fontId="0" fillId="7" borderId="3" xfId="0" applyNumberFormat="1" applyFill="1" applyBorder="1" applyAlignment="1">
      <alignment horizontal="center" vertical="center"/>
    </xf>
    <xf numFmtId="0" fontId="18" fillId="21" borderId="3" xfId="0" applyFont="1" applyFill="1" applyBorder="1" applyAlignment="1">
      <alignment horizontal="center" vertical="center" wrapText="1"/>
    </xf>
    <xf numFmtId="164" fontId="0" fillId="15" borderId="3" xfId="36" applyNumberFormat="1" applyFont="1" applyFill="1" applyBorder="1" applyAlignment="1">
      <alignment horizontal="center" vertical="center" wrapText="1"/>
    </xf>
    <xf numFmtId="0" fontId="44" fillId="25" borderId="24" xfId="0" applyFont="1" applyFill="1" applyBorder="1" applyAlignment="1">
      <alignment vertical="center" wrapText="1"/>
    </xf>
    <xf numFmtId="0" fontId="44" fillId="25" borderId="24" xfId="0" applyFont="1" applyFill="1" applyBorder="1" applyAlignment="1">
      <alignment vertical="center"/>
    </xf>
    <xf numFmtId="164" fontId="0" fillId="0" borderId="3" xfId="36" applyNumberFormat="1" applyFont="1" applyFill="1" applyBorder="1" applyAlignment="1">
      <alignment horizontal="center" vertical="center" wrapText="1"/>
    </xf>
    <xf numFmtId="9" fontId="0" fillId="0" borderId="3" xfId="33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0" fillId="18" borderId="3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7" fillId="4" borderId="3" xfId="0" applyFont="1" applyFill="1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3"/>
    </xf>
    <xf numFmtId="0" fontId="7" fillId="0" borderId="3" xfId="0" applyFont="1" applyBorder="1" applyAlignment="1">
      <alignment horizontal="center" wrapText="1"/>
    </xf>
    <xf numFmtId="0" fontId="0" fillId="14" borderId="3" xfId="0" applyFill="1" applyBorder="1" applyAlignment="1">
      <alignment horizontal="center"/>
    </xf>
    <xf numFmtId="165" fontId="0" fillId="7" borderId="3" xfId="0" applyNumberFormat="1" applyFill="1" applyBorder="1" applyAlignment="1">
      <alignment horizontal="center"/>
    </xf>
    <xf numFmtId="0" fontId="0" fillId="3" borderId="3" xfId="0" applyFill="1" applyBorder="1"/>
    <xf numFmtId="0" fontId="7" fillId="0" borderId="3" xfId="0" applyFont="1" applyBorder="1"/>
    <xf numFmtId="0" fontId="18" fillId="0" borderId="3" xfId="0" applyFont="1" applyBorder="1"/>
    <xf numFmtId="0" fontId="18" fillId="0" borderId="3" xfId="0" applyFont="1" applyBorder="1" applyAlignment="1">
      <alignment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wrapText="1"/>
    </xf>
    <xf numFmtId="0" fontId="0" fillId="24" borderId="0" xfId="0" applyFill="1" applyAlignment="1">
      <alignment vertical="center"/>
    </xf>
    <xf numFmtId="166" fontId="7" fillId="0" borderId="3" xfId="0" applyNumberFormat="1" applyFont="1" applyBorder="1" applyAlignment="1">
      <alignment horizontal="center" vertical="center"/>
    </xf>
    <xf numFmtId="9" fontId="0" fillId="0" borderId="3" xfId="33" applyFont="1" applyBorder="1" applyAlignment="1">
      <alignment horizontal="center" vertical="center"/>
    </xf>
    <xf numFmtId="0" fontId="7" fillId="13" borderId="3" xfId="0" applyFont="1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7" fillId="13" borderId="0" xfId="0" applyFont="1" applyFill="1" applyAlignment="1">
      <alignment horizontal="center" vertical="center"/>
    </xf>
    <xf numFmtId="0" fontId="45" fillId="0" borderId="3" xfId="0" applyFont="1" applyBorder="1" applyAlignment="1">
      <alignment horizontal="left" vertical="center"/>
    </xf>
    <xf numFmtId="0" fontId="7" fillId="30" borderId="0" xfId="0" applyFont="1" applyFill="1" applyAlignment="1">
      <alignment horizontal="left" vertical="center" wrapText="1"/>
    </xf>
    <xf numFmtId="0" fontId="0" fillId="30" borderId="3" xfId="0" applyFill="1" applyBorder="1" applyAlignment="1">
      <alignment horizontal="center" vertical="center"/>
    </xf>
    <xf numFmtId="0" fontId="28" fillId="0" borderId="3" xfId="0" applyFont="1" applyBorder="1" applyAlignment="1">
      <alignment vertical="center" wrapText="1"/>
    </xf>
    <xf numFmtId="0" fontId="7" fillId="12" borderId="0" xfId="0" applyFont="1" applyFill="1" applyAlignment="1">
      <alignment horizontal="left" vertical="center" wrapText="1"/>
    </xf>
    <xf numFmtId="167" fontId="0" fillId="13" borderId="3" xfId="0" applyNumberFormat="1" applyFill="1" applyBorder="1" applyAlignment="1">
      <alignment horizontal="left" vertical="center" wrapText="1"/>
    </xf>
    <xf numFmtId="2" fontId="0" fillId="13" borderId="3" xfId="0" applyNumberFormat="1" applyFill="1" applyBorder="1" applyAlignment="1">
      <alignment horizontal="left" vertical="center" wrapText="1"/>
    </xf>
    <xf numFmtId="0" fontId="0" fillId="12" borderId="3" xfId="0" applyFill="1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2"/>
    </xf>
    <xf numFmtId="164" fontId="0" fillId="0" borderId="0" xfId="0" applyNumberFormat="1"/>
    <xf numFmtId="0" fontId="0" fillId="0" borderId="3" xfId="0" applyBorder="1" applyAlignment="1">
      <alignment horizontal="center" wrapText="1"/>
    </xf>
    <xf numFmtId="9" fontId="0" fillId="3" borderId="3" xfId="33" applyFont="1" applyFill="1" applyBorder="1" applyAlignment="1">
      <alignment vertical="center"/>
    </xf>
    <xf numFmtId="164" fontId="0" fillId="0" borderId="0" xfId="0" applyNumberFormat="1" applyAlignment="1">
      <alignment vertical="center"/>
    </xf>
    <xf numFmtId="0" fontId="7" fillId="0" borderId="3" xfId="0" applyFont="1" applyBorder="1" applyAlignment="1">
      <alignment horizontal="left" vertical="center"/>
    </xf>
    <xf numFmtId="0" fontId="40" fillId="10" borderId="6" xfId="0" applyFont="1" applyFill="1" applyBorder="1" applyAlignment="1">
      <alignment vertical="center"/>
    </xf>
    <xf numFmtId="0" fontId="40" fillId="10" borderId="3" xfId="0" applyFont="1" applyFill="1" applyBorder="1" applyAlignment="1">
      <alignment vertical="center"/>
    </xf>
    <xf numFmtId="0" fontId="40" fillId="3" borderId="3" xfId="0" applyFont="1" applyFill="1" applyBorder="1" applyAlignment="1">
      <alignment horizontal="center" vertical="center"/>
    </xf>
    <xf numFmtId="0" fontId="40" fillId="0" borderId="6" xfId="0" applyFont="1" applyBorder="1" applyAlignment="1">
      <alignment vertical="center"/>
    </xf>
    <xf numFmtId="0" fontId="21" fillId="0" borderId="3" xfId="0" applyFont="1" applyBorder="1" applyAlignment="1">
      <alignment horizontal="left" vertical="center" wrapText="1"/>
    </xf>
    <xf numFmtId="0" fontId="21" fillId="0" borderId="3" xfId="0" applyFon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2" fontId="7" fillId="18" borderId="3" xfId="0" applyNumberFormat="1" applyFont="1" applyFill="1" applyBorder="1" applyAlignment="1">
      <alignment horizontal="center" vertical="center"/>
    </xf>
    <xf numFmtId="0" fontId="18" fillId="30" borderId="3" xfId="0" applyFont="1" applyFill="1" applyBorder="1" applyAlignment="1" applyProtection="1">
      <alignment horizontal="left" vertical="center"/>
      <protection locked="0"/>
    </xf>
    <xf numFmtId="0" fontId="18" fillId="10" borderId="3" xfId="0" applyFont="1" applyFill="1" applyBorder="1" applyAlignment="1" applyProtection="1">
      <alignment horizontal="left" vertical="center"/>
      <protection locked="0"/>
    </xf>
    <xf numFmtId="0" fontId="28" fillId="10" borderId="3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8" fillId="20" borderId="3" xfId="0" applyFont="1" applyFill="1" applyBorder="1" applyAlignment="1" applyProtection="1">
      <alignment horizontal="center" vertical="center"/>
      <protection locked="0"/>
    </xf>
    <xf numFmtId="0" fontId="18" fillId="6" borderId="3" xfId="0" applyFont="1" applyFill="1" applyBorder="1" applyAlignment="1" applyProtection="1">
      <alignment horizontal="center" vertical="center"/>
      <protection locked="0"/>
    </xf>
    <xf numFmtId="164" fontId="7" fillId="7" borderId="3" xfId="0" applyNumberFormat="1" applyFont="1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9" fontId="0" fillId="6" borderId="3" xfId="33" applyFont="1" applyFill="1" applyBorder="1" applyAlignment="1">
      <alignment horizontal="center" vertical="center"/>
    </xf>
    <xf numFmtId="9" fontId="7" fillId="7" borderId="3" xfId="33" applyFont="1" applyFill="1" applyBorder="1" applyAlignment="1">
      <alignment horizontal="center" vertical="center"/>
    </xf>
    <xf numFmtId="0" fontId="29" fillId="0" borderId="16" xfId="0" applyFont="1" applyBorder="1" applyAlignment="1">
      <alignment vertical="center" wrapText="1"/>
    </xf>
    <xf numFmtId="2" fontId="0" fillId="0" borderId="0" xfId="0" applyNumberFormat="1" applyAlignment="1">
      <alignment horizontal="center" vertical="center"/>
    </xf>
    <xf numFmtId="0" fontId="0" fillId="4" borderId="0" xfId="0" applyFill="1"/>
    <xf numFmtId="16" fontId="28" fillId="0" borderId="3" xfId="0" applyNumberFormat="1" applyFont="1" applyBorder="1" applyAlignment="1" applyProtection="1">
      <alignment vertical="center"/>
      <protection locked="0"/>
    </xf>
    <xf numFmtId="2" fontId="7" fillId="0" borderId="0" xfId="0" applyNumberFormat="1" applyFont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0" fontId="7" fillId="12" borderId="0" xfId="0" applyFont="1" applyFill="1" applyAlignment="1" applyProtection="1">
      <alignment horizontal="center" vertical="center" wrapText="1"/>
      <protection locked="0"/>
    </xf>
    <xf numFmtId="0" fontId="18" fillId="0" borderId="3" xfId="38" applyFont="1" applyBorder="1"/>
    <xf numFmtId="0" fontId="5" fillId="0" borderId="3" xfId="38" applyBorder="1"/>
    <xf numFmtId="165" fontId="0" fillId="4" borderId="3" xfId="0" applyNumberForma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wrapText="1"/>
    </xf>
    <xf numFmtId="0" fontId="5" fillId="0" borderId="3" xfId="38" applyBorder="1" applyAlignment="1">
      <alignment horizontal="center"/>
    </xf>
    <xf numFmtId="0" fontId="18" fillId="0" borderId="3" xfId="38" applyFont="1" applyBorder="1" applyAlignment="1">
      <alignment horizontal="center" wrapText="1"/>
    </xf>
    <xf numFmtId="165" fontId="0" fillId="0" borderId="3" xfId="0" applyNumberFormat="1" applyBorder="1" applyAlignment="1">
      <alignment horizontal="center"/>
    </xf>
    <xf numFmtId="0" fontId="7" fillId="14" borderId="16" xfId="0" applyFont="1" applyFill="1" applyBorder="1" applyAlignment="1" applyProtection="1">
      <alignment vertical="center" wrapText="1"/>
      <protection locked="0"/>
    </xf>
    <xf numFmtId="0" fontId="7" fillId="14" borderId="1" xfId="0" applyFont="1" applyFill="1" applyBorder="1" applyAlignment="1" applyProtection="1">
      <alignment vertical="center" wrapText="1"/>
      <protection locked="0"/>
    </xf>
    <xf numFmtId="0" fontId="7" fillId="14" borderId="0" xfId="0" applyFont="1" applyFill="1" applyAlignment="1" applyProtection="1">
      <alignment vertical="center" wrapText="1"/>
      <protection locked="0"/>
    </xf>
    <xf numFmtId="0" fontId="7" fillId="14" borderId="20" xfId="0" applyFont="1" applyFill="1" applyBorder="1" applyAlignment="1" applyProtection="1">
      <alignment vertical="center" wrapText="1"/>
      <protection locked="0"/>
    </xf>
    <xf numFmtId="0" fontId="23" fillId="0" borderId="3" xfId="0" applyFont="1" applyBorder="1" applyAlignment="1">
      <alignment horizontal="left" vertical="center" wrapText="1"/>
    </xf>
    <xf numFmtId="164" fontId="18" fillId="10" borderId="3" xfId="0" applyNumberFormat="1" applyFont="1" applyFill="1" applyBorder="1" applyAlignment="1">
      <alignment horizontal="center" vertical="center" wrapText="1"/>
    </xf>
    <xf numFmtId="164" fontId="0" fillId="0" borderId="20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46" fillId="0" borderId="3" xfId="0" applyNumberFormat="1" applyFont="1" applyBorder="1" applyAlignment="1">
      <alignment horizontal="center" vertical="center"/>
    </xf>
    <xf numFmtId="0" fontId="7" fillId="15" borderId="20" xfId="0" applyFont="1" applyFill="1" applyBorder="1" applyAlignment="1">
      <alignment horizontal="center" vertical="center" wrapText="1"/>
    </xf>
    <xf numFmtId="0" fontId="7" fillId="15" borderId="8" xfId="0" applyFont="1" applyFill="1" applyBorder="1" applyAlignment="1">
      <alignment vertical="center" wrapText="1"/>
    </xf>
    <xf numFmtId="0" fontId="7" fillId="15" borderId="13" xfId="0" applyFont="1" applyFill="1" applyBorder="1" applyAlignment="1">
      <alignment vertical="center" wrapText="1"/>
    </xf>
    <xf numFmtId="0" fontId="7" fillId="15" borderId="7" xfId="0" applyFont="1" applyFill="1" applyBorder="1" applyAlignment="1">
      <alignment vertical="center" wrapText="1"/>
    </xf>
    <xf numFmtId="0" fontId="5" fillId="4" borderId="3" xfId="38" applyFill="1" applyBorder="1" applyAlignment="1">
      <alignment horizontal="center"/>
    </xf>
    <xf numFmtId="0" fontId="5" fillId="4" borderId="3" xfId="38" applyFill="1" applyBorder="1"/>
    <xf numFmtId="165" fontId="0" fillId="4" borderId="3" xfId="0" applyNumberFormat="1" applyFill="1" applyBorder="1" applyAlignment="1">
      <alignment horizontal="center" vertical="center"/>
    </xf>
    <xf numFmtId="0" fontId="49" fillId="7" borderId="3" xfId="0" applyFont="1" applyFill="1" applyBorder="1" applyAlignment="1" applyProtection="1">
      <alignment horizontal="left" vertical="center"/>
      <protection locked="0"/>
    </xf>
    <xf numFmtId="0" fontId="50" fillId="0" borderId="3" xfId="0" applyFont="1" applyBorder="1" applyAlignment="1" applyProtection="1">
      <alignment horizontal="center" vertical="center"/>
      <protection locked="0"/>
    </xf>
    <xf numFmtId="0" fontId="50" fillId="0" borderId="3" xfId="0" applyFont="1" applyBorder="1" applyAlignment="1">
      <alignment horizontal="center" vertical="center"/>
    </xf>
    <xf numFmtId="0" fontId="49" fillId="7" borderId="3" xfId="0" applyFont="1" applyFill="1" applyBorder="1" applyAlignment="1" applyProtection="1">
      <alignment horizontal="left" vertical="center" wrapText="1"/>
      <protection locked="0"/>
    </xf>
    <xf numFmtId="0" fontId="49" fillId="7" borderId="3" xfId="0" applyFont="1" applyFill="1" applyBorder="1" applyAlignment="1" applyProtection="1">
      <alignment vertical="center" wrapText="1"/>
      <protection locked="0"/>
    </xf>
    <xf numFmtId="0" fontId="49" fillId="7" borderId="3" xfId="0" applyFont="1" applyFill="1" applyBorder="1" applyAlignment="1" applyProtection="1">
      <alignment vertical="center"/>
      <protection locked="0"/>
    </xf>
    <xf numFmtId="0" fontId="52" fillId="8" borderId="3" xfId="0" applyFont="1" applyFill="1" applyBorder="1" applyAlignment="1" applyProtection="1">
      <alignment horizontal="center" vertical="center" wrapText="1"/>
      <protection locked="0"/>
    </xf>
    <xf numFmtId="9" fontId="52" fillId="0" borderId="3" xfId="33" applyFont="1" applyBorder="1" applyAlignment="1" applyProtection="1">
      <alignment horizontal="center" vertical="center"/>
      <protection locked="0"/>
    </xf>
    <xf numFmtId="0" fontId="49" fillId="7" borderId="3" xfId="0" applyFont="1" applyFill="1" applyBorder="1" applyProtection="1">
      <protection locked="0"/>
    </xf>
    <xf numFmtId="0" fontId="17" fillId="0" borderId="3" xfId="0" applyFont="1" applyBorder="1" applyAlignment="1" applyProtection="1">
      <alignment vertical="center"/>
      <protection locked="0"/>
    </xf>
    <xf numFmtId="0" fontId="18" fillId="9" borderId="29" xfId="34" applyFont="1" applyFill="1" applyBorder="1" applyAlignment="1">
      <alignment horizontal="center" vertical="center"/>
    </xf>
    <xf numFmtId="0" fontId="16" fillId="9" borderId="11" xfId="34" applyFont="1" applyFill="1" applyBorder="1" applyAlignment="1">
      <alignment horizontal="left" vertical="center"/>
    </xf>
    <xf numFmtId="0" fontId="40" fillId="0" borderId="3" xfId="0" applyFont="1" applyBorder="1" applyAlignment="1" applyProtection="1">
      <alignment vertical="center"/>
      <protection locked="0"/>
    </xf>
    <xf numFmtId="16" fontId="40" fillId="0" borderId="3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40" fillId="0" borderId="3" xfId="0" applyFont="1" applyBorder="1" applyAlignment="1" applyProtection="1">
      <alignment horizontal="left" vertical="center"/>
      <protection locked="0"/>
    </xf>
    <xf numFmtId="0" fontId="16" fillId="0" borderId="3" xfId="0" applyFont="1" applyBorder="1"/>
    <xf numFmtId="0" fontId="15" fillId="0" borderId="0" xfId="0" applyFont="1" applyProtection="1">
      <protection locked="0"/>
    </xf>
    <xf numFmtId="0" fontId="15" fillId="16" borderId="3" xfId="0" applyFont="1" applyFill="1" applyBorder="1" applyAlignment="1" applyProtection="1">
      <alignment vertical="center"/>
      <protection locked="0"/>
    </xf>
    <xf numFmtId="164" fontId="50" fillId="0" borderId="3" xfId="0" applyNumberFormat="1" applyFont="1" applyBorder="1" applyAlignment="1">
      <alignment horizontal="center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9" borderId="6" xfId="0" applyFont="1" applyFill="1" applyBorder="1" applyAlignment="1" applyProtection="1">
      <alignment horizontal="left" vertical="center"/>
      <protection locked="0"/>
    </xf>
    <xf numFmtId="0" fontId="16" fillId="9" borderId="3" xfId="0" applyFont="1" applyFill="1" applyBorder="1" applyAlignment="1" applyProtection="1">
      <alignment vertical="center"/>
      <protection locked="0"/>
    </xf>
    <xf numFmtId="164" fontId="50" fillId="0" borderId="3" xfId="0" applyNumberFormat="1" applyFont="1" applyBorder="1" applyAlignment="1">
      <alignment horizontal="center" vertical="center"/>
    </xf>
    <xf numFmtId="0" fontId="15" fillId="14" borderId="6" xfId="0" applyFont="1" applyFill="1" applyBorder="1" applyAlignment="1" applyProtection="1">
      <alignment horizontal="left" vertical="center" wrapText="1"/>
      <protection locked="0"/>
    </xf>
    <xf numFmtId="0" fontId="15" fillId="0" borderId="3" xfId="0" applyFont="1" applyBorder="1" applyAlignment="1" applyProtection="1">
      <alignment vertical="center"/>
      <protection locked="0"/>
    </xf>
    <xf numFmtId="0" fontId="49" fillId="7" borderId="3" xfId="0" applyFont="1" applyFill="1" applyBorder="1" applyAlignment="1" applyProtection="1">
      <alignment horizontal="left" indent="2"/>
      <protection locked="0"/>
    </xf>
    <xf numFmtId="0" fontId="50" fillId="0" borderId="3" xfId="0" applyFont="1" applyBorder="1" applyAlignment="1">
      <alignment horizontal="center"/>
    </xf>
    <xf numFmtId="0" fontId="53" fillId="0" borderId="4" xfId="37" applyFont="1" applyBorder="1" applyAlignment="1" applyProtection="1">
      <alignment vertical="center" wrapText="1"/>
      <protection locked="0"/>
    </xf>
    <xf numFmtId="0" fontId="50" fillId="0" borderId="0" xfId="0" applyFont="1" applyAlignment="1">
      <alignment vertic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left" vertical="center" wrapText="1"/>
    </xf>
    <xf numFmtId="0" fontId="13" fillId="4" borderId="3" xfId="0" applyFont="1" applyFill="1" applyBorder="1" applyAlignment="1">
      <alignment horizontal="left" vertical="center"/>
    </xf>
    <xf numFmtId="0" fontId="24" fillId="0" borderId="3" xfId="0" applyFont="1" applyBorder="1" applyAlignment="1" applyProtection="1">
      <alignment vertical="center"/>
      <protection locked="0"/>
    </xf>
    <xf numFmtId="0" fontId="13" fillId="2" borderId="3" xfId="0" applyFont="1" applyFill="1" applyBorder="1" applyAlignment="1">
      <alignment vertical="center"/>
    </xf>
    <xf numFmtId="0" fontId="13" fillId="0" borderId="3" xfId="0" applyFont="1" applyBorder="1" applyAlignment="1" applyProtection="1">
      <alignment vertic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16" fillId="4" borderId="3" xfId="0" applyFont="1" applyFill="1" applyBorder="1" applyAlignment="1" applyProtection="1">
      <alignment horizontal="left" vertical="center"/>
      <protection locked="0"/>
    </xf>
    <xf numFmtId="0" fontId="16" fillId="0" borderId="6" xfId="0" applyFont="1" applyBorder="1" applyAlignment="1" applyProtection="1">
      <alignment vertical="center"/>
      <protection locked="0"/>
    </xf>
    <xf numFmtId="0" fontId="16" fillId="3" borderId="3" xfId="0" applyFont="1" applyFill="1" applyBorder="1" applyAlignment="1">
      <alignment horizontal="center" vertical="center" wrapText="1"/>
    </xf>
    <xf numFmtId="0" fontId="16" fillId="10" borderId="3" xfId="0" applyFont="1" applyFill="1" applyBorder="1" applyAlignment="1">
      <alignment vertical="center"/>
    </xf>
    <xf numFmtId="0" fontId="15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15" fillId="16" borderId="9" xfId="0" applyFont="1" applyFill="1" applyBorder="1" applyAlignment="1" applyProtection="1">
      <alignment vertical="center"/>
      <protection locked="0"/>
    </xf>
    <xf numFmtId="0" fontId="15" fillId="16" borderId="0" xfId="0" applyFont="1" applyFill="1" applyAlignment="1" applyProtection="1">
      <alignment horizontal="left" vertical="center" wrapText="1"/>
      <protection locked="0"/>
    </xf>
    <xf numFmtId="0" fontId="15" fillId="16" borderId="0" xfId="0" applyFont="1" applyFill="1" applyAlignment="1" applyProtection="1">
      <alignment vertical="center"/>
      <protection locked="0"/>
    </xf>
    <xf numFmtId="0" fontId="16" fillId="15" borderId="7" xfId="0" applyFont="1" applyFill="1" applyBorder="1" applyAlignment="1" applyProtection="1">
      <alignment horizontal="left" vertical="center"/>
      <protection locked="0"/>
    </xf>
    <xf numFmtId="0" fontId="15" fillId="0" borderId="7" xfId="0" applyFont="1" applyBorder="1" applyAlignment="1">
      <alignment horizontal="left" vertical="center"/>
    </xf>
    <xf numFmtId="0" fontId="16" fillId="15" borderId="3" xfId="0" applyFont="1" applyFill="1" applyBorder="1" applyAlignment="1" applyProtection="1">
      <alignment horizontal="left" vertical="center"/>
      <protection locked="0"/>
    </xf>
    <xf numFmtId="0" fontId="15" fillId="0" borderId="3" xfId="0" applyFont="1" applyBorder="1" applyAlignment="1">
      <alignment vertical="center"/>
    </xf>
    <xf numFmtId="0" fontId="16" fillId="0" borderId="3" xfId="0" applyFont="1" applyBorder="1" applyAlignment="1">
      <alignment horizontal="center" vertical="center"/>
    </xf>
    <xf numFmtId="0" fontId="16" fillId="3" borderId="3" xfId="0" applyFont="1" applyFill="1" applyBorder="1" applyAlignment="1">
      <alignment vertical="center"/>
    </xf>
    <xf numFmtId="0" fontId="15" fillId="0" borderId="3" xfId="0" applyFont="1" applyBorder="1" applyAlignment="1">
      <alignment horizontal="right" vertical="center"/>
    </xf>
    <xf numFmtId="0" fontId="16" fillId="0" borderId="0" xfId="0" applyFont="1" applyAlignment="1">
      <alignment horizontal="center" vertical="center"/>
    </xf>
    <xf numFmtId="2" fontId="15" fillId="18" borderId="3" xfId="0" applyNumberFormat="1" applyFont="1" applyFill="1" applyBorder="1" applyAlignment="1">
      <alignment horizontal="center" vertical="center"/>
    </xf>
    <xf numFmtId="0" fontId="16" fillId="10" borderId="6" xfId="0" applyFont="1" applyFill="1" applyBorder="1" applyAlignment="1">
      <alignment vertical="center"/>
    </xf>
    <xf numFmtId="0" fontId="16" fillId="18" borderId="3" xfId="0" applyFont="1" applyFill="1" applyBorder="1" applyAlignment="1">
      <alignment horizontal="center" vertical="center"/>
    </xf>
    <xf numFmtId="0" fontId="16" fillId="0" borderId="6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15" fillId="0" borderId="3" xfId="0" applyFont="1" applyBorder="1" applyAlignment="1">
      <alignment horizontal="left" vertical="center" wrapText="1"/>
    </xf>
    <xf numFmtId="164" fontId="15" fillId="7" borderId="3" xfId="0" applyNumberFormat="1" applyFont="1" applyFill="1" applyBorder="1" applyAlignment="1">
      <alignment horizontal="center" vertical="center"/>
    </xf>
    <xf numFmtId="0" fontId="16" fillId="0" borderId="3" xfId="0" applyFont="1" applyBorder="1" applyAlignment="1">
      <alignment horizontal="left" vertical="center" indent="2"/>
    </xf>
    <xf numFmtId="0" fontId="16" fillId="0" borderId="0" xfId="0" applyFont="1" applyAlignment="1">
      <alignment vertical="center"/>
    </xf>
    <xf numFmtId="0" fontId="16" fillId="29" borderId="6" xfId="0" applyFont="1" applyFill="1" applyBorder="1" applyAlignment="1">
      <alignment vertical="center"/>
    </xf>
    <xf numFmtId="0" fontId="16" fillId="29" borderId="3" xfId="0" applyFont="1" applyFill="1" applyBorder="1" applyAlignment="1">
      <alignment vertical="center"/>
    </xf>
    <xf numFmtId="0" fontId="15" fillId="29" borderId="3" xfId="0" applyFont="1" applyFill="1" applyBorder="1" applyAlignment="1">
      <alignment horizontal="left" vertical="center" wrapText="1"/>
    </xf>
    <xf numFmtId="0" fontId="15" fillId="29" borderId="3" xfId="0" applyFont="1" applyFill="1" applyBorder="1" applyAlignment="1">
      <alignment vertical="center"/>
    </xf>
    <xf numFmtId="164" fontId="15" fillId="29" borderId="3" xfId="0" applyNumberFormat="1" applyFont="1" applyFill="1" applyBorder="1" applyAlignment="1">
      <alignment horizontal="center" vertical="center"/>
    </xf>
    <xf numFmtId="0" fontId="16" fillId="18" borderId="6" xfId="0" applyFont="1" applyFill="1" applyBorder="1" applyAlignment="1">
      <alignment horizontal="center" vertical="center"/>
    </xf>
    <xf numFmtId="0" fontId="16" fillId="18" borderId="3" xfId="0" applyFont="1" applyFill="1" applyBorder="1" applyAlignment="1" applyProtection="1">
      <alignment horizontal="center" vertical="center"/>
      <protection locked="0"/>
    </xf>
    <xf numFmtId="0" fontId="16" fillId="18" borderId="6" xfId="0" applyFont="1" applyFill="1" applyBorder="1" applyAlignment="1" applyProtection="1">
      <alignment horizontal="center" vertical="center"/>
      <protection locked="0"/>
    </xf>
    <xf numFmtId="0" fontId="54" fillId="0" borderId="6" xfId="0" applyFont="1" applyBorder="1" applyAlignment="1">
      <alignment horizontal="left" vertical="center" indent="2"/>
    </xf>
    <xf numFmtId="0" fontId="16" fillId="24" borderId="3" xfId="0" applyFont="1" applyFill="1" applyBorder="1" applyAlignment="1" applyProtection="1">
      <alignment horizontal="center" vertical="center"/>
      <protection locked="0"/>
    </xf>
    <xf numFmtId="164" fontId="16" fillId="7" borderId="3" xfId="0" applyNumberFormat="1" applyFont="1" applyFill="1" applyBorder="1" applyAlignment="1">
      <alignment horizontal="center" vertical="center"/>
    </xf>
    <xf numFmtId="9" fontId="15" fillId="6" borderId="3" xfId="33" applyFont="1" applyFill="1" applyBorder="1" applyAlignment="1">
      <alignment horizontal="center" vertical="center"/>
    </xf>
    <xf numFmtId="0" fontId="16" fillId="15" borderId="3" xfId="0" applyFont="1" applyFill="1" applyBorder="1" applyAlignment="1" applyProtection="1">
      <alignment horizontal="center" vertical="center"/>
      <protection locked="0"/>
    </xf>
    <xf numFmtId="0" fontId="15" fillId="3" borderId="3" xfId="0" applyFont="1" applyFill="1" applyBorder="1" applyAlignment="1" applyProtection="1">
      <alignment vertical="center"/>
      <protection locked="0"/>
    </xf>
    <xf numFmtId="164" fontId="15" fillId="20" borderId="3" xfId="0" applyNumberFormat="1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2" fontId="15" fillId="0" borderId="3" xfId="0" applyNumberFormat="1" applyFont="1" applyBorder="1" applyAlignment="1">
      <alignment horizontal="center" vertical="center"/>
    </xf>
    <xf numFmtId="0" fontId="16" fillId="0" borderId="4" xfId="0" applyFont="1" applyBorder="1" applyAlignment="1" applyProtection="1">
      <alignment vertical="center"/>
      <protection locked="0"/>
    </xf>
    <xf numFmtId="9" fontId="0" fillId="0" borderId="3" xfId="0" applyNumberFormat="1" applyBorder="1"/>
    <xf numFmtId="0" fontId="44" fillId="33" borderId="24" xfId="0" applyFont="1" applyFill="1" applyBorder="1" applyAlignment="1">
      <alignment horizontal="center" vertical="center" wrapText="1"/>
    </xf>
    <xf numFmtId="0" fontId="18" fillId="33" borderId="3" xfId="0" applyFont="1" applyFill="1" applyBorder="1" applyAlignment="1">
      <alignment horizontal="center" vertical="center" wrapText="1"/>
    </xf>
    <xf numFmtId="164" fontId="0" fillId="33" borderId="3" xfId="36" applyNumberFormat="1" applyFont="1" applyFill="1" applyBorder="1" applyAlignment="1">
      <alignment horizontal="center" vertical="center" wrapText="1"/>
    </xf>
    <xf numFmtId="0" fontId="4" fillId="0" borderId="3" xfId="39" applyBorder="1" applyAlignment="1">
      <alignment vertical="center" wrapText="1"/>
    </xf>
    <xf numFmtId="0" fontId="4" fillId="0" borderId="3" xfId="39" applyBorder="1" applyAlignment="1">
      <alignment horizontal="center" vertical="center" wrapText="1"/>
    </xf>
    <xf numFmtId="0" fontId="4" fillId="0" borderId="3" xfId="39" applyBorder="1" applyAlignment="1">
      <alignment horizontal="left" vertical="center" wrapText="1"/>
    </xf>
    <xf numFmtId="0" fontId="18" fillId="34" borderId="3" xfId="0" applyFont="1" applyFill="1" applyBorder="1" applyAlignment="1" applyProtection="1">
      <alignment horizontal="left" vertical="center"/>
      <protection locked="0"/>
    </xf>
    <xf numFmtId="0" fontId="15" fillId="16" borderId="19" xfId="0" applyFont="1" applyFill="1" applyBorder="1" applyAlignment="1" applyProtection="1">
      <alignment vertical="center"/>
      <protection locked="0"/>
    </xf>
    <xf numFmtId="0" fontId="15" fillId="16" borderId="2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6" fillId="34" borderId="3" xfId="0" applyFont="1" applyFill="1" applyBorder="1" applyAlignment="1">
      <alignment horizontal="left" vertical="center" wrapText="1"/>
    </xf>
    <xf numFmtId="0" fontId="16" fillId="34" borderId="3" xfId="0" applyFont="1" applyFill="1" applyBorder="1" applyAlignment="1">
      <alignment horizontal="center" vertical="center"/>
    </xf>
    <xf numFmtId="0" fontId="0" fillId="0" borderId="13" xfId="0" applyBorder="1"/>
    <xf numFmtId="1" fontId="0" fillId="0" borderId="0" xfId="0" applyNumberFormat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0" fillId="7" borderId="8" xfId="0" applyFill="1" applyBorder="1" applyAlignment="1" applyProtection="1">
      <alignment horizontal="center" vertical="center"/>
      <protection locked="0"/>
    </xf>
    <xf numFmtId="0" fontId="16" fillId="0" borderId="7" xfId="0" applyFont="1" applyBorder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7" fillId="0" borderId="33" xfId="0" applyFont="1" applyBorder="1" applyAlignment="1">
      <alignment horizontal="left" vertical="center" wrapText="1"/>
    </xf>
    <xf numFmtId="0" fontId="0" fillId="0" borderId="10" xfId="0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164" fontId="7" fillId="0" borderId="37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left" vertical="center" wrapText="1"/>
    </xf>
    <xf numFmtId="0" fontId="0" fillId="0" borderId="15" xfId="0" applyBorder="1" applyAlignment="1">
      <alignment vertical="center"/>
    </xf>
    <xf numFmtId="164" fontId="7" fillId="0" borderId="36" xfId="0" applyNumberFormat="1" applyFont="1" applyBorder="1" applyAlignment="1">
      <alignment horizontal="center" vertical="center"/>
    </xf>
    <xf numFmtId="0" fontId="16" fillId="19" borderId="8" xfId="0" applyFont="1" applyFill="1" applyBorder="1" applyAlignment="1">
      <alignment vertical="center"/>
    </xf>
    <xf numFmtId="2" fontId="0" fillId="4" borderId="3" xfId="0" applyNumberFormat="1" applyFill="1" applyBorder="1" applyAlignment="1">
      <alignment horizontal="center" vertical="center"/>
    </xf>
    <xf numFmtId="0" fontId="7" fillId="36" borderId="3" xfId="0" applyFont="1" applyFill="1" applyBorder="1" applyAlignment="1">
      <alignment horizontal="center" vertical="center"/>
    </xf>
    <xf numFmtId="0" fontId="18" fillId="12" borderId="3" xfId="0" applyFont="1" applyFill="1" applyBorder="1" applyAlignment="1" applyProtection="1">
      <alignment horizontal="center" vertical="center" wrapText="1"/>
      <protection locked="0"/>
    </xf>
    <xf numFmtId="1" fontId="0" fillId="7" borderId="3" xfId="0" applyNumberFormat="1" applyFill="1" applyBorder="1" applyAlignment="1" applyProtection="1">
      <alignment horizontal="center" vertical="center"/>
      <protection locked="0"/>
    </xf>
    <xf numFmtId="0" fontId="7" fillId="17" borderId="6" xfId="0" applyFont="1" applyFill="1" applyBorder="1" applyAlignment="1">
      <alignment vertical="center"/>
    </xf>
    <xf numFmtId="0" fontId="7" fillId="0" borderId="30" xfId="0" applyFont="1" applyBorder="1" applyAlignment="1">
      <alignment horizontal="center" vertical="center"/>
    </xf>
    <xf numFmtId="0" fontId="7" fillId="0" borderId="30" xfId="0" applyFont="1" applyBorder="1" applyAlignment="1">
      <alignment vertical="center"/>
    </xf>
    <xf numFmtId="164" fontId="7" fillId="0" borderId="30" xfId="0" applyNumberFormat="1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2" fontId="0" fillId="0" borderId="39" xfId="0" applyNumberFormat="1" applyBorder="1" applyAlignment="1">
      <alignment horizontal="center" vertical="center"/>
    </xf>
    <xf numFmtId="0" fontId="0" fillId="0" borderId="39" xfId="0" applyBorder="1" applyAlignment="1">
      <alignment vertical="center"/>
    </xf>
    <xf numFmtId="164" fontId="0" fillId="0" borderId="39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15" fillId="0" borderId="39" xfId="0" applyFont="1" applyBorder="1" applyAlignment="1" applyProtection="1">
      <alignment horizontal="center" vertical="center"/>
      <protection locked="0"/>
    </xf>
    <xf numFmtId="0" fontId="0" fillId="0" borderId="8" xfId="0" applyBorder="1" applyAlignment="1">
      <alignment vertical="center" wrapText="1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left" vertical="center" wrapText="1"/>
    </xf>
    <xf numFmtId="164" fontId="0" fillId="0" borderId="8" xfId="36" applyNumberFormat="1" applyFont="1" applyBorder="1" applyAlignment="1">
      <alignment horizontal="center" vertical="center" wrapText="1"/>
    </xf>
    <xf numFmtId="164" fontId="0" fillId="0" borderId="8" xfId="36" applyNumberFormat="1" applyFont="1" applyFill="1" applyBorder="1" applyAlignment="1">
      <alignment horizontal="center" vertical="center" wrapText="1"/>
    </xf>
    <xf numFmtId="9" fontId="0" fillId="0" borderId="8" xfId="33" applyFont="1" applyFill="1" applyBorder="1" applyAlignment="1">
      <alignment horizontal="center" vertical="center" wrapText="1"/>
    </xf>
    <xf numFmtId="164" fontId="0" fillId="15" borderId="8" xfId="36" applyNumberFormat="1" applyFont="1" applyFill="1" applyBorder="1" applyAlignment="1">
      <alignment horizontal="center" vertical="center" wrapText="1"/>
    </xf>
    <xf numFmtId="164" fontId="0" fillId="33" borderId="8" xfId="36" applyNumberFormat="1" applyFont="1" applyFill="1" applyBorder="1" applyAlignment="1">
      <alignment horizontal="center" vertical="center" wrapText="1"/>
    </xf>
    <xf numFmtId="164" fontId="0" fillId="19" borderId="8" xfId="0" applyNumberFormat="1" applyFill="1" applyBorder="1" applyAlignment="1">
      <alignment horizontal="center" vertical="center" wrapText="1"/>
    </xf>
    <xf numFmtId="164" fontId="0" fillId="15" borderId="8" xfId="0" applyNumberFormat="1" applyFill="1" applyBorder="1" applyAlignment="1">
      <alignment horizontal="center" vertical="center" wrapText="1"/>
    </xf>
    <xf numFmtId="0" fontId="0" fillId="14" borderId="8" xfId="0" applyFill="1" applyBorder="1" applyAlignment="1">
      <alignment vertical="center" wrapText="1"/>
    </xf>
    <xf numFmtId="9" fontId="0" fillId="0" borderId="8" xfId="33" applyFont="1" applyBorder="1" applyAlignment="1">
      <alignment horizontal="center" vertical="center" wrapText="1"/>
    </xf>
    <xf numFmtId="0" fontId="29" fillId="0" borderId="19" xfId="0" applyFont="1" applyBorder="1" applyAlignment="1">
      <alignment horizontal="left" vertical="center" wrapText="1"/>
    </xf>
    <xf numFmtId="0" fontId="30" fillId="0" borderId="0" xfId="0" applyFont="1" applyAlignment="1">
      <alignment vertical="center" wrapText="1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center" vertical="center" wrapText="1"/>
    </xf>
    <xf numFmtId="0" fontId="16" fillId="15" borderId="42" xfId="0" applyFont="1" applyFill="1" applyBorder="1" applyAlignment="1">
      <alignment horizontal="left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15" borderId="3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6" fillId="0" borderId="33" xfId="0" applyFont="1" applyBorder="1" applyAlignment="1">
      <alignment horizontal="center" vertical="center"/>
    </xf>
    <xf numFmtId="0" fontId="15" fillId="0" borderId="21" xfId="0" applyFont="1" applyBorder="1"/>
    <xf numFmtId="0" fontId="16" fillId="32" borderId="10" xfId="0" applyFont="1" applyFill="1" applyBorder="1" applyAlignment="1">
      <alignment horizontal="center"/>
    </xf>
    <xf numFmtId="0" fontId="15" fillId="0" borderId="3" xfId="0" applyFont="1" applyBorder="1"/>
    <xf numFmtId="2" fontId="16" fillId="6" borderId="3" xfId="33" applyNumberFormat="1" applyFont="1" applyFill="1" applyBorder="1" applyAlignment="1" applyProtection="1">
      <alignment horizontal="center" vertical="center"/>
    </xf>
    <xf numFmtId="0" fontId="16" fillId="3" borderId="33" xfId="0" applyFont="1" applyFill="1" applyBorder="1" applyAlignment="1">
      <alignment vertical="center"/>
    </xf>
    <xf numFmtId="0" fontId="15" fillId="0" borderId="9" xfId="0" applyFont="1" applyBorder="1"/>
    <xf numFmtId="0" fontId="15" fillId="37" borderId="9" xfId="0" applyFont="1" applyFill="1" applyBorder="1"/>
    <xf numFmtId="0" fontId="15" fillId="37" borderId="0" xfId="0" applyFont="1" applyFill="1"/>
    <xf numFmtId="0" fontId="15" fillId="37" borderId="20" xfId="0" applyFont="1" applyFill="1" applyBorder="1"/>
    <xf numFmtId="0" fontId="15" fillId="37" borderId="21" xfId="0" applyFont="1" applyFill="1" applyBorder="1"/>
    <xf numFmtId="0" fontId="16" fillId="10" borderId="33" xfId="0" applyFont="1" applyFill="1" applyBorder="1" applyAlignment="1">
      <alignment horizontal="center" vertical="center"/>
    </xf>
    <xf numFmtId="0" fontId="16" fillId="10" borderId="3" xfId="0" applyFont="1" applyFill="1" applyBorder="1" applyAlignment="1">
      <alignment horizontal="center" vertical="center"/>
    </xf>
    <xf numFmtId="0" fontId="16" fillId="0" borderId="33" xfId="0" applyFont="1" applyBorder="1" applyAlignment="1">
      <alignment vertical="center"/>
    </xf>
    <xf numFmtId="0" fontId="15" fillId="0" borderId="3" xfId="0" applyFont="1" applyBorder="1" applyAlignment="1">
      <alignment vertical="center" wrapText="1"/>
    </xf>
    <xf numFmtId="0" fontId="15" fillId="0" borderId="21" xfId="0" applyFont="1" applyBorder="1" applyAlignment="1">
      <alignment vertical="center"/>
    </xf>
    <xf numFmtId="0" fontId="16" fillId="18" borderId="10" xfId="0" applyFont="1" applyFill="1" applyBorder="1" applyAlignment="1">
      <alignment horizontal="center" vertical="center"/>
    </xf>
    <xf numFmtId="164" fontId="16" fillId="20" borderId="10" xfId="0" applyNumberFormat="1" applyFont="1" applyFill="1" applyBorder="1" applyAlignment="1">
      <alignment horizontal="center" vertical="center"/>
    </xf>
    <xf numFmtId="0" fontId="16" fillId="17" borderId="33" xfId="0" applyFont="1" applyFill="1" applyBorder="1" applyAlignment="1">
      <alignment vertical="center"/>
    </xf>
    <xf numFmtId="0" fontId="16" fillId="17" borderId="38" xfId="0" applyFont="1" applyFill="1" applyBorder="1" applyAlignment="1">
      <alignment vertical="center"/>
    </xf>
    <xf numFmtId="164" fontId="15" fillId="7" borderId="39" xfId="0" applyNumberFormat="1" applyFont="1" applyFill="1" applyBorder="1" applyAlignment="1">
      <alignment horizontal="center" vertical="center"/>
    </xf>
    <xf numFmtId="0" fontId="15" fillId="0" borderId="15" xfId="0" applyFont="1" applyBorder="1"/>
    <xf numFmtId="0" fontId="15" fillId="0" borderId="22" xfId="0" applyFont="1" applyBorder="1"/>
    <xf numFmtId="0" fontId="16" fillId="20" borderId="33" xfId="0" applyFont="1" applyFill="1" applyBorder="1" applyAlignment="1">
      <alignment vertical="center"/>
    </xf>
    <xf numFmtId="1" fontId="15" fillId="7" borderId="3" xfId="0" applyNumberFormat="1" applyFont="1" applyFill="1" applyBorder="1" applyAlignment="1">
      <alignment horizontal="center" vertical="center"/>
    </xf>
    <xf numFmtId="164" fontId="15" fillId="7" borderId="6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left" vertical="center" wrapText="1"/>
    </xf>
    <xf numFmtId="0" fontId="15" fillId="0" borderId="24" xfId="0" applyFont="1" applyBorder="1" applyAlignment="1">
      <alignment vertical="center"/>
    </xf>
    <xf numFmtId="0" fontId="15" fillId="0" borderId="17" xfId="0" applyFont="1" applyBorder="1"/>
    <xf numFmtId="0" fontId="16" fillId="0" borderId="39" xfId="0" applyFont="1" applyBorder="1" applyAlignment="1">
      <alignment vertical="center"/>
    </xf>
    <xf numFmtId="0" fontId="15" fillId="0" borderId="39" xfId="0" applyFont="1" applyBorder="1"/>
    <xf numFmtId="0" fontId="15" fillId="0" borderId="3" xfId="0" applyFont="1" applyBorder="1" applyAlignment="1" applyProtection="1">
      <alignment horizontal="center"/>
      <protection locked="0"/>
    </xf>
    <xf numFmtId="0" fontId="15" fillId="0" borderId="3" xfId="0" applyFont="1" applyBorder="1" applyAlignment="1" applyProtection="1">
      <alignment horizontal="left" vertical="center" wrapText="1"/>
      <protection locked="0"/>
    </xf>
    <xf numFmtId="0" fontId="15" fillId="0" borderId="39" xfId="0" applyFont="1" applyBorder="1" applyAlignment="1" applyProtection="1">
      <alignment horizontal="left" vertical="center" wrapText="1"/>
      <protection locked="0"/>
    </xf>
    <xf numFmtId="0" fontId="16" fillId="0" borderId="3" xfId="0" applyFont="1" applyBorder="1" applyAlignment="1" applyProtection="1">
      <alignment vertical="center"/>
      <protection locked="0"/>
    </xf>
    <xf numFmtId="0" fontId="15" fillId="0" borderId="3" xfId="0" applyFont="1" applyBorder="1" applyProtection="1">
      <protection locked="0"/>
    </xf>
    <xf numFmtId="2" fontId="7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1" fontId="16" fillId="14" borderId="3" xfId="0" applyNumberFormat="1" applyFont="1" applyFill="1" applyBorder="1" applyAlignment="1">
      <alignment horizontal="center" vertical="center"/>
    </xf>
    <xf numFmtId="2" fontId="16" fillId="20" borderId="3" xfId="0" applyNumberFormat="1" applyFont="1" applyFill="1" applyBorder="1" applyAlignment="1">
      <alignment horizontal="center" vertical="center"/>
    </xf>
    <xf numFmtId="0" fontId="15" fillId="0" borderId="39" xfId="0" applyFont="1" applyBorder="1" applyAlignment="1">
      <alignment horizontal="left" vertical="center" wrapText="1"/>
    </xf>
    <xf numFmtId="0" fontId="15" fillId="0" borderId="39" xfId="0" applyFont="1" applyBorder="1" applyAlignment="1">
      <alignment horizontal="center" vertical="center"/>
    </xf>
    <xf numFmtId="164" fontId="15" fillId="14" borderId="10" xfId="0" applyNumberFormat="1" applyFont="1" applyFill="1" applyBorder="1" applyAlignment="1">
      <alignment horizontal="center" vertical="center"/>
    </xf>
    <xf numFmtId="1" fontId="15" fillId="14" borderId="3" xfId="0" applyNumberFormat="1" applyFont="1" applyFill="1" applyBorder="1" applyAlignment="1">
      <alignment horizontal="center" vertical="center"/>
    </xf>
    <xf numFmtId="0" fontId="28" fillId="0" borderId="3" xfId="0" applyFont="1" applyBorder="1" applyAlignment="1">
      <alignment vertical="center"/>
    </xf>
    <xf numFmtId="0" fontId="28" fillId="0" borderId="3" xfId="0" applyFont="1" applyBorder="1" applyAlignment="1">
      <alignment horizontal="left" vertical="center"/>
    </xf>
    <xf numFmtId="0" fontId="7" fillId="0" borderId="3" xfId="0" applyFont="1" applyBorder="1" applyProtection="1">
      <protection locked="0"/>
    </xf>
    <xf numFmtId="0" fontId="0" fillId="16" borderId="3" xfId="0" applyFill="1" applyBorder="1" applyAlignment="1">
      <alignment vertical="center"/>
    </xf>
    <xf numFmtId="0" fontId="55" fillId="0" borderId="3" xfId="0" applyFont="1" applyBorder="1" applyAlignment="1">
      <alignment horizontal="left" vertical="center" wrapText="1"/>
    </xf>
    <xf numFmtId="168" fontId="28" fillId="0" borderId="3" xfId="0" applyNumberFormat="1" applyFont="1" applyBorder="1" applyAlignment="1" applyProtection="1">
      <alignment horizontal="center" vertical="center"/>
      <protection locked="0"/>
    </xf>
    <xf numFmtId="168" fontId="40" fillId="0" borderId="8" xfId="0" applyNumberFormat="1" applyFont="1" applyBorder="1" applyAlignment="1" applyProtection="1">
      <alignment horizontal="center" vertical="center"/>
      <protection locked="0"/>
    </xf>
    <xf numFmtId="0" fontId="15" fillId="3" borderId="6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 wrapText="1"/>
    </xf>
    <xf numFmtId="164" fontId="0" fillId="8" borderId="3" xfId="36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vertical="center"/>
    </xf>
    <xf numFmtId="0" fontId="0" fillId="0" borderId="21" xfId="0" applyBorder="1" applyAlignment="1">
      <alignment vertical="center"/>
    </xf>
    <xf numFmtId="2" fontId="7" fillId="0" borderId="15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44" fillId="0" borderId="3" xfId="0" applyFont="1" applyBorder="1" applyAlignment="1">
      <alignment horizontal="center" vertical="center"/>
    </xf>
    <xf numFmtId="0" fontId="16" fillId="17" borderId="9" xfId="0" applyFont="1" applyFill="1" applyBorder="1" applyAlignment="1">
      <alignment vertical="center"/>
    </xf>
    <xf numFmtId="0" fontId="15" fillId="0" borderId="0" xfId="0" applyFont="1" applyAlignment="1" applyProtection="1">
      <alignment horizontal="left" vertic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164" fontId="15" fillId="7" borderId="4" xfId="0" applyNumberFormat="1" applyFont="1" applyFill="1" applyBorder="1" applyAlignment="1">
      <alignment horizontal="center" vertical="center"/>
    </xf>
    <xf numFmtId="164" fontId="16" fillId="14" borderId="3" xfId="0" applyNumberFormat="1" applyFont="1" applyFill="1" applyBorder="1" applyAlignment="1">
      <alignment horizontal="center" vertical="center"/>
    </xf>
    <xf numFmtId="164" fontId="18" fillId="26" borderId="7" xfId="0" applyNumberFormat="1" applyFont="1" applyFill="1" applyBorder="1" applyAlignment="1">
      <alignment horizontal="center" vertical="center" wrapText="1"/>
    </xf>
    <xf numFmtId="0" fontId="18" fillId="27" borderId="7" xfId="0" applyFont="1" applyFill="1" applyBorder="1" applyAlignment="1">
      <alignment horizontal="center" vertical="center" wrapText="1"/>
    </xf>
    <xf numFmtId="0" fontId="46" fillId="0" borderId="47" xfId="0" applyFont="1" applyBorder="1" applyAlignment="1">
      <alignment vertical="center" wrapText="1"/>
    </xf>
    <xf numFmtId="0" fontId="46" fillId="4" borderId="48" xfId="0" applyFont="1" applyFill="1" applyBorder="1" applyAlignment="1">
      <alignment horizontal="center" vertical="center" wrapText="1"/>
    </xf>
    <xf numFmtId="0" fontId="57" fillId="0" borderId="3" xfId="38" applyFont="1" applyBorder="1"/>
    <xf numFmtId="0" fontId="32" fillId="0" borderId="0" xfId="0" applyFont="1"/>
    <xf numFmtId="0" fontId="47" fillId="0" borderId="3" xfId="38" applyFont="1" applyBorder="1"/>
    <xf numFmtId="0" fontId="47" fillId="4" borderId="3" xfId="38" applyFont="1" applyFill="1" applyBorder="1" applyAlignment="1">
      <alignment horizontal="center"/>
    </xf>
    <xf numFmtId="0" fontId="47" fillId="0" borderId="3" xfId="38" applyFont="1" applyBorder="1" applyAlignment="1">
      <alignment horizontal="center"/>
    </xf>
    <xf numFmtId="0" fontId="5" fillId="0" borderId="8" xfId="38" applyBorder="1"/>
    <xf numFmtId="0" fontId="0" fillId="0" borderId="0" xfId="0" quotePrefix="1"/>
    <xf numFmtId="0" fontId="0" fillId="8" borderId="3" xfId="0" applyFill="1" applyBorder="1" applyAlignment="1">
      <alignment horizontal="left" vertical="center" wrapText="1"/>
    </xf>
    <xf numFmtId="0" fontId="5" fillId="8" borderId="3" xfId="38" applyFill="1" applyBorder="1"/>
    <xf numFmtId="0" fontId="0" fillId="3" borderId="8" xfId="0" applyFill="1" applyBorder="1"/>
    <xf numFmtId="0" fontId="0" fillId="0" borderId="8" xfId="0" applyBorder="1" applyAlignment="1">
      <alignment horizontal="center"/>
    </xf>
    <xf numFmtId="0" fontId="0" fillId="14" borderId="8" xfId="0" applyFill="1" applyBorder="1" applyAlignment="1">
      <alignment horizontal="center"/>
    </xf>
    <xf numFmtId="165" fontId="0" fillId="7" borderId="8" xfId="0" applyNumberFormat="1" applyFill="1" applyBorder="1" applyAlignment="1">
      <alignment horizontal="center"/>
    </xf>
    <xf numFmtId="0" fontId="0" fillId="39" borderId="31" xfId="0" applyFill="1" applyBorder="1"/>
    <xf numFmtId="0" fontId="0" fillId="0" borderId="30" xfId="0" applyBorder="1" applyAlignment="1">
      <alignment horizontal="center"/>
    </xf>
    <xf numFmtId="0" fontId="0" fillId="14" borderId="30" xfId="0" applyFill="1" applyBorder="1" applyAlignment="1">
      <alignment horizontal="center"/>
    </xf>
    <xf numFmtId="165" fontId="0" fillId="7" borderId="30" xfId="0" applyNumberFormat="1" applyFill="1" applyBorder="1" applyAlignment="1">
      <alignment horizontal="center"/>
    </xf>
    <xf numFmtId="165" fontId="0" fillId="7" borderId="32" xfId="0" applyNumberFormat="1" applyFill="1" applyBorder="1" applyAlignment="1">
      <alignment horizontal="center"/>
    </xf>
    <xf numFmtId="0" fontId="0" fillId="39" borderId="33" xfId="0" applyFill="1" applyBorder="1"/>
    <xf numFmtId="165" fontId="0" fillId="7" borderId="10" xfId="0" applyNumberFormat="1" applyFill="1" applyBorder="1" applyAlignment="1">
      <alignment horizontal="center"/>
    </xf>
    <xf numFmtId="0" fontId="0" fillId="39" borderId="38" xfId="0" applyFill="1" applyBorder="1"/>
    <xf numFmtId="0" fontId="0" fillId="0" borderId="39" xfId="0" applyBorder="1" applyAlignment="1">
      <alignment horizontal="center"/>
    </xf>
    <xf numFmtId="0" fontId="0" fillId="14" borderId="39" xfId="0" applyFill="1" applyBorder="1" applyAlignment="1">
      <alignment horizontal="center"/>
    </xf>
    <xf numFmtId="165" fontId="0" fillId="7" borderId="39" xfId="0" applyNumberFormat="1" applyFill="1" applyBorder="1" applyAlignment="1">
      <alignment horizontal="center"/>
    </xf>
    <xf numFmtId="165" fontId="0" fillId="7" borderId="4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7" xfId="0" applyBorder="1" applyAlignment="1">
      <alignment horizontal="center"/>
    </xf>
    <xf numFmtId="0" fontId="0" fillId="14" borderId="7" xfId="0" applyFill="1" applyBorder="1" applyAlignment="1">
      <alignment horizontal="center"/>
    </xf>
    <xf numFmtId="165" fontId="0" fillId="7" borderId="7" xfId="0" applyNumberFormat="1" applyFill="1" applyBorder="1" applyAlignment="1">
      <alignment horizontal="center"/>
    </xf>
    <xf numFmtId="0" fontId="0" fillId="6" borderId="31" xfId="0" applyFill="1" applyBorder="1"/>
    <xf numFmtId="0" fontId="0" fillId="6" borderId="33" xfId="0" applyFill="1" applyBorder="1"/>
    <xf numFmtId="0" fontId="0" fillId="6" borderId="38" xfId="0" applyFill="1" applyBorder="1"/>
    <xf numFmtId="0" fontId="0" fillId="8" borderId="3" xfId="0" applyFill="1" applyBorder="1" applyAlignment="1">
      <alignment horizontal="center" vertical="center" wrapText="1"/>
    </xf>
    <xf numFmtId="0" fontId="0" fillId="31" borderId="3" xfId="0" applyFill="1" applyBorder="1" applyAlignment="1">
      <alignment horizontal="left" vertical="center" wrapText="1"/>
    </xf>
    <xf numFmtId="0" fontId="58" fillId="4" borderId="3" xfId="0" applyFont="1" applyFill="1" applyBorder="1" applyAlignment="1">
      <alignment vertical="center"/>
    </xf>
    <xf numFmtId="0" fontId="58" fillId="0" borderId="3" xfId="0" applyFont="1" applyBorder="1" applyAlignment="1">
      <alignment vertical="center"/>
    </xf>
    <xf numFmtId="0" fontId="0" fillId="0" borderId="3" xfId="0" quotePrefix="1" applyBorder="1" applyAlignment="1">
      <alignment horizontal="center" vertical="center" wrapText="1"/>
    </xf>
    <xf numFmtId="169" fontId="0" fillId="0" borderId="3" xfId="0" applyNumberFormat="1" applyBorder="1" applyAlignment="1">
      <alignment horizontal="center" vertical="center"/>
    </xf>
    <xf numFmtId="2" fontId="21" fillId="4" borderId="3" xfId="0" applyNumberFormat="1" applyFont="1" applyFill="1" applyBorder="1" applyAlignment="1" applyProtection="1">
      <alignment horizontal="center" vertical="center"/>
      <protection locked="0"/>
    </xf>
    <xf numFmtId="1" fontId="0" fillId="14" borderId="3" xfId="0" applyNumberFormat="1" applyFill="1" applyBorder="1" applyAlignment="1">
      <alignment horizontal="center"/>
    </xf>
    <xf numFmtId="0" fontId="0" fillId="6" borderId="3" xfId="0" applyFill="1" applyBorder="1"/>
    <xf numFmtId="0" fontId="0" fillId="39" borderId="3" xfId="0" applyFill="1" applyBorder="1"/>
    <xf numFmtId="0" fontId="16" fillId="8" borderId="6" xfId="0" applyFont="1" applyFill="1" applyBorder="1" applyAlignment="1">
      <alignment vertical="center"/>
    </xf>
    <xf numFmtId="0" fontId="16" fillId="8" borderId="3" xfId="0" applyFont="1" applyFill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 applyAlignment="1">
      <alignment vertical="center" wrapText="1"/>
    </xf>
    <xf numFmtId="0" fontId="7" fillId="0" borderId="0" xfId="0" applyFont="1"/>
    <xf numFmtId="164" fontId="23" fillId="4" borderId="3" xfId="0" applyNumberFormat="1" applyFont="1" applyFill="1" applyBorder="1" applyAlignment="1">
      <alignment horizontal="center" vertical="center"/>
    </xf>
    <xf numFmtId="0" fontId="0" fillId="0" borderId="3" xfId="0" quotePrefix="1" applyBorder="1" applyAlignment="1">
      <alignment vertical="center" wrapText="1"/>
    </xf>
    <xf numFmtId="0" fontId="16" fillId="0" borderId="33" xfId="0" applyFont="1" applyBorder="1" applyAlignment="1">
      <alignment horizontal="center" vertical="center" wrapText="1"/>
    </xf>
    <xf numFmtId="9" fontId="0" fillId="0" borderId="3" xfId="0" applyNumberFormat="1" applyBorder="1" applyAlignment="1">
      <alignment horizontal="center"/>
    </xf>
    <xf numFmtId="9" fontId="0" fillId="0" borderId="3" xfId="33" applyFon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7" fillId="0" borderId="4" xfId="0" applyFont="1" applyBorder="1"/>
    <xf numFmtId="9" fontId="0" fillId="0" borderId="0" xfId="0" applyNumberFormat="1"/>
    <xf numFmtId="0" fontId="16" fillId="10" borderId="6" xfId="0" applyFont="1" applyFill="1" applyBorder="1" applyAlignment="1">
      <alignment horizontal="center" vertical="center"/>
    </xf>
    <xf numFmtId="0" fontId="16" fillId="0" borderId="6" xfId="0" applyFont="1" applyBorder="1" applyAlignment="1" applyProtection="1">
      <alignment horizontal="center" vertical="center"/>
      <protection locked="0"/>
    </xf>
    <xf numFmtId="0" fontId="7" fillId="14" borderId="3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14" borderId="31" xfId="0" applyFont="1" applyFill="1" applyBorder="1" applyAlignment="1" applyProtection="1">
      <alignment horizontal="center" vertical="center" wrapText="1"/>
      <protection locked="0"/>
    </xf>
    <xf numFmtId="0" fontId="7" fillId="14" borderId="30" xfId="0" applyFont="1" applyFill="1" applyBorder="1" applyAlignment="1" applyProtection="1">
      <alignment horizontal="center" vertical="center" wrapText="1"/>
      <protection locked="0"/>
    </xf>
    <xf numFmtId="0" fontId="7" fillId="14" borderId="33" xfId="0" applyFont="1" applyFill="1" applyBorder="1" applyAlignment="1" applyProtection="1">
      <alignment horizontal="center" vertical="center" wrapText="1"/>
      <protection locked="0"/>
    </xf>
    <xf numFmtId="0" fontId="7" fillId="14" borderId="38" xfId="0" applyFont="1" applyFill="1" applyBorder="1" applyAlignment="1" applyProtection="1">
      <alignment horizontal="center" vertical="center" wrapText="1"/>
      <protection locked="0"/>
    </xf>
    <xf numFmtId="0" fontId="7" fillId="14" borderId="39" xfId="0" applyFont="1" applyFill="1" applyBorder="1" applyAlignment="1" applyProtection="1">
      <alignment horizontal="center" vertical="center" wrapText="1"/>
      <protection locked="0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14" borderId="0" xfId="0" applyFont="1" applyFill="1" applyAlignment="1" applyProtection="1">
      <alignment horizontal="center" vertical="center" wrapText="1"/>
      <protection locked="0"/>
    </xf>
    <xf numFmtId="0" fontId="7" fillId="14" borderId="20" xfId="0" applyFont="1" applyFill="1" applyBorder="1" applyAlignment="1" applyProtection="1">
      <alignment horizontal="center" vertical="center" wrapText="1"/>
      <protection locked="0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1" fontId="0" fillId="0" borderId="8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7" fillId="13" borderId="4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46" fillId="14" borderId="4" xfId="0" applyFont="1" applyFill="1" applyBorder="1" applyAlignment="1">
      <alignment horizontal="center" vertical="center"/>
    </xf>
    <xf numFmtId="0" fontId="46" fillId="14" borderId="5" xfId="0" applyFont="1" applyFill="1" applyBorder="1" applyAlignment="1">
      <alignment horizontal="center" vertical="center"/>
    </xf>
    <xf numFmtId="0" fontId="46" fillId="14" borderId="6" xfId="0" applyFont="1" applyFill="1" applyBorder="1" applyAlignment="1">
      <alignment horizontal="center" vertical="center"/>
    </xf>
    <xf numFmtId="0" fontId="7" fillId="0" borderId="31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164" fontId="46" fillId="0" borderId="0" xfId="0" applyNumberFormat="1" applyFont="1" applyAlignment="1">
      <alignment horizontal="center" vertical="center"/>
    </xf>
    <xf numFmtId="0" fontId="7" fillId="12" borderId="1" xfId="0" applyFont="1" applyFill="1" applyBorder="1" applyAlignment="1" applyProtection="1">
      <alignment vertical="center" wrapText="1"/>
      <protection locked="0"/>
    </xf>
    <xf numFmtId="0" fontId="7" fillId="12" borderId="20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>
      <alignment vertical="center"/>
    </xf>
    <xf numFmtId="164" fontId="15" fillId="7" borderId="8" xfId="0" applyNumberFormat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 wrapText="1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8" xfId="0" applyFont="1" applyBorder="1" applyAlignment="1">
      <alignment vertical="center"/>
    </xf>
    <xf numFmtId="0" fontId="15" fillId="0" borderId="8" xfId="0" applyFont="1" applyBorder="1"/>
    <xf numFmtId="2" fontId="0" fillId="0" borderId="3" xfId="0" applyNumberFormat="1" applyBorder="1" applyAlignment="1">
      <alignment horizontal="center" vertical="center" wrapText="1"/>
    </xf>
    <xf numFmtId="170" fontId="0" fillId="0" borderId="3" xfId="33" applyNumberFormat="1" applyFont="1" applyBorder="1" applyAlignment="1">
      <alignment horizontal="center"/>
    </xf>
    <xf numFmtId="164" fontId="15" fillId="0" borderId="0" xfId="0" applyNumberFormat="1" applyFont="1" applyAlignment="1">
      <alignment horizontal="center" vertical="center"/>
    </xf>
    <xf numFmtId="0" fontId="2" fillId="0" borderId="3" xfId="0" applyFont="1" applyBorder="1" applyAlignment="1">
      <alignment vertical="center" wrapText="1"/>
    </xf>
    <xf numFmtId="0" fontId="2" fillId="0" borderId="3" xfId="38" applyFont="1" applyBorder="1"/>
    <xf numFmtId="0" fontId="2" fillId="4" borderId="3" xfId="38" applyFont="1" applyFill="1" applyBorder="1"/>
    <xf numFmtId="0" fontId="2" fillId="8" borderId="3" xfId="38" applyFont="1" applyFill="1" applyBorder="1"/>
    <xf numFmtId="0" fontId="0" fillId="16" borderId="0" xfId="0" applyFill="1" applyAlignment="1">
      <alignment vertical="center"/>
    </xf>
    <xf numFmtId="0" fontId="56" fillId="0" borderId="0" xfId="0" applyFont="1" applyAlignment="1" applyProtection="1">
      <alignment horizontal="center" vertical="center" wrapText="1"/>
      <protection locked="0"/>
    </xf>
    <xf numFmtId="9" fontId="0" fillId="0" borderId="0" xfId="33" applyFont="1" applyFill="1" applyBorder="1" applyAlignment="1">
      <alignment horizontal="center"/>
    </xf>
    <xf numFmtId="170" fontId="0" fillId="0" borderId="3" xfId="33" applyNumberFormat="1" applyFont="1" applyBorder="1" applyAlignment="1">
      <alignment horizontal="center" vertical="center"/>
    </xf>
    <xf numFmtId="170" fontId="7" fillId="0" borderId="36" xfId="33" applyNumberFormat="1" applyFont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7" fillId="4" borderId="3" xfId="0" applyFont="1" applyFill="1" applyBorder="1"/>
    <xf numFmtId="0" fontId="7" fillId="38" borderId="3" xfId="0" applyFont="1" applyFill="1" applyBorder="1"/>
    <xf numFmtId="0" fontId="44" fillId="25" borderId="2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0" fontId="0" fillId="28" borderId="3" xfId="0" applyFill="1" applyBorder="1"/>
    <xf numFmtId="0" fontId="16" fillId="0" borderId="1" xfId="0" applyFont="1" applyBorder="1" applyAlignment="1">
      <alignment vertical="center"/>
    </xf>
    <xf numFmtId="9" fontId="15" fillId="0" borderId="3" xfId="33" applyFont="1" applyBorder="1" applyAlignment="1" applyProtection="1">
      <alignment horizontal="center" vertical="center"/>
      <protection locked="0"/>
    </xf>
    <xf numFmtId="9" fontId="15" fillId="0" borderId="39" xfId="33" applyFont="1" applyBorder="1" applyAlignment="1" applyProtection="1">
      <alignment horizontal="center" vertical="center"/>
      <protection locked="0"/>
    </xf>
    <xf numFmtId="6" fontId="15" fillId="0" borderId="3" xfId="0" applyNumberFormat="1" applyFont="1" applyBorder="1" applyAlignment="1" applyProtection="1">
      <alignment horizontal="center" vertical="center" wrapText="1"/>
      <protection locked="0"/>
    </xf>
    <xf numFmtId="0" fontId="16" fillId="18" borderId="4" xfId="0" applyFont="1" applyFill="1" applyBorder="1" applyAlignment="1">
      <alignment vertical="center"/>
    </xf>
    <xf numFmtId="9" fontId="15" fillId="0" borderId="3" xfId="33" applyFont="1" applyBorder="1" applyAlignment="1">
      <alignment horizontal="center" vertical="center"/>
    </xf>
    <xf numFmtId="9" fontId="15" fillId="0" borderId="39" xfId="33" applyFont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164" fontId="15" fillId="0" borderId="3" xfId="36" applyNumberFormat="1" applyFont="1" applyBorder="1" applyAlignment="1" applyProtection="1">
      <alignment horizontal="center" vertical="center" wrapText="1"/>
      <protection locked="0"/>
    </xf>
    <xf numFmtId="164" fontId="15" fillId="0" borderId="39" xfId="36" applyNumberFormat="1" applyFont="1" applyBorder="1" applyAlignment="1" applyProtection="1">
      <alignment horizontal="center" vertical="center" wrapText="1"/>
      <protection locked="0"/>
    </xf>
    <xf numFmtId="0" fontId="12" fillId="0" borderId="0" xfId="0" applyFont="1"/>
    <xf numFmtId="15" fontId="0" fillId="0" borderId="3" xfId="0" applyNumberFormat="1" applyBorder="1" applyAlignment="1" applyProtection="1">
      <alignment horizontal="center"/>
      <protection locked="0"/>
    </xf>
    <xf numFmtId="0" fontId="28" fillId="7" borderId="3" xfId="0" applyFont="1" applyFill="1" applyBorder="1" applyAlignment="1">
      <alignment vertical="center"/>
    </xf>
    <xf numFmtId="0" fontId="7" fillId="7" borderId="3" xfId="0" applyFont="1" applyFill="1" applyBorder="1" applyAlignment="1">
      <alignment horizontal="center" vertical="top"/>
    </xf>
    <xf numFmtId="0" fontId="29" fillId="0" borderId="3" xfId="0" applyFont="1" applyBorder="1" applyAlignment="1">
      <alignment vertical="center" wrapText="1"/>
    </xf>
    <xf numFmtId="0" fontId="30" fillId="0" borderId="8" xfId="0" applyFont="1" applyBorder="1" applyAlignment="1" applyProtection="1">
      <alignment vertical="top" wrapText="1"/>
      <protection locked="0"/>
    </xf>
    <xf numFmtId="0" fontId="0" fillId="14" borderId="3" xfId="0" applyFill="1" applyBorder="1" applyAlignment="1">
      <alignment horizontal="center" vertical="top" wrapText="1"/>
    </xf>
    <xf numFmtId="0" fontId="30" fillId="0" borderId="49" xfId="0" applyFont="1" applyBorder="1" applyAlignment="1" applyProtection="1">
      <alignment vertical="top" wrapText="1"/>
      <protection locked="0"/>
    </xf>
    <xf numFmtId="0" fontId="30" fillId="0" borderId="7" xfId="0" applyFont="1" applyBorder="1" applyAlignment="1" applyProtection="1">
      <alignment vertical="top" wrapText="1"/>
      <protection locked="0"/>
    </xf>
    <xf numFmtId="0" fontId="30" fillId="0" borderId="3" xfId="0" applyFont="1" applyBorder="1" applyAlignment="1" applyProtection="1">
      <alignment vertical="center" wrapText="1"/>
      <protection locked="0"/>
    </xf>
    <xf numFmtId="0" fontId="29" fillId="0" borderId="8" xfId="0" applyFont="1" applyBorder="1" applyAlignment="1">
      <alignment vertical="center" wrapText="1"/>
    </xf>
    <xf numFmtId="0" fontId="28" fillId="7" borderId="4" xfId="0" applyFont="1" applyFill="1" applyBorder="1" applyAlignment="1">
      <alignment vertical="center"/>
    </xf>
    <xf numFmtId="0" fontId="1" fillId="0" borderId="0" xfId="48"/>
    <xf numFmtId="0" fontId="29" fillId="0" borderId="0" xfId="48" applyFont="1" applyAlignment="1">
      <alignment vertical="top" wrapText="1"/>
    </xf>
    <xf numFmtId="0" fontId="29" fillId="0" borderId="9" xfId="48" applyFont="1" applyBorder="1" applyAlignment="1">
      <alignment vertical="center" wrapText="1"/>
    </xf>
    <xf numFmtId="0" fontId="29" fillId="0" borderId="0" xfId="48" applyFont="1" applyAlignment="1">
      <alignment vertical="center" wrapText="1"/>
    </xf>
    <xf numFmtId="0" fontId="34" fillId="0" borderId="0" xfId="48" applyFont="1"/>
    <xf numFmtId="0" fontId="30" fillId="0" borderId="0" xfId="48" applyFont="1" applyAlignment="1">
      <alignment vertical="center" wrapText="1"/>
    </xf>
    <xf numFmtId="0" fontId="30" fillId="0" borderId="0" xfId="48" applyFont="1" applyAlignment="1">
      <alignment vertical="top" wrapText="1"/>
    </xf>
    <xf numFmtId="0" fontId="36" fillId="0" borderId="0" xfId="48" applyFont="1" applyAlignment="1">
      <alignment horizontal="right" vertical="center"/>
    </xf>
    <xf numFmtId="0" fontId="37" fillId="0" borderId="0" xfId="48" applyFont="1" applyAlignment="1" applyProtection="1">
      <alignment vertical="top" wrapText="1"/>
      <protection locked="0"/>
    </xf>
    <xf numFmtId="0" fontId="38" fillId="23" borderId="0" xfId="48" applyFont="1" applyFill="1" applyAlignment="1" applyProtection="1">
      <alignment vertical="center"/>
      <protection locked="0"/>
    </xf>
    <xf numFmtId="0" fontId="38" fillId="0" borderId="0" xfId="48" applyFont="1" applyAlignment="1" applyProtection="1">
      <alignment vertical="center"/>
      <protection locked="0"/>
    </xf>
    <xf numFmtId="0" fontId="1" fillId="0" borderId="0" xfId="48" applyProtection="1">
      <protection locked="0"/>
    </xf>
    <xf numFmtId="0" fontId="37" fillId="0" borderId="0" xfId="48" applyFont="1" applyAlignment="1">
      <alignment vertical="center"/>
    </xf>
    <xf numFmtId="0" fontId="37" fillId="0" borderId="0" xfId="48" applyFont="1" applyAlignment="1" applyProtection="1">
      <alignment horizontal="left" vertical="center"/>
      <protection locked="0"/>
    </xf>
    <xf numFmtId="0" fontId="18" fillId="0" borderId="0" xfId="48" applyFont="1" applyAlignment="1">
      <alignment horizontal="center"/>
    </xf>
    <xf numFmtId="164" fontId="18" fillId="0" borderId="0" xfId="48" applyNumberFormat="1" applyFont="1" applyAlignment="1">
      <alignment horizontal="center"/>
    </xf>
    <xf numFmtId="0" fontId="37" fillId="0" borderId="0" xfId="48" applyFont="1" applyAlignment="1">
      <alignment horizontal="left" vertical="center"/>
    </xf>
    <xf numFmtId="0" fontId="38" fillId="0" borderId="0" xfId="48" applyFont="1" applyAlignment="1">
      <alignment horizontal="left" vertical="center"/>
    </xf>
    <xf numFmtId="0" fontId="1" fillId="0" borderId="0" xfId="48" applyAlignment="1">
      <alignment horizontal="center"/>
    </xf>
    <xf numFmtId="0" fontId="1" fillId="0" borderId="0" xfId="48" applyAlignment="1" applyProtection="1">
      <alignment horizontal="center"/>
      <protection locked="0"/>
    </xf>
    <xf numFmtId="0" fontId="39" fillId="0" borderId="0" xfId="48" applyFont="1" applyAlignment="1" applyProtection="1">
      <alignment horizontal="right" vertical="center"/>
      <protection locked="0"/>
    </xf>
    <xf numFmtId="0" fontId="18" fillId="4" borderId="3" xfId="0" applyFont="1" applyFill="1" applyBorder="1" applyAlignment="1">
      <alignment horizontal="left" vertical="center"/>
    </xf>
    <xf numFmtId="0" fontId="1" fillId="0" borderId="3" xfId="0" applyFont="1" applyBorder="1" applyAlignment="1">
      <alignment horizontal="center"/>
    </xf>
    <xf numFmtId="0" fontId="0" fillId="0" borderId="20" xfId="0" applyBorder="1"/>
    <xf numFmtId="0" fontId="0" fillId="0" borderId="23" xfId="0" applyBorder="1"/>
    <xf numFmtId="0" fontId="0" fillId="0" borderId="2" xfId="0" applyBorder="1"/>
    <xf numFmtId="0" fontId="0" fillId="4" borderId="3" xfId="0" applyFill="1" applyBorder="1"/>
    <xf numFmtId="0" fontId="59" fillId="40" borderId="2" xfId="0" applyFont="1" applyFill="1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8" fillId="0" borderId="3" xfId="37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horizontal="center"/>
      <protection locked="0"/>
    </xf>
    <xf numFmtId="0" fontId="8" fillId="0" borderId="3" xfId="37" applyBorder="1" applyAlignment="1" applyProtection="1">
      <alignment horizontal="center"/>
      <protection locked="0"/>
    </xf>
    <xf numFmtId="0" fontId="32" fillId="0" borderId="0" xfId="0" applyFont="1" applyAlignment="1">
      <alignment horizontal="center"/>
    </xf>
    <xf numFmtId="0" fontId="38" fillId="0" borderId="0" xfId="48" applyFont="1" applyAlignment="1" applyProtection="1">
      <alignment horizontal="center" vertical="center"/>
      <protection locked="0"/>
    </xf>
    <xf numFmtId="0" fontId="1" fillId="0" borderId="18" xfId="48" applyBorder="1" applyAlignment="1" applyProtection="1">
      <alignment horizontal="left" vertical="top" wrapText="1"/>
      <protection locked="0"/>
    </xf>
    <xf numFmtId="0" fontId="1" fillId="0" borderId="16" xfId="48" applyBorder="1" applyAlignment="1" applyProtection="1">
      <alignment horizontal="left" vertical="top" wrapText="1"/>
      <protection locked="0"/>
    </xf>
    <xf numFmtId="0" fontId="1" fillId="0" borderId="1" xfId="48" applyBorder="1" applyAlignment="1" applyProtection="1">
      <alignment horizontal="left" vertical="top" wrapText="1"/>
      <protection locked="0"/>
    </xf>
    <xf numFmtId="0" fontId="1" fillId="0" borderId="19" xfId="48" applyBorder="1" applyAlignment="1" applyProtection="1">
      <alignment horizontal="left" vertical="top" wrapText="1"/>
      <protection locked="0"/>
    </xf>
    <xf numFmtId="0" fontId="1" fillId="0" borderId="0" xfId="48" applyAlignment="1" applyProtection="1">
      <alignment horizontal="left" vertical="top" wrapText="1"/>
      <protection locked="0"/>
    </xf>
    <xf numFmtId="0" fontId="1" fillId="0" borderId="20" xfId="48" applyBorder="1" applyAlignment="1" applyProtection="1">
      <alignment horizontal="left" vertical="top" wrapText="1"/>
      <protection locked="0"/>
    </xf>
    <xf numFmtId="0" fontId="1" fillId="0" borderId="23" xfId="48" applyBorder="1" applyAlignment="1" applyProtection="1">
      <alignment horizontal="left" vertical="top" wrapText="1"/>
      <protection locked="0"/>
    </xf>
    <xf numFmtId="0" fontId="1" fillId="0" borderId="24" xfId="48" applyBorder="1" applyAlignment="1" applyProtection="1">
      <alignment horizontal="left" vertical="top" wrapText="1"/>
      <protection locked="0"/>
    </xf>
    <xf numFmtId="0" fontId="1" fillId="0" borderId="2" xfId="48" applyBorder="1" applyAlignment="1" applyProtection="1">
      <alignment horizontal="left" vertical="top" wrapText="1"/>
      <protection locked="0"/>
    </xf>
    <xf numFmtId="0" fontId="40" fillId="0" borderId="0" xfId="48" applyFont="1" applyAlignment="1">
      <alignment horizontal="left"/>
    </xf>
    <xf numFmtId="0" fontId="30" fillId="0" borderId="21" xfId="48" applyFont="1" applyBorder="1" applyAlignment="1">
      <alignment horizontal="left" vertical="center" wrapText="1"/>
    </xf>
    <xf numFmtId="0" fontId="30" fillId="0" borderId="0" xfId="48" applyFont="1" applyAlignment="1">
      <alignment horizontal="left" vertical="center" wrapText="1"/>
    </xf>
    <xf numFmtId="0" fontId="1" fillId="22" borderId="0" xfId="48" applyFill="1" applyAlignment="1">
      <alignment horizontal="center"/>
    </xf>
    <xf numFmtId="14" fontId="30" fillId="0" borderId="0" xfId="48" applyNumberFormat="1" applyFont="1" applyAlignment="1">
      <alignment horizontal="left" vertical="center" wrapText="1"/>
    </xf>
    <xf numFmtId="0" fontId="7" fillId="17" borderId="16" xfId="0" applyFont="1" applyFill="1" applyBorder="1" applyAlignment="1">
      <alignment horizontal="center" vertical="center" textRotation="90"/>
    </xf>
    <xf numFmtId="0" fontId="7" fillId="17" borderId="0" xfId="0" applyFont="1" applyFill="1" applyAlignment="1">
      <alignment horizontal="center" vertical="center" textRotation="90"/>
    </xf>
    <xf numFmtId="0" fontId="1" fillId="14" borderId="3" xfId="0" applyFont="1" applyFill="1" applyBorder="1" applyAlignment="1">
      <alignment horizontal="center"/>
    </xf>
    <xf numFmtId="0" fontId="16" fillId="0" borderId="4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7" fillId="9" borderId="3" xfId="0" applyFont="1" applyFill="1" applyBorder="1" applyAlignment="1">
      <alignment horizontal="center" vertical="center" textRotation="90"/>
    </xf>
    <xf numFmtId="0" fontId="7" fillId="7" borderId="3" xfId="0" applyFont="1" applyFill="1" applyBorder="1" applyAlignment="1">
      <alignment horizontal="center" vertical="top"/>
    </xf>
    <xf numFmtId="0" fontId="18" fillId="7" borderId="3" xfId="0" applyFont="1" applyFill="1" applyBorder="1" applyAlignment="1">
      <alignment horizontal="center" vertical="top"/>
    </xf>
    <xf numFmtId="0" fontId="29" fillId="0" borderId="3" xfId="0" applyFont="1" applyBorder="1" applyAlignment="1">
      <alignment vertical="center" wrapText="1"/>
    </xf>
    <xf numFmtId="0" fontId="7" fillId="9" borderId="16" xfId="0" applyFont="1" applyFill="1" applyBorder="1" applyAlignment="1">
      <alignment horizontal="center" vertical="center" textRotation="90"/>
    </xf>
    <xf numFmtId="0" fontId="7" fillId="9" borderId="0" xfId="0" applyFont="1" applyFill="1" applyAlignment="1">
      <alignment horizontal="center" vertical="center" textRotation="90"/>
    </xf>
    <xf numFmtId="0" fontId="7" fillId="17" borderId="8" xfId="0" applyFont="1" applyFill="1" applyBorder="1" applyAlignment="1">
      <alignment horizontal="center" vertical="center" textRotation="90"/>
    </xf>
    <xf numFmtId="0" fontId="7" fillId="17" borderId="13" xfId="0" applyFont="1" applyFill="1" applyBorder="1" applyAlignment="1">
      <alignment horizontal="center" vertical="center" textRotation="90"/>
    </xf>
    <xf numFmtId="0" fontId="7" fillId="17" borderId="7" xfId="0" applyFont="1" applyFill="1" applyBorder="1" applyAlignment="1">
      <alignment horizontal="center" vertical="center" textRotation="90"/>
    </xf>
    <xf numFmtId="0" fontId="18" fillId="10" borderId="5" xfId="0" applyFont="1" applyFill="1" applyBorder="1" applyAlignment="1" applyProtection="1">
      <alignment horizontal="center" vertical="center"/>
      <protection locked="0"/>
    </xf>
    <xf numFmtId="0" fontId="18" fillId="10" borderId="6" xfId="0" applyFont="1" applyFill="1" applyBorder="1" applyAlignment="1" applyProtection="1">
      <alignment horizontal="center" vertical="center"/>
      <protection locked="0"/>
    </xf>
    <xf numFmtId="0" fontId="18" fillId="0" borderId="4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31" fillId="21" borderId="18" xfId="0" applyFont="1" applyFill="1" applyBorder="1" applyAlignment="1" applyProtection="1">
      <alignment horizontal="left" vertical="top" wrapText="1"/>
      <protection locked="0"/>
    </xf>
    <xf numFmtId="0" fontId="31" fillId="21" borderId="16" xfId="0" applyFont="1" applyFill="1" applyBorder="1" applyAlignment="1" applyProtection="1">
      <alignment horizontal="left" vertical="top" wrapText="1"/>
      <protection locked="0"/>
    </xf>
    <xf numFmtId="0" fontId="31" fillId="21" borderId="1" xfId="0" applyFont="1" applyFill="1" applyBorder="1" applyAlignment="1" applyProtection="1">
      <alignment horizontal="left" vertical="top" wrapText="1"/>
      <protection locked="0"/>
    </xf>
    <xf numFmtId="0" fontId="31" fillId="21" borderId="19" xfId="0" applyFont="1" applyFill="1" applyBorder="1" applyAlignment="1" applyProtection="1">
      <alignment horizontal="left" vertical="top" wrapText="1"/>
      <protection locked="0"/>
    </xf>
    <xf numFmtId="0" fontId="31" fillId="21" borderId="0" xfId="0" applyFont="1" applyFill="1" applyAlignment="1" applyProtection="1">
      <alignment horizontal="left" vertical="top" wrapText="1"/>
      <protection locked="0"/>
    </xf>
    <xf numFmtId="0" fontId="31" fillId="21" borderId="20" xfId="0" applyFont="1" applyFill="1" applyBorder="1" applyAlignment="1" applyProtection="1">
      <alignment horizontal="left" vertical="top" wrapText="1"/>
      <protection locked="0"/>
    </xf>
    <xf numFmtId="0" fontId="31" fillId="21" borderId="23" xfId="0" applyFont="1" applyFill="1" applyBorder="1" applyAlignment="1" applyProtection="1">
      <alignment horizontal="left" vertical="top" wrapText="1"/>
      <protection locked="0"/>
    </xf>
    <xf numFmtId="0" fontId="31" fillId="21" borderId="24" xfId="0" applyFont="1" applyFill="1" applyBorder="1" applyAlignment="1" applyProtection="1">
      <alignment horizontal="left" vertical="top" wrapText="1"/>
      <protection locked="0"/>
    </xf>
    <xf numFmtId="0" fontId="31" fillId="21" borderId="2" xfId="0" applyFont="1" applyFill="1" applyBorder="1" applyAlignment="1" applyProtection="1">
      <alignment horizontal="left" vertical="top" wrapText="1"/>
      <protection locked="0"/>
    </xf>
    <xf numFmtId="0" fontId="62" fillId="21" borderId="19" xfId="0" applyFont="1" applyFill="1" applyBorder="1" applyAlignment="1" applyProtection="1">
      <alignment horizontal="left" vertical="top" wrapText="1"/>
      <protection locked="0"/>
    </xf>
    <xf numFmtId="0" fontId="62" fillId="21" borderId="21" xfId="0" applyFont="1" applyFill="1" applyBorder="1" applyAlignment="1" applyProtection="1">
      <alignment horizontal="left" vertical="top" wrapText="1"/>
      <protection locked="0"/>
    </xf>
    <xf numFmtId="0" fontId="62" fillId="21" borderId="23" xfId="0" applyFont="1" applyFill="1" applyBorder="1" applyAlignment="1" applyProtection="1">
      <alignment horizontal="left" vertical="top" wrapText="1"/>
      <protection locked="0"/>
    </xf>
    <xf numFmtId="0" fontId="62" fillId="21" borderId="27" xfId="0" applyFont="1" applyFill="1" applyBorder="1" applyAlignment="1" applyProtection="1">
      <alignment horizontal="left" vertical="top" wrapText="1"/>
      <protection locked="0"/>
    </xf>
    <xf numFmtId="0" fontId="1" fillId="14" borderId="7" xfId="0" applyFont="1" applyFill="1" applyBorder="1" applyAlignment="1">
      <alignment horizontal="center"/>
    </xf>
    <xf numFmtId="0" fontId="61" fillId="4" borderId="4" xfId="0" applyFont="1" applyFill="1" applyBorder="1" applyAlignment="1">
      <alignment horizontal="center"/>
    </xf>
    <xf numFmtId="0" fontId="61" fillId="4" borderId="5" xfId="0" applyFont="1" applyFill="1" applyBorder="1" applyAlignment="1">
      <alignment horizontal="center"/>
    </xf>
    <xf numFmtId="0" fontId="61" fillId="4" borderId="6" xfId="0" applyFont="1" applyFill="1" applyBorder="1" applyAlignment="1">
      <alignment horizontal="center"/>
    </xf>
    <xf numFmtId="0" fontId="60" fillId="17" borderId="4" xfId="0" applyFont="1" applyFill="1" applyBorder="1" applyAlignment="1" applyProtection="1">
      <alignment horizontal="center" vertical="center"/>
      <protection locked="0"/>
    </xf>
    <xf numFmtId="0" fontId="60" fillId="17" borderId="5" xfId="0" applyFont="1" applyFill="1" applyBorder="1" applyAlignment="1" applyProtection="1">
      <alignment horizontal="center" vertical="center"/>
      <protection locked="0"/>
    </xf>
    <xf numFmtId="0" fontId="60" fillId="17" borderId="6" xfId="0" applyFont="1" applyFill="1" applyBorder="1" applyAlignment="1" applyProtection="1">
      <alignment horizontal="center" vertical="center"/>
      <protection locked="0"/>
    </xf>
    <xf numFmtId="0" fontId="18" fillId="0" borderId="3" xfId="0" applyFont="1" applyBorder="1" applyAlignment="1" applyProtection="1">
      <alignment horizontal="center" vertical="center"/>
      <protection locked="0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6" xfId="0" applyFill="1" applyBorder="1" applyAlignment="1" applyProtection="1">
      <alignment horizontal="center"/>
      <protection locked="0"/>
    </xf>
    <xf numFmtId="0" fontId="0" fillId="16" borderId="23" xfId="0" applyFill="1" applyBorder="1" applyAlignment="1" applyProtection="1">
      <alignment horizontal="center"/>
      <protection locked="0"/>
    </xf>
    <xf numFmtId="0" fontId="0" fillId="16" borderId="24" xfId="0" applyFill="1" applyBorder="1" applyAlignment="1" applyProtection="1">
      <alignment horizontal="center"/>
      <protection locked="0"/>
    </xf>
    <xf numFmtId="0" fontId="20" fillId="11" borderId="3" xfId="0" applyFont="1" applyFill="1" applyBorder="1" applyAlignment="1">
      <alignment horizontal="center" vertical="center" wrapText="1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16" borderId="6" xfId="0" applyFill="1" applyBorder="1" applyAlignment="1" applyProtection="1">
      <alignment horizontal="center"/>
      <protection locked="0"/>
    </xf>
    <xf numFmtId="0" fontId="0" fillId="16" borderId="0" xfId="0" applyFill="1" applyAlignment="1" applyProtection="1">
      <alignment horizontal="center"/>
      <protection locked="0"/>
    </xf>
    <xf numFmtId="0" fontId="0" fillId="16" borderId="8" xfId="0" applyFill="1" applyBorder="1" applyAlignment="1" applyProtection="1">
      <alignment horizontal="center"/>
      <protection locked="0"/>
    </xf>
    <xf numFmtId="0" fontId="0" fillId="16" borderId="13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43" fillId="0" borderId="0" xfId="0" applyFont="1" applyAlignment="1">
      <alignment horizontal="left" vertical="top" wrapText="1"/>
    </xf>
    <xf numFmtId="0" fontId="41" fillId="0" borderId="9" xfId="0" applyFont="1" applyBorder="1" applyAlignment="1">
      <alignment vertical="top" wrapText="1"/>
    </xf>
    <xf numFmtId="0" fontId="41" fillId="0" borderId="0" xfId="0" applyFont="1" applyAlignment="1">
      <alignment vertical="top" wrapText="1"/>
    </xf>
    <xf numFmtId="0" fontId="41" fillId="0" borderId="21" xfId="0" applyFont="1" applyBorder="1" applyAlignment="1">
      <alignment vertical="top" wrapText="1"/>
    </xf>
    <xf numFmtId="0" fontId="42" fillId="0" borderId="17" xfId="0" applyFont="1" applyBorder="1" applyAlignment="1">
      <alignment horizontal="left" vertical="top" wrapText="1"/>
    </xf>
    <xf numFmtId="0" fontId="42" fillId="0" borderId="15" xfId="0" applyFont="1" applyBorder="1" applyAlignment="1">
      <alignment horizontal="left" vertical="top" wrapText="1"/>
    </xf>
    <xf numFmtId="0" fontId="42" fillId="0" borderId="22" xfId="0" applyFont="1" applyBorder="1" applyAlignment="1">
      <alignment horizontal="left" vertical="top" wrapText="1"/>
    </xf>
    <xf numFmtId="0" fontId="42" fillId="0" borderId="0" xfId="0" applyFont="1" applyAlignment="1">
      <alignment horizontal="left" vertical="top" wrapText="1"/>
    </xf>
    <xf numFmtId="0" fontId="43" fillId="0" borderId="9" xfId="0" applyFont="1" applyBorder="1" applyAlignment="1">
      <alignment horizontal="left" vertical="top" wrapText="1"/>
    </xf>
    <xf numFmtId="0" fontId="43" fillId="0" borderId="21" xfId="0" applyFont="1" applyBorder="1" applyAlignment="1">
      <alignment horizontal="left" vertical="top" wrapText="1"/>
    </xf>
    <xf numFmtId="0" fontId="42" fillId="0" borderId="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38" fillId="0" borderId="0" xfId="0" applyFont="1" applyAlignment="1">
      <alignment horizontal="center" vertical="center"/>
    </xf>
    <xf numFmtId="0" fontId="40" fillId="0" borderId="0" xfId="0" applyFont="1" applyAlignment="1">
      <alignment horizontal="left"/>
    </xf>
    <xf numFmtId="0" fontId="29" fillId="0" borderId="26" xfId="0" applyFont="1" applyBorder="1" applyAlignment="1">
      <alignment horizontal="center" vertical="center" wrapText="1"/>
    </xf>
    <xf numFmtId="0" fontId="29" fillId="0" borderId="16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42" fillId="0" borderId="9" xfId="0" applyFont="1" applyBorder="1" applyAlignment="1">
      <alignment horizontal="left" vertical="center" wrapText="1"/>
    </xf>
    <xf numFmtId="0" fontId="42" fillId="0" borderId="0" xfId="0" applyFont="1" applyAlignment="1">
      <alignment horizontal="left" vertical="center" wrapText="1"/>
    </xf>
    <xf numFmtId="0" fontId="42" fillId="0" borderId="2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22" borderId="0" xfId="0" applyFill="1" applyAlignment="1">
      <alignment horizontal="center"/>
    </xf>
    <xf numFmtId="0" fontId="30" fillId="0" borderId="25" xfId="0" applyFont="1" applyBorder="1" applyAlignment="1">
      <alignment horizontal="left" vertical="center" wrapText="1"/>
    </xf>
    <xf numFmtId="0" fontId="30" fillId="0" borderId="16" xfId="0" applyFont="1" applyBorder="1" applyAlignment="1">
      <alignment horizontal="left" vertical="center" wrapText="1"/>
    </xf>
    <xf numFmtId="0" fontId="30" fillId="0" borderId="1" xfId="0" applyFont="1" applyBorder="1" applyAlignment="1">
      <alignment horizontal="left" vertical="center" wrapText="1"/>
    </xf>
    <xf numFmtId="0" fontId="30" fillId="0" borderId="21" xfId="0" applyFont="1" applyBorder="1" applyAlignment="1">
      <alignment horizontal="left" vertical="center" wrapText="1"/>
    </xf>
    <xf numFmtId="14" fontId="30" fillId="0" borderId="0" xfId="0" applyNumberFormat="1" applyFont="1" applyAlignment="1">
      <alignment horizontal="left" vertical="center" wrapText="1"/>
    </xf>
    <xf numFmtId="0" fontId="30" fillId="0" borderId="20" xfId="0" applyFont="1" applyBorder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30" fillId="0" borderId="27" xfId="0" applyFont="1" applyBorder="1" applyAlignment="1">
      <alignment horizontal="left" vertical="center" wrapText="1"/>
    </xf>
    <xf numFmtId="0" fontId="16" fillId="7" borderId="19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19" borderId="8" xfId="0" applyFont="1" applyFill="1" applyBorder="1" applyAlignment="1">
      <alignment horizontal="center" vertical="center"/>
    </xf>
    <xf numFmtId="0" fontId="16" fillId="19" borderId="13" xfId="0" applyFont="1" applyFill="1" applyBorder="1" applyAlignment="1">
      <alignment horizontal="center" vertical="center"/>
    </xf>
    <xf numFmtId="0" fontId="16" fillId="19" borderId="36" xfId="0" applyFont="1" applyFill="1" applyBorder="1" applyAlignment="1">
      <alignment horizontal="center" vertical="center"/>
    </xf>
    <xf numFmtId="0" fontId="16" fillId="31" borderId="4" xfId="0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6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7" fillId="24" borderId="33" xfId="0" applyFont="1" applyFill="1" applyBorder="1" applyAlignment="1">
      <alignment horizontal="center" vertical="center"/>
    </xf>
    <xf numFmtId="0" fontId="7" fillId="24" borderId="3" xfId="0" applyFont="1" applyFill="1" applyBorder="1" applyAlignment="1">
      <alignment horizontal="center" vertical="center"/>
    </xf>
    <xf numFmtId="0" fontId="15" fillId="32" borderId="6" xfId="0" applyFont="1" applyFill="1" applyBorder="1" applyAlignment="1">
      <alignment horizontal="center"/>
    </xf>
    <xf numFmtId="0" fontId="15" fillId="32" borderId="3" xfId="0" applyFont="1" applyFill="1" applyBorder="1" applyAlignment="1">
      <alignment horizontal="center"/>
    </xf>
    <xf numFmtId="0" fontId="15" fillId="32" borderId="10" xfId="0" applyFont="1" applyFill="1" applyBorder="1" applyAlignment="1">
      <alignment horizontal="center"/>
    </xf>
    <xf numFmtId="164" fontId="15" fillId="14" borderId="1" xfId="0" applyNumberFormat="1" applyFont="1" applyFill="1" applyBorder="1" applyAlignment="1">
      <alignment horizontal="center" vertical="center"/>
    </xf>
    <xf numFmtId="164" fontId="15" fillId="14" borderId="20" xfId="0" applyNumberFormat="1" applyFont="1" applyFill="1" applyBorder="1" applyAlignment="1">
      <alignment horizontal="center" vertical="center"/>
    </xf>
    <xf numFmtId="164" fontId="15" fillId="14" borderId="2" xfId="0" applyNumberFormat="1" applyFont="1" applyFill="1" applyBorder="1" applyAlignment="1">
      <alignment horizontal="center" vertical="center"/>
    </xf>
    <xf numFmtId="9" fontId="15" fillId="6" borderId="3" xfId="33" applyFont="1" applyFill="1" applyBorder="1" applyAlignment="1" applyProtection="1">
      <alignment horizontal="center" vertical="center"/>
    </xf>
    <xf numFmtId="164" fontId="16" fillId="20" borderId="43" xfId="0" applyNumberFormat="1" applyFont="1" applyFill="1" applyBorder="1" applyAlignment="1">
      <alignment horizontal="center" vertical="center"/>
    </xf>
    <xf numFmtId="164" fontId="16" fillId="20" borderId="14" xfId="0" applyNumberFormat="1" applyFont="1" applyFill="1" applyBorder="1" applyAlignment="1">
      <alignment horizontal="center" vertical="center"/>
    </xf>
    <xf numFmtId="164" fontId="16" fillId="20" borderId="44" xfId="0" applyNumberFormat="1" applyFont="1" applyFill="1" applyBorder="1" applyAlignment="1">
      <alignment horizontal="center" vertical="center"/>
    </xf>
    <xf numFmtId="0" fontId="15" fillId="7" borderId="19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6" fillId="0" borderId="4" xfId="0" applyFont="1" applyBorder="1" applyAlignment="1" applyProtection="1">
      <alignment horizontal="center" vertical="center" wrapText="1"/>
      <protection locked="0"/>
    </xf>
    <xf numFmtId="0" fontId="56" fillId="0" borderId="6" xfId="0" applyFont="1" applyBorder="1" applyAlignment="1" applyProtection="1">
      <alignment horizontal="center" vertical="center" wrapText="1"/>
      <protection locked="0"/>
    </xf>
    <xf numFmtId="0" fontId="55" fillId="0" borderId="3" xfId="0" applyFont="1" applyBorder="1" applyAlignment="1">
      <alignment horizontal="left" vertical="center" wrapText="1"/>
    </xf>
    <xf numFmtId="0" fontId="7" fillId="24" borderId="31" xfId="0" applyFont="1" applyFill="1" applyBorder="1" applyAlignment="1">
      <alignment horizontal="center" vertical="center"/>
    </xf>
    <xf numFmtId="0" fontId="7" fillId="24" borderId="30" xfId="0" applyFont="1" applyFill="1" applyBorder="1" applyAlignment="1">
      <alignment horizontal="center" vertical="center"/>
    </xf>
    <xf numFmtId="0" fontId="16" fillId="19" borderId="7" xfId="0" applyFont="1" applyFill="1" applyBorder="1" applyAlignment="1">
      <alignment horizontal="center" vertical="center"/>
    </xf>
    <xf numFmtId="16" fontId="40" fillId="0" borderId="3" xfId="0" applyNumberFormat="1" applyFont="1" applyBorder="1" applyAlignment="1" applyProtection="1">
      <alignment horizontal="left" vertical="center"/>
      <protection locked="0"/>
    </xf>
    <xf numFmtId="0" fontId="18" fillId="32" borderId="41" xfId="0" applyFont="1" applyFill="1" applyBorder="1" applyAlignment="1">
      <alignment horizontal="center"/>
    </xf>
    <xf numFmtId="0" fontId="18" fillId="32" borderId="30" xfId="0" applyFont="1" applyFill="1" applyBorder="1" applyAlignment="1">
      <alignment horizontal="center"/>
    </xf>
    <xf numFmtId="0" fontId="18" fillId="32" borderId="32" xfId="0" applyFont="1" applyFill="1" applyBorder="1" applyAlignment="1">
      <alignment horizontal="center"/>
    </xf>
    <xf numFmtId="164" fontId="16" fillId="14" borderId="1" xfId="0" applyNumberFormat="1" applyFont="1" applyFill="1" applyBorder="1" applyAlignment="1">
      <alignment horizontal="center" vertical="center"/>
    </xf>
    <xf numFmtId="164" fontId="16" fillId="14" borderId="20" xfId="0" applyNumberFormat="1" applyFont="1" applyFill="1" applyBorder="1" applyAlignment="1">
      <alignment horizontal="center" vertical="center"/>
    </xf>
    <xf numFmtId="164" fontId="16" fillId="14" borderId="2" xfId="0" applyNumberFormat="1" applyFont="1" applyFill="1" applyBorder="1" applyAlignment="1">
      <alignment horizontal="center" vertical="center"/>
    </xf>
    <xf numFmtId="9" fontId="16" fillId="6" borderId="3" xfId="33" applyFont="1" applyFill="1" applyBorder="1" applyAlignment="1" applyProtection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16" fillId="14" borderId="18" xfId="0" applyFont="1" applyFill="1" applyBorder="1" applyAlignment="1" applyProtection="1">
      <alignment horizontal="center" vertical="center" wrapText="1"/>
      <protection locked="0"/>
    </xf>
    <xf numFmtId="0" fontId="16" fillId="14" borderId="1" xfId="0" applyFont="1" applyFill="1" applyBorder="1" applyAlignment="1" applyProtection="1">
      <alignment horizontal="center" vertical="center" wrapText="1"/>
      <protection locked="0"/>
    </xf>
    <xf numFmtId="0" fontId="16" fillId="14" borderId="19" xfId="0" applyFont="1" applyFill="1" applyBorder="1" applyAlignment="1" applyProtection="1">
      <alignment horizontal="center" vertical="center" wrapText="1"/>
      <protection locked="0"/>
    </xf>
    <xf numFmtId="0" fontId="16" fillId="14" borderId="20" xfId="0" applyFont="1" applyFill="1" applyBorder="1" applyAlignment="1" applyProtection="1">
      <alignment horizontal="center" vertical="center" wrapText="1"/>
      <protection locked="0"/>
    </xf>
    <xf numFmtId="0" fontId="16" fillId="14" borderId="23" xfId="0" applyFont="1" applyFill="1" applyBorder="1" applyAlignment="1" applyProtection="1">
      <alignment horizontal="center" vertical="center" wrapText="1"/>
      <protection locked="0"/>
    </xf>
    <xf numFmtId="0" fontId="16" fillId="14" borderId="2" xfId="0" applyFont="1" applyFill="1" applyBorder="1" applyAlignment="1" applyProtection="1">
      <alignment horizontal="center" vertical="center" wrapText="1"/>
      <protection locked="0"/>
    </xf>
    <xf numFmtId="0" fontId="16" fillId="31" borderId="3" xfId="0" applyFont="1" applyFill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/>
    </xf>
    <xf numFmtId="164" fontId="15" fillId="7" borderId="8" xfId="0" applyNumberFormat="1" applyFont="1" applyFill="1" applyBorder="1" applyAlignment="1">
      <alignment horizontal="center" vertical="center"/>
    </xf>
    <xf numFmtId="164" fontId="15" fillId="7" borderId="7" xfId="0" applyNumberFormat="1" applyFont="1" applyFill="1" applyBorder="1" applyAlignment="1">
      <alignment horizontal="center" vertical="center"/>
    </xf>
    <xf numFmtId="0" fontId="16" fillId="19" borderId="16" xfId="0" applyFont="1" applyFill="1" applyBorder="1" applyAlignment="1" applyProtection="1">
      <alignment horizontal="center" vertical="center" wrapText="1"/>
      <protection locked="0"/>
    </xf>
    <xf numFmtId="0" fontId="16" fillId="19" borderId="1" xfId="0" applyFont="1" applyFill="1" applyBorder="1" applyAlignment="1" applyProtection="1">
      <alignment horizontal="center" vertical="center" wrapText="1"/>
      <protection locked="0"/>
    </xf>
    <xf numFmtId="0" fontId="16" fillId="19" borderId="0" xfId="0" applyFont="1" applyFill="1" applyAlignment="1" applyProtection="1">
      <alignment horizontal="center" vertical="center" wrapText="1"/>
      <protection locked="0"/>
    </xf>
    <xf numFmtId="0" fontId="16" fillId="19" borderId="20" xfId="0" applyFont="1" applyFill="1" applyBorder="1" applyAlignment="1" applyProtection="1">
      <alignment horizontal="center" vertical="center" wrapText="1"/>
      <protection locked="0"/>
    </xf>
    <xf numFmtId="0" fontId="16" fillId="19" borderId="24" xfId="0" applyFont="1" applyFill="1" applyBorder="1" applyAlignment="1" applyProtection="1">
      <alignment horizontal="center" vertical="center" wrapText="1"/>
      <protection locked="0"/>
    </xf>
    <xf numFmtId="0" fontId="16" fillId="19" borderId="2" xfId="0" applyFont="1" applyFill="1" applyBorder="1" applyAlignment="1" applyProtection="1">
      <alignment horizontal="center" vertical="center" wrapText="1"/>
      <protection locked="0"/>
    </xf>
    <xf numFmtId="0" fontId="16" fillId="15" borderId="18" xfId="0" applyFont="1" applyFill="1" applyBorder="1" applyAlignment="1" applyProtection="1">
      <alignment horizontal="center" vertical="center" wrapText="1"/>
      <protection locked="0"/>
    </xf>
    <xf numFmtId="0" fontId="16" fillId="15" borderId="1" xfId="0" applyFont="1" applyFill="1" applyBorder="1" applyAlignment="1" applyProtection="1">
      <alignment horizontal="center" vertical="center" wrapText="1"/>
      <protection locked="0"/>
    </xf>
    <xf numFmtId="0" fontId="16" fillId="15" borderId="19" xfId="0" applyFont="1" applyFill="1" applyBorder="1" applyAlignment="1" applyProtection="1">
      <alignment horizontal="center" vertical="center" wrapText="1"/>
      <protection locked="0"/>
    </xf>
    <xf numFmtId="0" fontId="16" fillId="15" borderId="20" xfId="0" applyFont="1" applyFill="1" applyBorder="1" applyAlignment="1" applyProtection="1">
      <alignment horizontal="center" vertical="center" wrapText="1"/>
      <protection locked="0"/>
    </xf>
    <xf numFmtId="0" fontId="16" fillId="15" borderId="23" xfId="0" applyFont="1" applyFill="1" applyBorder="1" applyAlignment="1" applyProtection="1">
      <alignment horizontal="center" vertical="center" wrapText="1"/>
      <protection locked="0"/>
    </xf>
    <xf numFmtId="0" fontId="16" fillId="15" borderId="2" xfId="0" applyFont="1" applyFill="1" applyBorder="1" applyAlignment="1" applyProtection="1">
      <alignment horizontal="center" vertical="center" wrapText="1"/>
      <protection locked="0"/>
    </xf>
    <xf numFmtId="0" fontId="16" fillId="30" borderId="18" xfId="0" applyFont="1" applyFill="1" applyBorder="1" applyAlignment="1">
      <alignment horizontal="center" vertical="center" wrapText="1"/>
    </xf>
    <xf numFmtId="0" fontId="16" fillId="30" borderId="1" xfId="0" applyFont="1" applyFill="1" applyBorder="1" applyAlignment="1">
      <alignment horizontal="center" vertical="center" wrapText="1"/>
    </xf>
    <xf numFmtId="0" fontId="16" fillId="30" borderId="19" xfId="0" applyFont="1" applyFill="1" applyBorder="1" applyAlignment="1">
      <alignment horizontal="center" vertical="center" wrapText="1"/>
    </xf>
    <xf numFmtId="0" fontId="16" fillId="30" borderId="20" xfId="0" applyFont="1" applyFill="1" applyBorder="1" applyAlignment="1">
      <alignment horizontal="center" vertical="center" wrapText="1"/>
    </xf>
    <xf numFmtId="0" fontId="16" fillId="15" borderId="3" xfId="0" applyFont="1" applyFill="1" applyBorder="1" applyAlignment="1">
      <alignment horizontal="center" vertical="center" wrapText="1"/>
    </xf>
    <xf numFmtId="0" fontId="16" fillId="9" borderId="18" xfId="0" applyFont="1" applyFill="1" applyBorder="1" applyAlignment="1" applyProtection="1">
      <alignment horizontal="center" vertical="center" wrapText="1"/>
      <protection locked="0"/>
    </xf>
    <xf numFmtId="0" fontId="16" fillId="9" borderId="1" xfId="0" applyFont="1" applyFill="1" applyBorder="1" applyAlignment="1" applyProtection="1">
      <alignment horizontal="center" vertical="center" wrapText="1"/>
      <protection locked="0"/>
    </xf>
    <xf numFmtId="0" fontId="16" fillId="9" borderId="19" xfId="0" applyFont="1" applyFill="1" applyBorder="1" applyAlignment="1" applyProtection="1">
      <alignment horizontal="center" vertical="center" wrapText="1"/>
      <protection locked="0"/>
    </xf>
    <xf numFmtId="0" fontId="16" fillId="9" borderId="20" xfId="0" applyFont="1" applyFill="1" applyBorder="1" applyAlignment="1" applyProtection="1">
      <alignment horizontal="center" vertical="center" wrapText="1"/>
      <protection locked="0"/>
    </xf>
    <xf numFmtId="0" fontId="16" fillId="9" borderId="23" xfId="0" applyFont="1" applyFill="1" applyBorder="1" applyAlignment="1" applyProtection="1">
      <alignment horizontal="center" vertical="center" wrapText="1"/>
      <protection locked="0"/>
    </xf>
    <xf numFmtId="0" fontId="16" fillId="9" borderId="2" xfId="0" applyFont="1" applyFill="1" applyBorder="1" applyAlignment="1" applyProtection="1">
      <alignment horizontal="center" vertical="center" wrapText="1"/>
      <protection locked="0"/>
    </xf>
    <xf numFmtId="0" fontId="16" fillId="10" borderId="3" xfId="0" applyFont="1" applyFill="1" applyBorder="1" applyAlignment="1" applyProtection="1">
      <alignment horizontal="left" vertical="center"/>
      <protection locked="0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64" fontId="15" fillId="7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 applyProtection="1">
      <alignment horizontal="center" vertical="center" wrapText="1"/>
      <protection locked="0"/>
    </xf>
    <xf numFmtId="0" fontId="16" fillId="17" borderId="18" xfId="0" applyFont="1" applyFill="1" applyBorder="1" applyAlignment="1" applyProtection="1">
      <alignment horizontal="center" vertical="center" wrapText="1"/>
      <protection locked="0"/>
    </xf>
    <xf numFmtId="0" fontId="16" fillId="17" borderId="1" xfId="0" applyFont="1" applyFill="1" applyBorder="1" applyAlignment="1" applyProtection="1">
      <alignment horizontal="center" vertical="center" wrapText="1"/>
      <protection locked="0"/>
    </xf>
    <xf numFmtId="0" fontId="16" fillId="17" borderId="19" xfId="0" applyFont="1" applyFill="1" applyBorder="1" applyAlignment="1" applyProtection="1">
      <alignment horizontal="center" vertical="center" wrapText="1"/>
      <protection locked="0"/>
    </xf>
    <xf numFmtId="0" fontId="16" fillId="17" borderId="20" xfId="0" applyFont="1" applyFill="1" applyBorder="1" applyAlignment="1" applyProtection="1">
      <alignment horizontal="center" vertical="center" wrapText="1"/>
      <protection locked="0"/>
    </xf>
    <xf numFmtId="0" fontId="16" fillId="17" borderId="23" xfId="0" applyFont="1" applyFill="1" applyBorder="1" applyAlignment="1" applyProtection="1">
      <alignment horizontal="center" vertical="center" wrapText="1"/>
      <protection locked="0"/>
    </xf>
    <xf numFmtId="0" fontId="16" fillId="17" borderId="2" xfId="0" applyFont="1" applyFill="1" applyBorder="1" applyAlignment="1" applyProtection="1">
      <alignment horizontal="center" vertical="center" wrapText="1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0" fontId="53" fillId="0" borderId="3" xfId="37" applyFont="1" applyBorder="1" applyAlignment="1" applyProtection="1">
      <alignment horizontal="center" vertical="center" wrapText="1"/>
      <protection locked="0"/>
    </xf>
    <xf numFmtId="0" fontId="16" fillId="24" borderId="3" xfId="0" applyFont="1" applyFill="1" applyBorder="1" applyAlignment="1">
      <alignment horizontal="center" vertical="center"/>
    </xf>
    <xf numFmtId="0" fontId="49" fillId="5" borderId="3" xfId="0" applyFont="1" applyFill="1" applyBorder="1" applyAlignment="1" applyProtection="1">
      <alignment horizontal="center" vertical="center"/>
      <protection locked="0"/>
    </xf>
    <xf numFmtId="0" fontId="49" fillId="10" borderId="3" xfId="0" applyFont="1" applyFill="1" applyBorder="1" applyAlignment="1" applyProtection="1">
      <alignment horizontal="center" vertical="center"/>
      <protection locked="0"/>
    </xf>
    <xf numFmtId="0" fontId="16" fillId="0" borderId="4" xfId="0" applyFont="1" applyBorder="1" applyAlignment="1" applyProtection="1">
      <alignment horizontal="center" vertical="center"/>
      <protection locked="0"/>
    </xf>
    <xf numFmtId="0" fontId="16" fillId="0" borderId="6" xfId="0" applyFont="1" applyBorder="1" applyAlignment="1" applyProtection="1">
      <alignment horizontal="center" vertical="center"/>
      <protection locked="0"/>
    </xf>
    <xf numFmtId="0" fontId="29" fillId="0" borderId="8" xfId="0" applyFont="1" applyBorder="1" applyAlignment="1" applyProtection="1">
      <alignment horizontal="left" vertical="center" wrapText="1"/>
      <protection locked="0"/>
    </xf>
    <xf numFmtId="0" fontId="29" fillId="0" borderId="13" xfId="0" applyFont="1" applyBorder="1" applyAlignment="1" applyProtection="1">
      <alignment horizontal="left" vertical="center" wrapText="1"/>
      <protection locked="0"/>
    </xf>
    <xf numFmtId="0" fontId="29" fillId="0" borderId="7" xfId="0" applyFont="1" applyBorder="1" applyAlignment="1" applyProtection="1">
      <alignment horizontal="left" vertical="center" wrapText="1"/>
      <protection locked="0"/>
    </xf>
    <xf numFmtId="0" fontId="29" fillId="0" borderId="3" xfId="0" applyFont="1" applyBorder="1" applyAlignment="1" applyProtection="1">
      <alignment horizontal="left" vertical="center" wrapText="1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164" fontId="15" fillId="7" borderId="13" xfId="0" applyNumberFormat="1" applyFont="1" applyFill="1" applyBorder="1" applyAlignment="1">
      <alignment horizontal="center" vertical="center"/>
    </xf>
    <xf numFmtId="0" fontId="15" fillId="32" borderId="41" xfId="0" applyFont="1" applyFill="1" applyBorder="1" applyAlignment="1">
      <alignment horizontal="center"/>
    </xf>
    <xf numFmtId="0" fontId="15" fillId="32" borderId="30" xfId="0" applyFont="1" applyFill="1" applyBorder="1" applyAlignment="1">
      <alignment horizontal="center"/>
    </xf>
    <xf numFmtId="0" fontId="15" fillId="32" borderId="32" xfId="0" applyFont="1" applyFill="1" applyBorder="1" applyAlignment="1">
      <alignment horizontal="center"/>
    </xf>
    <xf numFmtId="0" fontId="16" fillId="18" borderId="5" xfId="0" applyFont="1" applyFill="1" applyBorder="1" applyAlignment="1">
      <alignment horizontal="center" vertical="center"/>
    </xf>
    <xf numFmtId="0" fontId="16" fillId="18" borderId="6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 wrapText="1"/>
    </xf>
    <xf numFmtId="0" fontId="15" fillId="15" borderId="13" xfId="0" applyFont="1" applyFill="1" applyBorder="1" applyAlignment="1">
      <alignment horizontal="center" vertical="center" wrapText="1"/>
    </xf>
    <xf numFmtId="0" fontId="15" fillId="15" borderId="7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21" fillId="38" borderId="8" xfId="0" applyFont="1" applyFill="1" applyBorder="1" applyAlignment="1">
      <alignment horizontal="center" vertical="center"/>
    </xf>
    <xf numFmtId="0" fontId="21" fillId="38" borderId="7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5" fillId="15" borderId="13" xfId="0" applyFont="1" applyFill="1" applyBorder="1" applyAlignment="1">
      <alignment horizontal="center" vertical="center"/>
    </xf>
    <xf numFmtId="0" fontId="15" fillId="15" borderId="7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16" fillId="32" borderId="6" xfId="0" applyFont="1" applyFill="1" applyBorder="1" applyAlignment="1">
      <alignment horizontal="center"/>
    </xf>
    <xf numFmtId="0" fontId="16" fillId="32" borderId="3" xfId="0" applyFont="1" applyFill="1" applyBorder="1" applyAlignment="1">
      <alignment horizontal="center"/>
    </xf>
    <xf numFmtId="0" fontId="16" fillId="32" borderId="10" xfId="0" applyFont="1" applyFill="1" applyBorder="1" applyAlignment="1">
      <alignment horizontal="center"/>
    </xf>
    <xf numFmtId="164" fontId="15" fillId="20" borderId="43" xfId="0" applyNumberFormat="1" applyFont="1" applyFill="1" applyBorder="1" applyAlignment="1">
      <alignment horizontal="center" vertical="center"/>
    </xf>
    <xf numFmtId="164" fontId="15" fillId="20" borderId="14" xfId="0" applyNumberFormat="1" applyFont="1" applyFill="1" applyBorder="1" applyAlignment="1">
      <alignment horizontal="center" vertical="center"/>
    </xf>
    <xf numFmtId="164" fontId="15" fillId="20" borderId="44" xfId="0" applyNumberFormat="1" applyFont="1" applyFill="1" applyBorder="1" applyAlignment="1">
      <alignment horizontal="center" vertical="center"/>
    </xf>
    <xf numFmtId="0" fontId="15" fillId="7" borderId="8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5" fillId="0" borderId="8" xfId="0" applyFont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0" fontId="15" fillId="0" borderId="7" xfId="0" applyFont="1" applyBorder="1" applyAlignment="1" applyProtection="1">
      <alignment horizontal="center" vertical="center"/>
      <protection locked="0"/>
    </xf>
    <xf numFmtId="0" fontId="15" fillId="0" borderId="8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6" fillId="18" borderId="26" xfId="0" applyFont="1" applyFill="1" applyBorder="1" applyAlignment="1">
      <alignment horizontal="center" vertical="center"/>
    </xf>
    <xf numFmtId="0" fontId="16" fillId="18" borderId="16" xfId="0" applyFont="1" applyFill="1" applyBorder="1" applyAlignment="1">
      <alignment horizontal="center" vertical="center"/>
    </xf>
    <xf numFmtId="0" fontId="16" fillId="18" borderId="1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6" fillId="18" borderId="4" xfId="0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6" fillId="0" borderId="46" xfId="0" applyFont="1" applyBorder="1" applyAlignment="1" applyProtection="1">
      <alignment horizontal="center" vertical="center"/>
      <protection locked="0"/>
    </xf>
    <xf numFmtId="0" fontId="16" fillId="0" borderId="45" xfId="0" applyFont="1" applyBorder="1" applyAlignment="1" applyProtection="1">
      <alignment horizontal="center" vertical="center"/>
      <protection locked="0"/>
    </xf>
    <xf numFmtId="0" fontId="28" fillId="13" borderId="19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8" fillId="30" borderId="16" xfId="0" applyFont="1" applyFill="1" applyBorder="1" applyAlignment="1" applyProtection="1">
      <alignment horizontal="center" vertical="center" wrapText="1"/>
      <protection locked="0"/>
    </xf>
    <xf numFmtId="0" fontId="28" fillId="30" borderId="0" xfId="0" applyFont="1" applyFill="1" applyAlignment="1" applyProtection="1">
      <alignment horizontal="center" vertical="center" wrapText="1"/>
      <protection locked="0"/>
    </xf>
    <xf numFmtId="0" fontId="28" fillId="30" borderId="24" xfId="0" applyFont="1" applyFill="1" applyBorder="1" applyAlignment="1" applyProtection="1">
      <alignment horizontal="center" vertical="center" wrapText="1"/>
      <protection locked="0"/>
    </xf>
    <xf numFmtId="0" fontId="7" fillId="21" borderId="8" xfId="0" applyFont="1" applyFill="1" applyBorder="1" applyAlignment="1" applyProtection="1">
      <alignment horizontal="center" vertical="center" wrapText="1"/>
      <protection locked="0"/>
    </xf>
    <xf numFmtId="0" fontId="7" fillId="21" borderId="13" xfId="0" applyFont="1" applyFill="1" applyBorder="1" applyAlignment="1" applyProtection="1">
      <alignment horizontal="center" vertical="center" wrapText="1"/>
      <protection locked="0"/>
    </xf>
    <xf numFmtId="0" fontId="7" fillId="21" borderId="7" xfId="0" applyFont="1" applyFill="1" applyBorder="1" applyAlignment="1" applyProtection="1">
      <alignment horizontal="center" vertical="center" wrapText="1"/>
      <protection locked="0"/>
    </xf>
    <xf numFmtId="0" fontId="33" fillId="19" borderId="3" xfId="0" applyFont="1" applyFill="1" applyBorder="1" applyAlignment="1" applyProtection="1">
      <alignment horizontal="center" vertical="center"/>
      <protection locked="0"/>
    </xf>
    <xf numFmtId="0" fontId="40" fillId="12" borderId="3" xfId="0" applyFont="1" applyFill="1" applyBorder="1" applyAlignment="1" applyProtection="1">
      <alignment horizontal="center" vertical="center" wrapText="1"/>
      <protection locked="0"/>
    </xf>
    <xf numFmtId="0" fontId="7" fillId="30" borderId="3" xfId="0" applyFont="1" applyFill="1" applyBorder="1" applyAlignment="1">
      <alignment horizontal="center" vertical="center" wrapText="1"/>
    </xf>
    <xf numFmtId="0" fontId="0" fillId="16" borderId="3" xfId="0" applyFill="1" applyBorder="1" applyAlignment="1" applyProtection="1">
      <alignment horizontal="center" vertical="center"/>
      <protection locked="0"/>
    </xf>
    <xf numFmtId="0" fontId="7" fillId="31" borderId="8" xfId="0" applyFont="1" applyFill="1" applyBorder="1" applyAlignment="1">
      <alignment horizontal="center" vertical="center" wrapText="1"/>
    </xf>
    <xf numFmtId="0" fontId="7" fillId="31" borderId="13" xfId="0" applyFont="1" applyFill="1" applyBorder="1" applyAlignment="1">
      <alignment horizontal="center" vertical="center" wrapText="1"/>
    </xf>
    <xf numFmtId="0" fontId="7" fillId="31" borderId="7" xfId="0" applyFont="1" applyFill="1" applyBorder="1" applyAlignment="1">
      <alignment horizontal="center" vertical="center" wrapText="1"/>
    </xf>
    <xf numFmtId="0" fontId="44" fillId="14" borderId="3" xfId="0" applyFont="1" applyFill="1" applyBorder="1" applyAlignment="1" applyProtection="1">
      <alignment horizontal="center"/>
      <protection locked="0"/>
    </xf>
    <xf numFmtId="0" fontId="28" fillId="35" borderId="16" xfId="0" applyFont="1" applyFill="1" applyBorder="1" applyAlignment="1" applyProtection="1">
      <alignment horizontal="center" vertical="center" wrapText="1"/>
      <protection locked="0"/>
    </xf>
    <xf numFmtId="0" fontId="28" fillId="35" borderId="0" xfId="0" applyFont="1" applyFill="1" applyAlignment="1" applyProtection="1">
      <alignment horizontal="center" vertical="center" wrapText="1"/>
      <protection locked="0"/>
    </xf>
    <xf numFmtId="0" fontId="28" fillId="35" borderId="24" xfId="0" applyFont="1" applyFill="1" applyBorder="1" applyAlignment="1" applyProtection="1">
      <alignment horizontal="center" vertical="center" wrapText="1"/>
      <protection locked="0"/>
    </xf>
    <xf numFmtId="0" fontId="0" fillId="7" borderId="8" xfId="0" applyFill="1" applyBorder="1" applyAlignment="1" applyProtection="1">
      <alignment horizontal="center" vertical="center"/>
      <protection locked="0"/>
    </xf>
    <xf numFmtId="0" fontId="0" fillId="7" borderId="7" xfId="0" applyFill="1" applyBorder="1" applyAlignment="1" applyProtection="1">
      <alignment horizontal="center" vertical="center"/>
      <protection locked="0"/>
    </xf>
    <xf numFmtId="0" fontId="7" fillId="9" borderId="3" xfId="0" applyFont="1" applyFill="1" applyBorder="1" applyAlignment="1" applyProtection="1">
      <alignment horizontal="center" vertical="center" wrapText="1"/>
      <protection locked="0"/>
    </xf>
    <xf numFmtId="0" fontId="14" fillId="10" borderId="3" xfId="0" applyFont="1" applyFill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44" fillId="20" borderId="3" xfId="0" applyFont="1" applyFill="1" applyBorder="1" applyAlignment="1" applyProtection="1">
      <alignment horizontal="center"/>
      <protection locked="0"/>
    </xf>
    <xf numFmtId="0" fontId="44" fillId="10" borderId="3" xfId="0" applyFont="1" applyFill="1" applyBorder="1" applyAlignment="1" applyProtection="1">
      <alignment horizontal="center"/>
      <protection locked="0"/>
    </xf>
    <xf numFmtId="0" fontId="7" fillId="14" borderId="3" xfId="0" applyFont="1" applyFill="1" applyBorder="1" applyAlignment="1" applyProtection="1">
      <alignment horizontal="center" vertical="center" wrapText="1"/>
      <protection locked="0"/>
    </xf>
    <xf numFmtId="0" fontId="18" fillId="18" borderId="5" xfId="0" applyFont="1" applyFill="1" applyBorder="1" applyAlignment="1" applyProtection="1">
      <alignment horizontal="center" vertical="center"/>
      <protection locked="0"/>
    </xf>
    <xf numFmtId="0" fontId="18" fillId="18" borderId="6" xfId="0" applyFont="1" applyFill="1" applyBorder="1" applyAlignment="1" applyProtection="1">
      <alignment horizontal="center" vertical="center"/>
      <protection locked="0"/>
    </xf>
    <xf numFmtId="0" fontId="7" fillId="15" borderId="16" xfId="0" applyFont="1" applyFill="1" applyBorder="1" applyAlignment="1" applyProtection="1">
      <alignment horizontal="center" vertical="center" wrapText="1"/>
      <protection locked="0"/>
    </xf>
    <xf numFmtId="0" fontId="7" fillId="15" borderId="0" xfId="0" applyFont="1" applyFill="1" applyAlignment="1" applyProtection="1">
      <alignment horizontal="center" vertical="center" wrapText="1"/>
      <protection locked="0"/>
    </xf>
    <xf numFmtId="0" fontId="7" fillId="15" borderId="24" xfId="0" applyFont="1" applyFill="1" applyBorder="1" applyAlignment="1" applyProtection="1">
      <alignment horizontal="center" vertical="center" wrapText="1"/>
      <protection locked="0"/>
    </xf>
    <xf numFmtId="0" fontId="18" fillId="10" borderId="3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14" borderId="0" xfId="0" applyFont="1" applyFill="1" applyAlignment="1" applyProtection="1">
      <alignment horizontal="center" vertical="center" wrapText="1"/>
      <protection locked="0"/>
    </xf>
    <xf numFmtId="0" fontId="7" fillId="14" borderId="20" xfId="0" applyFont="1" applyFill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>
      <alignment horizontal="center" vertical="center"/>
    </xf>
    <xf numFmtId="0" fontId="7" fillId="13" borderId="4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6" fillId="14" borderId="4" xfId="0" applyFont="1" applyFill="1" applyBorder="1" applyAlignment="1">
      <alignment horizontal="center" vertical="center"/>
    </xf>
    <xf numFmtId="0" fontId="46" fillId="14" borderId="5" xfId="0" applyFont="1" applyFill="1" applyBorder="1" applyAlignment="1">
      <alignment horizontal="center" vertical="center"/>
    </xf>
    <xf numFmtId="0" fontId="46" fillId="14" borderId="6" xfId="0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46" fillId="4" borderId="24" xfId="0" applyFont="1" applyFill="1" applyBorder="1" applyAlignment="1">
      <alignment horizontal="center" vertical="center"/>
    </xf>
    <xf numFmtId="0" fontId="7" fillId="15" borderId="1" xfId="0" applyFont="1" applyFill="1" applyBorder="1" applyAlignment="1" applyProtection="1">
      <alignment horizontal="center" vertical="center" wrapText="1"/>
      <protection locked="0"/>
    </xf>
    <xf numFmtId="0" fontId="7" fillId="15" borderId="20" xfId="0" applyFont="1" applyFill="1" applyBorder="1" applyAlignment="1" applyProtection="1">
      <alignment horizontal="center" vertical="center" wrapText="1"/>
      <protection locked="0"/>
    </xf>
    <xf numFmtId="164" fontId="0" fillId="0" borderId="8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4" fillId="34" borderId="4" xfId="0" applyFont="1" applyFill="1" applyBorder="1" applyAlignment="1">
      <alignment horizontal="center" vertical="center"/>
    </xf>
    <xf numFmtId="0" fontId="44" fillId="34" borderId="5" xfId="0" applyFont="1" applyFill="1" applyBorder="1" applyAlignment="1">
      <alignment horizontal="center" vertical="center"/>
    </xf>
    <xf numFmtId="0" fontId="44" fillId="34" borderId="6" xfId="0" applyFont="1" applyFill="1" applyBorder="1" applyAlignment="1">
      <alignment horizontal="center" vertical="center"/>
    </xf>
    <xf numFmtId="0" fontId="44" fillId="34" borderId="3" xfId="0" applyFont="1" applyFill="1" applyBorder="1" applyAlignment="1">
      <alignment horizontal="center" vertical="center"/>
    </xf>
    <xf numFmtId="0" fontId="44" fillId="32" borderId="24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18" fillId="20" borderId="4" xfId="0" applyFont="1" applyFill="1" applyBorder="1" applyAlignment="1">
      <alignment horizontal="center" vertical="center" wrapText="1"/>
    </xf>
    <xf numFmtId="0" fontId="18" fillId="20" borderId="5" xfId="0" applyFont="1" applyFill="1" applyBorder="1" applyAlignment="1">
      <alignment horizontal="center" vertical="center" wrapText="1"/>
    </xf>
    <xf numFmtId="0" fontId="18" fillId="20" borderId="6" xfId="0" applyFont="1" applyFill="1" applyBorder="1" applyAlignment="1">
      <alignment horizontal="center" vertical="center" wrapText="1"/>
    </xf>
    <xf numFmtId="0" fontId="46" fillId="31" borderId="3" xfId="38" applyFont="1" applyFill="1" applyBorder="1" applyAlignment="1">
      <alignment horizontal="center"/>
    </xf>
    <xf numFmtId="0" fontId="5" fillId="0" borderId="8" xfId="38" applyBorder="1" applyAlignment="1">
      <alignment horizontal="center"/>
    </xf>
    <xf numFmtId="0" fontId="5" fillId="0" borderId="13" xfId="38" applyBorder="1" applyAlignment="1">
      <alignment horizontal="center"/>
    </xf>
    <xf numFmtId="0" fontId="5" fillId="0" borderId="7" xfId="38" applyBorder="1" applyAlignment="1">
      <alignment horizontal="center"/>
    </xf>
    <xf numFmtId="0" fontId="0" fillId="0" borderId="0" xfId="0" applyAlignment="1">
      <alignment horizontal="center"/>
    </xf>
    <xf numFmtId="9" fontId="0" fillId="3" borderId="3" xfId="33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7" fillId="0" borderId="3" xfId="0" applyFont="1" applyBorder="1" applyAlignment="1">
      <alignment horizontal="left" wrapText="1"/>
    </xf>
    <xf numFmtId="165" fontId="0" fillId="4" borderId="3" xfId="0" applyNumberForma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8" fillId="10" borderId="10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left" vertical="center" wrapText="1"/>
    </xf>
    <xf numFmtId="0" fontId="7" fillId="13" borderId="9" xfId="0" applyFont="1" applyFill="1" applyBorder="1" applyAlignment="1">
      <alignment horizontal="center" vertical="center"/>
    </xf>
    <xf numFmtId="0" fontId="7" fillId="13" borderId="0" xfId="0" applyFont="1" applyFill="1" applyBorder="1" applyAlignment="1">
      <alignment horizontal="center" vertical="center"/>
    </xf>
    <xf numFmtId="0" fontId="7" fillId="13" borderId="21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38" xfId="0" applyBorder="1" applyAlignment="1">
      <alignment horizontal="left" vertical="center" wrapText="1"/>
    </xf>
    <xf numFmtId="0" fontId="0" fillId="0" borderId="39" xfId="0" quotePrefix="1" applyBorder="1" applyAlignment="1">
      <alignment vertical="center" wrapText="1"/>
    </xf>
    <xf numFmtId="164" fontId="0" fillId="0" borderId="40" xfId="0" applyNumberFormat="1" applyBorder="1" applyAlignment="1">
      <alignment horizontal="center" vertical="center"/>
    </xf>
    <xf numFmtId="167" fontId="0" fillId="13" borderId="4" xfId="0" applyNumberFormat="1" applyFill="1" applyBorder="1" applyAlignment="1">
      <alignment horizontal="left" vertical="center" wrapText="1"/>
    </xf>
    <xf numFmtId="2" fontId="0" fillId="13" borderId="4" xfId="0" applyNumberFormat="1" applyFill="1" applyBorder="1" applyAlignment="1">
      <alignment horizontal="left" vertical="center" wrapText="1"/>
    </xf>
    <xf numFmtId="0" fontId="7" fillId="0" borderId="33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2" fontId="0" fillId="0" borderId="33" xfId="0" applyNumberForma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2" fontId="0" fillId="0" borderId="38" xfId="0" applyNumberFormat="1" applyBorder="1" applyAlignment="1">
      <alignment horizontal="center" vertical="center"/>
    </xf>
    <xf numFmtId="0" fontId="0" fillId="30" borderId="39" xfId="0" applyFill="1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 wrapText="1"/>
    </xf>
    <xf numFmtId="166" fontId="7" fillId="0" borderId="39" xfId="0" applyNumberFormat="1" applyFont="1" applyBorder="1" applyAlignment="1">
      <alignment horizontal="center" vertical="center"/>
    </xf>
    <xf numFmtId="9" fontId="0" fillId="0" borderId="39" xfId="33" applyFont="1" applyBorder="1" applyAlignment="1">
      <alignment horizontal="center" vertical="center"/>
    </xf>
    <xf numFmtId="166" fontId="7" fillId="0" borderId="40" xfId="0" applyNumberFormat="1" applyFont="1" applyBorder="1" applyAlignment="1">
      <alignment horizontal="center" vertical="center"/>
    </xf>
    <xf numFmtId="0" fontId="64" fillId="8" borderId="53" xfId="0" applyFont="1" applyFill="1" applyBorder="1" applyAlignment="1">
      <alignment horizontal="center" vertical="center"/>
    </xf>
    <xf numFmtId="0" fontId="64" fillId="8" borderId="54" xfId="0" applyFont="1" applyFill="1" applyBorder="1" applyAlignment="1">
      <alignment horizontal="center" vertical="center"/>
    </xf>
    <xf numFmtId="0" fontId="64" fillId="8" borderId="55" xfId="0" applyFont="1" applyFill="1" applyBorder="1" applyAlignment="1">
      <alignment horizontal="center" vertical="center"/>
    </xf>
    <xf numFmtId="0" fontId="64" fillId="8" borderId="50" xfId="0" applyFont="1" applyFill="1" applyBorder="1" applyAlignment="1">
      <alignment horizontal="center" vertical="center" wrapText="1"/>
    </xf>
    <xf numFmtId="0" fontId="64" fillId="8" borderId="51" xfId="0" applyFont="1" applyFill="1" applyBorder="1" applyAlignment="1">
      <alignment horizontal="center" vertical="center" wrapText="1"/>
    </xf>
    <xf numFmtId="0" fontId="64" fillId="8" borderId="52" xfId="0" applyFont="1" applyFill="1" applyBorder="1" applyAlignment="1">
      <alignment horizontal="center" vertical="center" wrapText="1"/>
    </xf>
    <xf numFmtId="164" fontId="0" fillId="8" borderId="3" xfId="0" applyNumberFormat="1" applyFill="1" applyBorder="1" applyAlignment="1">
      <alignment horizontal="center" vertical="center"/>
    </xf>
    <xf numFmtId="0" fontId="63" fillId="8" borderId="3" xfId="0" applyFont="1" applyFill="1" applyBorder="1" applyAlignment="1">
      <alignment horizontal="center"/>
    </xf>
    <xf numFmtId="0" fontId="7" fillId="8" borderId="3" xfId="0" applyFont="1" applyFill="1" applyBorder="1"/>
    <xf numFmtId="0" fontId="44" fillId="8" borderId="3" xfId="0" applyFont="1" applyFill="1" applyBorder="1"/>
    <xf numFmtId="0" fontId="0" fillId="4" borderId="4" xfId="0" applyFill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7" fillId="0" borderId="8" xfId="0" applyFont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46" fillId="8" borderId="56" xfId="0" applyFont="1" applyFill="1" applyBorder="1" applyAlignment="1">
      <alignment horizontal="center" vertical="center" wrapText="1"/>
    </xf>
    <xf numFmtId="0" fontId="46" fillId="8" borderId="57" xfId="0" applyFont="1" applyFill="1" applyBorder="1" applyAlignment="1">
      <alignment horizontal="center" vertical="center" wrapText="1"/>
    </xf>
    <xf numFmtId="0" fontId="46" fillId="8" borderId="58" xfId="0" applyFont="1" applyFill="1" applyBorder="1" applyAlignment="1">
      <alignment horizontal="center" vertical="center" wrapText="1"/>
    </xf>
    <xf numFmtId="0" fontId="0" fillId="8" borderId="3" xfId="0" applyFill="1" applyBorder="1" applyAlignment="1">
      <alignment vertical="center" wrapText="1"/>
    </xf>
    <xf numFmtId="0" fontId="60" fillId="8" borderId="53" xfId="0" applyFont="1" applyFill="1" applyBorder="1" applyAlignment="1">
      <alignment horizontal="center" vertical="center"/>
    </xf>
    <xf numFmtId="0" fontId="60" fillId="8" borderId="54" xfId="0" applyFont="1" applyFill="1" applyBorder="1" applyAlignment="1">
      <alignment horizontal="center" vertical="center"/>
    </xf>
    <xf numFmtId="0" fontId="60" fillId="8" borderId="55" xfId="0" applyFont="1" applyFill="1" applyBorder="1" applyAlignment="1">
      <alignment horizontal="center" vertical="center"/>
    </xf>
    <xf numFmtId="0" fontId="60" fillId="8" borderId="9" xfId="0" applyFont="1" applyFill="1" applyBorder="1" applyAlignment="1">
      <alignment horizontal="center" vertical="center"/>
    </xf>
    <xf numFmtId="0" fontId="60" fillId="8" borderId="0" xfId="0" applyFont="1" applyFill="1" applyBorder="1" applyAlignment="1">
      <alignment horizontal="center" vertical="center"/>
    </xf>
    <xf numFmtId="0" fontId="60" fillId="8" borderId="21" xfId="0" applyFont="1" applyFill="1" applyBorder="1" applyAlignment="1">
      <alignment horizontal="center" vertical="center"/>
    </xf>
    <xf numFmtId="0" fontId="60" fillId="8" borderId="17" xfId="0" applyFont="1" applyFill="1" applyBorder="1" applyAlignment="1">
      <alignment horizontal="center" vertical="center"/>
    </xf>
    <xf numFmtId="0" fontId="60" fillId="8" borderId="15" xfId="0" applyFont="1" applyFill="1" applyBorder="1" applyAlignment="1">
      <alignment horizontal="center" vertical="center"/>
    </xf>
    <xf numFmtId="0" fontId="60" fillId="8" borderId="22" xfId="0" applyFont="1" applyFill="1" applyBorder="1" applyAlignment="1">
      <alignment horizontal="center" vertical="center"/>
    </xf>
  </cellXfs>
  <cellStyles count="49">
    <cellStyle name="Currency" xfId="36" builtinId="4"/>
    <cellStyle name="Currency 2" xfId="40" xr:uid="{FE46A65A-3319-47A8-A57E-D4B6160DA2E7}"/>
    <cellStyle name="Currency 2 2" xfId="46" xr:uid="{6EA480B1-889C-4953-AFEF-60DCA5DC7AA4}"/>
    <cellStyle name="Currency 3" xfId="43" xr:uid="{B8F332AD-2E57-4E47-8160-828D63AEB947}"/>
    <cellStyle name="Followed Hyperlink" xfId="2" builtinId="9" hidden="1"/>
    <cellStyle name="Followed Hyperlink" xfId="14" builtinId="9" hidden="1"/>
    <cellStyle name="Followed Hyperlink" xfId="8" builtinId="9" hidden="1"/>
    <cellStyle name="Followed Hyperlink" xfId="30" builtinId="9" hidden="1"/>
    <cellStyle name="Followed Hyperlink" xfId="26" builtinId="9" hidden="1"/>
    <cellStyle name="Followed Hyperlink" xfId="12" builtinId="9" hidden="1"/>
    <cellStyle name="Followed Hyperlink" xfId="6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10" builtinId="9" hidden="1"/>
    <cellStyle name="Followed Hyperlink" xfId="28" builtinId="9" hidden="1"/>
    <cellStyle name="Followed Hyperlink" xfId="32" builtinId="9" hidden="1"/>
    <cellStyle name="Followed Hyperlink" xfId="4" builtinId="9" hidden="1"/>
    <cellStyle name="Hyperlink" xfId="17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3" builtinId="8" hidden="1"/>
    <cellStyle name="Hyperlink" xfId="15" builtinId="8" hidden="1"/>
    <cellStyle name="Hyperlink" xfId="11" builtinId="8" hidden="1"/>
    <cellStyle name="Hyperlink" xfId="19" builtinId="8" hidden="1"/>
    <cellStyle name="Hyperlink" xfId="21" builtinId="8" hidden="1"/>
    <cellStyle name="Hyperlink" xfId="25" builtinId="8" hidden="1"/>
    <cellStyle name="Hyperlink" xfId="1" builtinId="8" hidden="1"/>
    <cellStyle name="Hyperlink" xfId="23" builtinId="8" hidden="1"/>
    <cellStyle name="Hyperlink" xfId="27" builtinId="8" hidden="1"/>
    <cellStyle name="Hyperlink" xfId="29" builtinId="8" hidden="1"/>
    <cellStyle name="Hyperlink" xfId="31" builtinId="8" hidden="1"/>
    <cellStyle name="Hyperlink" xfId="37" builtinId="8"/>
    <cellStyle name="Hyperlink 2" xfId="35" xr:uid="{3241996A-89E9-4381-A5F8-C63DFD587FBB}"/>
    <cellStyle name="Normal" xfId="0" builtinId="0"/>
    <cellStyle name="Normal 2" xfId="34" xr:uid="{90C97322-E0CF-4C95-9C0F-AC71D36384A6}"/>
    <cellStyle name="Normal 2 2" xfId="42" xr:uid="{675E316C-C9A7-4555-8414-985443B04111}"/>
    <cellStyle name="Normal 3" xfId="38" xr:uid="{9422763C-A226-40EE-9360-4743009460B7}"/>
    <cellStyle name="Normal 3 2" xfId="44" xr:uid="{675D7C88-AD26-458E-9022-02DCCCD6814A}"/>
    <cellStyle name="Normal 4" xfId="39" xr:uid="{A90E8CB6-D9E7-47CE-883E-AEBA9C16ADDA}"/>
    <cellStyle name="Normal 4 2" xfId="45" xr:uid="{AFF17084-D5D7-4642-9FE8-09DF6DADEA99}"/>
    <cellStyle name="Normal 5" xfId="48" xr:uid="{5F06FA93-DC38-4DAE-8985-683EE271FABB}"/>
    <cellStyle name="Percent" xfId="33" builtinId="5"/>
    <cellStyle name="Percent 2" xfId="41" xr:uid="{63921DF2-28B5-4127-ACC4-368A77744AD7}"/>
    <cellStyle name="Percent 2 2" xfId="47" xr:uid="{709F804B-9E32-48A5-A4E6-84B49D279909}"/>
  </cellStyles>
  <dxfs count="7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11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11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  <dxf>
      <fill>
        <patternFill patternType="lightHorizontal">
          <bgColor theme="5" tint="0.39994506668294322"/>
        </patternFill>
      </fill>
    </dxf>
  </dxfs>
  <tableStyles count="0" defaultTableStyle="TableStyleMedium9" defaultPivotStyle="PivotStyleMedium4"/>
  <colors>
    <mruColors>
      <color rgb="FFFFFFFF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38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325530</xdr:colOff>
      <xdr:row>6</xdr:row>
      <xdr:rowOff>104402</xdr:rowOff>
    </xdr:from>
    <xdr:to>
      <xdr:col>9</xdr:col>
      <xdr:colOff>69850</xdr:colOff>
      <xdr:row>11</xdr:row>
      <xdr:rowOff>50800</xdr:rowOff>
    </xdr:to>
    <xdr:sp macro="[1]!CopyRangeToWordTemplate" textlink="">
      <xdr:nvSpPr>
        <xdr:cNvPr id="2" name="Rectangle 1">
          <a:extLst>
            <a:ext uri="{FF2B5EF4-FFF2-40B4-BE49-F238E27FC236}">
              <a16:creationId xmlns:a16="http://schemas.microsoft.com/office/drawing/2014/main" id="{9CF7474C-28EA-480D-B548-C939D5E4C9A8}"/>
            </a:ext>
          </a:extLst>
        </xdr:cNvPr>
        <xdr:cNvSpPr/>
      </xdr:nvSpPr>
      <xdr:spPr>
        <a:xfrm>
          <a:off x="6564405" y="1155327"/>
          <a:ext cx="1598520" cy="79729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 b="1"/>
            <a:t>CONVERT</a:t>
          </a:r>
          <a:r>
            <a:rPr lang="en-CA" sz="1800" b="1" baseline="0"/>
            <a:t> TO WORD </a:t>
          </a:r>
          <a:endParaRPr lang="en-CA" sz="1800" b="1"/>
        </a:p>
      </xdr:txBody>
    </xdr:sp>
    <xdr:clientData/>
  </xdr:twoCellAnchor>
  <xdr:twoCellAnchor>
    <xdr:from>
      <xdr:col>6</xdr:col>
      <xdr:colOff>361389</xdr:colOff>
      <xdr:row>15</xdr:row>
      <xdr:rowOff>143994</xdr:rowOff>
    </xdr:from>
    <xdr:to>
      <xdr:col>9</xdr:col>
      <xdr:colOff>63500</xdr:colOff>
      <xdr:row>18</xdr:row>
      <xdr:rowOff>120650</xdr:rowOff>
    </xdr:to>
    <xdr:sp macro="[1]!SpellCheckActiveSheet" textlink="">
      <xdr:nvSpPr>
        <xdr:cNvPr id="3" name="Rectangle 2">
          <a:extLst>
            <a:ext uri="{FF2B5EF4-FFF2-40B4-BE49-F238E27FC236}">
              <a16:creationId xmlns:a16="http://schemas.microsoft.com/office/drawing/2014/main" id="{53606B49-0640-4501-A1D4-B91D32AA3FB0}"/>
            </a:ext>
          </a:extLst>
        </xdr:cNvPr>
        <xdr:cNvSpPr/>
      </xdr:nvSpPr>
      <xdr:spPr>
        <a:xfrm>
          <a:off x="6600264" y="2769719"/>
          <a:ext cx="1562661" cy="5259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SPELL</a:t>
          </a:r>
          <a:r>
            <a:rPr lang="en-CA" sz="1400" b="1" baseline="0"/>
            <a:t> CHECK</a:t>
          </a:r>
        </a:p>
        <a:p>
          <a:pPr algn="ctr"/>
          <a:endParaRPr lang="en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10</xdr:row>
      <xdr:rowOff>31750</xdr:rowOff>
    </xdr:from>
    <xdr:to>
      <xdr:col>9</xdr:col>
      <xdr:colOff>648494</xdr:colOff>
      <xdr:row>13</xdr:row>
      <xdr:rowOff>6258</xdr:rowOff>
    </xdr:to>
    <xdr:sp macro="[0]!Quotelog" textlink="">
      <xdr:nvSpPr>
        <xdr:cNvPr id="8" name="Rectangle 7">
          <a:extLst>
            <a:ext uri="{FF2B5EF4-FFF2-40B4-BE49-F238E27FC236}">
              <a16:creationId xmlns:a16="http://schemas.microsoft.com/office/drawing/2014/main" id="{BEAE8C9A-BC91-4EC8-B455-E25770ADCEFD}"/>
            </a:ext>
          </a:extLst>
        </xdr:cNvPr>
        <xdr:cNvSpPr/>
      </xdr:nvSpPr>
      <xdr:spPr>
        <a:xfrm>
          <a:off x="9575800" y="2451100"/>
          <a:ext cx="1797844" cy="57775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UPDATE</a:t>
          </a:r>
          <a:r>
            <a:rPr lang="en-CA" sz="1400" b="1" baseline="0"/>
            <a:t> QUOTE LOG</a:t>
          </a:r>
        </a:p>
      </xdr:txBody>
    </xdr:sp>
    <xdr:clientData/>
  </xdr:twoCellAnchor>
  <xdr:twoCellAnchor>
    <xdr:from>
      <xdr:col>7</xdr:col>
      <xdr:colOff>69850</xdr:colOff>
      <xdr:row>16</xdr:row>
      <xdr:rowOff>311150</xdr:rowOff>
    </xdr:from>
    <xdr:to>
      <xdr:col>10</xdr:col>
      <xdr:colOff>246381</xdr:colOff>
      <xdr:row>16</xdr:row>
      <xdr:rowOff>939800</xdr:rowOff>
    </xdr:to>
    <xdr:sp macro="[1]!CopyScope" textlink="">
      <xdr:nvSpPr>
        <xdr:cNvPr id="9" name="Rectangle 8">
          <a:extLst>
            <a:ext uri="{FF2B5EF4-FFF2-40B4-BE49-F238E27FC236}">
              <a16:creationId xmlns:a16="http://schemas.microsoft.com/office/drawing/2014/main" id="{79C45E68-1379-4F7E-BF02-621C2D844A17}"/>
            </a:ext>
          </a:extLst>
        </xdr:cNvPr>
        <xdr:cNvSpPr/>
      </xdr:nvSpPr>
      <xdr:spPr>
        <a:xfrm>
          <a:off x="9474200" y="3987800"/>
          <a:ext cx="2157731" cy="62865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Upload</a:t>
          </a:r>
          <a:r>
            <a:rPr lang="en-CA" sz="1400" b="1" baseline="0"/>
            <a:t> SCOPE to QUOTE Estimation Template</a:t>
          </a:r>
        </a:p>
      </xdr:txBody>
    </xdr:sp>
    <xdr:clientData/>
  </xdr:twoCellAnchor>
  <xdr:twoCellAnchor>
    <xdr:from>
      <xdr:col>7</xdr:col>
      <xdr:colOff>134471</xdr:colOff>
      <xdr:row>3</xdr:row>
      <xdr:rowOff>433294</xdr:rowOff>
    </xdr:from>
    <xdr:to>
      <xdr:col>9</xdr:col>
      <xdr:colOff>351118</xdr:colOff>
      <xdr:row>7</xdr:row>
      <xdr:rowOff>82177</xdr:rowOff>
    </xdr:to>
    <xdr:sp macro="[0]!CreatefolderSP" textlink="">
      <xdr:nvSpPr>
        <xdr:cNvPr id="10" name="Rectangle 9">
          <a:extLst>
            <a:ext uri="{FF2B5EF4-FFF2-40B4-BE49-F238E27FC236}">
              <a16:creationId xmlns:a16="http://schemas.microsoft.com/office/drawing/2014/main" id="{2B4C0768-03E8-B670-70AD-8E286FBD798E}"/>
            </a:ext>
          </a:extLst>
        </xdr:cNvPr>
        <xdr:cNvSpPr/>
      </xdr:nvSpPr>
      <xdr:spPr>
        <a:xfrm>
          <a:off x="13678647" y="1180353"/>
          <a:ext cx="2629647" cy="69476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600" b="1">
              <a:solidFill>
                <a:schemeClr val="tx1"/>
              </a:solidFill>
            </a:rPr>
            <a:t>GENERATE</a:t>
          </a:r>
          <a:r>
            <a:rPr lang="en-CA" sz="1600" b="1" baseline="0">
              <a:solidFill>
                <a:schemeClr val="tx1"/>
              </a:solidFill>
            </a:rPr>
            <a:t> FOLDERS</a:t>
          </a:r>
          <a:endParaRPr lang="en-CA" sz="16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325530</xdr:colOff>
      <xdr:row>6</xdr:row>
      <xdr:rowOff>104402</xdr:rowOff>
    </xdr:from>
    <xdr:to>
      <xdr:col>8</xdr:col>
      <xdr:colOff>309655</xdr:colOff>
      <xdr:row>10</xdr:row>
      <xdr:rowOff>171263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17B3FE-8121-4B63-9795-B61125B62ACC}"/>
            </a:ext>
          </a:extLst>
        </xdr:cNvPr>
        <xdr:cNvSpPr/>
      </xdr:nvSpPr>
      <xdr:spPr>
        <a:xfrm>
          <a:off x="6802530" y="1177552"/>
          <a:ext cx="1228725" cy="720911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CONVERT</a:t>
          </a:r>
          <a:r>
            <a:rPr lang="en-CA" sz="1200" baseline="0"/>
            <a:t> TO WORD </a:t>
          </a:r>
          <a:endParaRPr lang="en-CA" sz="1200"/>
        </a:p>
      </xdr:txBody>
    </xdr:sp>
    <xdr:clientData/>
  </xdr:twoCellAnchor>
  <xdr:twoCellAnchor>
    <xdr:from>
      <xdr:col>6</xdr:col>
      <xdr:colOff>316939</xdr:colOff>
      <xdr:row>16</xdr:row>
      <xdr:rowOff>137645</xdr:rowOff>
    </xdr:from>
    <xdr:to>
      <xdr:col>8</xdr:col>
      <xdr:colOff>294528</xdr:colOff>
      <xdr:row>18</xdr:row>
      <xdr:rowOff>52855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4F7BCBF-1EE2-4217-AB59-5E81E9B46C1A}"/>
            </a:ext>
          </a:extLst>
        </xdr:cNvPr>
        <xdr:cNvSpPr/>
      </xdr:nvSpPr>
      <xdr:spPr>
        <a:xfrm>
          <a:off x="6793939" y="3363445"/>
          <a:ext cx="1222189" cy="28351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SPELL</a:t>
          </a:r>
          <a:r>
            <a:rPr lang="en-CA" sz="1100" baseline="0"/>
            <a:t> CHECK</a:t>
          </a:r>
        </a:p>
        <a:p>
          <a:pPr algn="l"/>
          <a:endParaRPr lang="en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1152072</xdr:colOff>
      <xdr:row>16</xdr:row>
      <xdr:rowOff>36286</xdr:rowOff>
    </xdr:from>
    <xdr:to>
      <xdr:col>9</xdr:col>
      <xdr:colOff>1572078</xdr:colOff>
      <xdr:row>21</xdr:row>
      <xdr:rowOff>63500</xdr:rowOff>
    </xdr:to>
    <xdr:sp macro="[0]!ColdmaticQuotelog" textlink="">
      <xdr:nvSpPr>
        <xdr:cNvPr id="2" name="Rectangle 1">
          <a:extLst>
            <a:ext uri="{FF2B5EF4-FFF2-40B4-BE49-F238E27FC236}">
              <a16:creationId xmlns:a16="http://schemas.microsoft.com/office/drawing/2014/main" id="{5A657391-96A0-4E79-A060-5BB25AB6C318}"/>
            </a:ext>
          </a:extLst>
        </xdr:cNvPr>
        <xdr:cNvSpPr/>
      </xdr:nvSpPr>
      <xdr:spPr>
        <a:xfrm>
          <a:off x="17099643" y="3528786"/>
          <a:ext cx="2152649" cy="102507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600" b="1">
              <a:solidFill>
                <a:schemeClr val="tx1"/>
              </a:solidFill>
            </a:rPr>
            <a:t>UPDATE</a:t>
          </a:r>
          <a:r>
            <a:rPr lang="en-CA" sz="1600" b="1" baseline="0">
              <a:solidFill>
                <a:schemeClr val="tx1"/>
              </a:solidFill>
            </a:rPr>
            <a:t> QUOTE LOG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149411</xdr:colOff>
      <xdr:row>2</xdr:row>
      <xdr:rowOff>22411</xdr:rowOff>
    </xdr:from>
    <xdr:to>
      <xdr:col>4</xdr:col>
      <xdr:colOff>709705</xdr:colOff>
      <xdr:row>6</xdr:row>
      <xdr:rowOff>149411</xdr:rowOff>
    </xdr:to>
    <xdr:sp macro="[0]!FormulaHideSheet" textlink="">
      <xdr:nvSpPr>
        <xdr:cNvPr id="2" name="Rectangle 1">
          <a:extLst>
            <a:ext uri="{FF2B5EF4-FFF2-40B4-BE49-F238E27FC236}">
              <a16:creationId xmlns:a16="http://schemas.microsoft.com/office/drawing/2014/main" id="{227F0BD8-570D-302A-828C-7A0D443F48D5}"/>
            </a:ext>
          </a:extLst>
        </xdr:cNvPr>
        <xdr:cNvSpPr/>
      </xdr:nvSpPr>
      <xdr:spPr>
        <a:xfrm>
          <a:off x="3548529" y="410882"/>
          <a:ext cx="2517588" cy="903941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CA" sz="1800" b="1" kern="1200"/>
            <a:t>HIDE</a:t>
          </a:r>
          <a:r>
            <a:rPr lang="en-CA" sz="1800" b="1" kern="1200" baseline="0"/>
            <a:t> ALL SHEETS </a:t>
          </a:r>
          <a:endParaRPr lang="en-CA" sz="1800" b="1" kern="1200"/>
        </a:p>
      </xdr:txBody>
    </xdr:sp>
    <xdr:clientData/>
  </xdr:twoCellAnchor>
  <xdr:twoCellAnchor>
    <xdr:from>
      <xdr:col>4</xdr:col>
      <xdr:colOff>1728693</xdr:colOff>
      <xdr:row>2</xdr:row>
      <xdr:rowOff>32869</xdr:rowOff>
    </xdr:from>
    <xdr:to>
      <xdr:col>5</xdr:col>
      <xdr:colOff>608105</xdr:colOff>
      <xdr:row>6</xdr:row>
      <xdr:rowOff>159869</xdr:rowOff>
    </xdr:to>
    <xdr:sp macro="[0]!FormulaViewsheet" textlink="">
      <xdr:nvSpPr>
        <xdr:cNvPr id="3" name="Rectangle 2">
          <a:extLst>
            <a:ext uri="{FF2B5EF4-FFF2-40B4-BE49-F238E27FC236}">
              <a16:creationId xmlns:a16="http://schemas.microsoft.com/office/drawing/2014/main" id="{07B53D74-7BBF-4638-AF53-D59DBFE122EB}"/>
            </a:ext>
          </a:extLst>
        </xdr:cNvPr>
        <xdr:cNvSpPr/>
      </xdr:nvSpPr>
      <xdr:spPr>
        <a:xfrm>
          <a:off x="7085105" y="421340"/>
          <a:ext cx="2517588" cy="903941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CA" sz="1800" b="1" kern="1200"/>
            <a:t>VIEW</a:t>
          </a:r>
          <a:r>
            <a:rPr lang="en-CA" sz="1800" b="1" kern="1200" baseline="0"/>
            <a:t> ALL SHEETS </a:t>
          </a:r>
          <a:endParaRPr lang="en-CA" sz="1800" b="1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frostinc.sharepoint.com/sites/FrostServiceTeam/Shared%20Documents/Sales/OLD_SR0000-24%20-%20New%20Version%20DCP.xlsm" TargetMode="External"/><Relationship Id="rId1" Type="http://schemas.openxmlformats.org/officeDocument/2006/relationships/externalLinkPath" Target="https://frostinc.sharepoint.com/sites/FrostServiceTeam/Shared%20Documents/Sales/OLD_SR0000-24%20-%20New%20Version%20DC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uidance Sheet - In Dev. "/>
      <sheetName val="Process flow Sheet - In Dev."/>
      <sheetName val="Quote (Est.) Template"/>
      <sheetName val="Estimation Sheet"/>
      <sheetName val="Order Sheet"/>
      <sheetName val="PO Template"/>
      <sheetName val="PO Template (2)"/>
      <sheetName val="Internal PO"/>
      <sheetName val="Controller Sheet"/>
      <sheetName val="Formula Sheet"/>
      <sheetName val="OLD_SR0000-24 - New Version DCP"/>
    </sheetNames>
    <definedNames>
      <definedName name="CopyRangeToWordTemplate"/>
      <definedName name="CopyScope"/>
      <definedName name="SpellCheckActiveSheet"/>
    </definedNames>
    <sheetDataSet>
      <sheetData sheetId="0"/>
      <sheetData sheetId="1"/>
      <sheetData sheetId="2"/>
      <sheetData sheetId="3">
        <row r="93">
          <cell r="F93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upam Bajpai" id="{68CE0FAC-6492-43C1-9F5A-9062CC14B0CE}" userId="S::ABajpai@dcp-management.ca::bc03ce33-63d6-4336-9f1d-6f4011558918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4DCB2C-30F8-432E-8BD6-B995FD0CF323}" name="Doors" displayName="Doors" ref="D12:I357" totalsRowShown="0" headerRowBorderDxfId="15" tableBorderDxfId="14" totalsRowBorderDxfId="13">
  <autoFilter ref="D12:I357" xr:uid="{E1AD8E91-651F-403C-B846-99E194A7EE57}"/>
  <tableColumns count="6">
    <tableColumn id="1" xr3:uid="{6DB29DFA-2B13-4B01-9B30-5B90B39E9CFC}" name="Product Type" dataDxfId="12"/>
    <tableColumn id="2" xr3:uid="{528D22AB-8842-470D-B10E-773602552544}" name="Door Type " dataDxfId="11"/>
    <tableColumn id="3" xr3:uid="{B37DC697-353F-41AA-80E5-24259B3A976B}" name="Options " dataDxfId="10"/>
    <tableColumn id="9" xr3:uid="{9DA60E4B-0FC0-426A-8D8C-C9237C0897AB}" name="Search Function" dataDxfId="9">
      <calculatedColumnFormula>+CONCATENATE(Doors[[#This Row],[Door Type ]],Doors[[#This Row],[Category]])</calculatedColumnFormula>
    </tableColumn>
    <tableColumn id="4" xr3:uid="{3EC24335-8FD0-468B-8C9C-78AACA70A78A}" name="Category" dataDxfId="8"/>
    <tableColumn id="6" xr3:uid="{81AF5D79-0961-4F96-A62D-357D94E93E9D}" name="Material/Option Type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09BF8C-B4DC-4CF2-981E-69143F3481F3}" name="Table1" displayName="Table1" ref="M5:P8" totalsRowShown="0" headerRowBorderDxfId="6" tableBorderDxfId="5" totalsRowBorderDxfId="4">
  <autoFilter ref="M5:P8" xr:uid="{5009BF8C-B4DC-4CF2-981E-69143F3481F3}"/>
  <tableColumns count="4">
    <tableColumn id="1" xr3:uid="{F2D88EDC-1519-423D-A0F3-E1B62C1E9024}" name="Estimate Info" dataDxfId="3"/>
    <tableColumn id="5" xr3:uid="{13E5321E-4E68-47D1-8186-DF7E8BD7309E}" name="Invoicing" dataDxfId="2"/>
    <tableColumn id="2" xr3:uid="{1E23DC49-C0D9-4CBD-ADCF-97774F0203B9}" name="Coldmatic POs" dataDxfId="1"/>
    <tableColumn id="3" xr3:uid="{33C91ED6-43C3-4D73-8B6B-50D74A68B81D}" name="Quo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3-05-09T17:42:43.94" personId="{68CE0FAC-6492-43C1-9F5A-9062CC14B0CE}" id="{AC0D1C19-B568-4294-8C37-95AEC0AAEA23}">
    <text>Customer Business Name</text>
  </threadedComment>
  <threadedComment ref="C8" dT="2023-05-09T17:43:20.09" personId="{68CE0FAC-6492-43C1-9F5A-9062CC14B0CE}" id="{069CA180-55EA-4635-90BA-9052E9D4D25F}">
    <text>Street and Location number</text>
  </threadedComment>
  <threadedComment ref="C9" dT="2023-05-09T17:43:37.55" personId="{68CE0FAC-6492-43C1-9F5A-9062CC14B0CE}" id="{0DF3965E-E630-4956-952A-5381A9A83BAE}">
    <text>City, State and Postal Code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6" dT="2023-05-09T17:42:43.94" personId="{68CE0FAC-6492-43C1-9F5A-9062CC14B0CE}" id="{A4808016-39C1-47A1-BB63-742D17984E16}">
    <text>Customer Business Name</text>
  </threadedComment>
  <threadedComment ref="C7" dT="2023-05-09T17:43:20.09" personId="{68CE0FAC-6492-43C1-9F5A-9062CC14B0CE}" id="{7C3CC93E-06F6-43EF-8B5B-4225348B5167}">
    <text>Street and Location number</text>
  </threadedComment>
  <threadedComment ref="C8" dT="2023-05-09T17:43:37.55" personId="{68CE0FAC-6492-43C1-9F5A-9062CC14B0CE}" id="{10904247-04A2-4597-B7E1-F3B07B3A5B97}">
    <text>City, State and Postal Code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3-05-09T17:42:43.94" personId="{68CE0FAC-6492-43C1-9F5A-9062CC14B0CE}" id="{4632D88C-A613-4F59-A6C8-CA12ACC0DD6F}">
    <text>Customer Business Name</text>
  </threadedComment>
  <threadedComment ref="F6" dT="2023-05-09T17:42:43.94" personId="{68CE0FAC-6492-43C1-9F5A-9062CC14B0CE}" id="{6C19CABB-3F21-42C8-921E-B772941EBF87}">
    <text>Customer Business Name</text>
  </threadedComment>
  <threadedComment ref="D7" dT="2023-05-09T17:43:20.09" personId="{68CE0FAC-6492-43C1-9F5A-9062CC14B0CE}" id="{CCBB8E6A-6F21-43BB-88F4-6211E6B9E4AF}">
    <text>Street and Location number</text>
  </threadedComment>
  <threadedComment ref="F7" dT="2023-05-09T17:43:20.09" personId="{68CE0FAC-6492-43C1-9F5A-9062CC14B0CE}" id="{1091A7A1-5BA2-41A9-93DF-173688F41065}">
    <text>Street and Location number</text>
  </threadedComment>
  <threadedComment ref="D8" dT="2023-05-09T17:43:37.55" personId="{68CE0FAC-6492-43C1-9F5A-9062CC14B0CE}" id="{D0278A97-0FA0-4E37-A113-C0969553A8A5}">
    <text>City, State and Postal Code</text>
  </threadedComment>
  <threadedComment ref="F8" dT="2023-05-09T17:43:37.55" personId="{68CE0FAC-6492-43C1-9F5A-9062CC14B0CE}" id="{BBD197BA-CE94-48B6-BA78-64D0F8408ADC}">
    <text>City, State and Postal Code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6" dT="2023-05-09T17:42:43.94" personId="{68CE0FAC-6492-43C1-9F5A-9062CC14B0CE}" id="{7752AB4F-8FA8-4966-8988-4A69E67EDB10}">
    <text>Customer Business Name</text>
  </threadedComment>
  <threadedComment ref="F6" dT="2023-05-09T17:42:43.94" personId="{68CE0FAC-6492-43C1-9F5A-9062CC14B0CE}" id="{1B0DAC34-2F66-4A61-9EC8-EE20D06A1A41}">
    <text>Customer Business Name</text>
  </threadedComment>
  <threadedComment ref="D7" dT="2023-05-09T17:43:20.09" personId="{68CE0FAC-6492-43C1-9F5A-9062CC14B0CE}" id="{B5B85753-78D6-4A63-876D-B588DC86BA35}">
    <text>Street and Location number</text>
  </threadedComment>
  <threadedComment ref="F7" dT="2023-05-09T17:43:20.09" personId="{68CE0FAC-6492-43C1-9F5A-9062CC14B0CE}" id="{3FB26FEF-151E-4D41-9674-F33EC8D19438}">
    <text>Street and Location number</text>
  </threadedComment>
  <threadedComment ref="D8" dT="2023-05-09T17:43:37.55" personId="{68CE0FAC-6492-43C1-9F5A-9062CC14B0CE}" id="{DE69DF9B-56C4-433F-AB64-EF3997265F5A}">
    <text>City, State and Postal Code</text>
  </threadedComment>
  <threadedComment ref="F8" dT="2023-05-09T17:43:37.55" personId="{68CE0FAC-6492-43C1-9F5A-9062CC14B0CE}" id="{08E539EF-0311-441D-A0E8-FC4710B7886E}">
    <text>City, State and Postal Code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" dT="2023-05-09T17:42:43.94" personId="{68CE0FAC-6492-43C1-9F5A-9062CC14B0CE}" id="{37308594-2E59-43D8-8C25-000D12039E37}">
    <text>Customer Business Name</text>
  </threadedComment>
  <threadedComment ref="F6" dT="2023-05-09T17:42:43.94" personId="{68CE0FAC-6492-43C1-9F5A-9062CC14B0CE}" id="{89BB8389-F80E-4ACD-981F-0590F9021CDC}">
    <text>Customer Business Name</text>
  </threadedComment>
  <threadedComment ref="D7" dT="2023-05-09T17:43:20.09" personId="{68CE0FAC-6492-43C1-9F5A-9062CC14B0CE}" id="{59C5743F-B131-4ECE-914B-5DB5A1AA0CB9}">
    <text>Street and Location number</text>
  </threadedComment>
  <threadedComment ref="F7" dT="2023-05-09T17:43:20.09" personId="{68CE0FAC-6492-43C1-9F5A-9062CC14B0CE}" id="{9141CF8B-83A7-4FC4-B974-68B60467B502}">
    <text>Street and Location number</text>
  </threadedComment>
  <threadedComment ref="D8" dT="2023-05-09T17:43:37.55" personId="{68CE0FAC-6492-43C1-9F5A-9062CC14B0CE}" id="{6AF1794B-C29C-45E5-B112-030A32E9DFCB}">
    <text>City, State and Postal Code</text>
  </threadedComment>
  <threadedComment ref="F8" dT="2023-05-09T17:43:37.55" personId="{68CE0FAC-6492-43C1-9F5A-9062CC14B0CE}" id="{7DB78517-389B-4A3B-B13E-C375F1122457}">
    <text>City, State and Postal Code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6" dT="2023-05-09T17:42:43.94" personId="{68CE0FAC-6492-43C1-9F5A-9062CC14B0CE}" id="{F56E1B40-BCC7-4540-9A0D-35553339FFE8}">
    <text>Customer Business Name</text>
  </threadedComment>
  <threadedComment ref="F6" dT="2023-05-09T17:42:43.94" personId="{68CE0FAC-6492-43C1-9F5A-9062CC14B0CE}" id="{047850BC-21CA-4698-AE99-BDB33FCDEE6F}">
    <text>Customer Business Name</text>
  </threadedComment>
  <threadedComment ref="D7" dT="2023-05-09T17:43:20.09" personId="{68CE0FAC-6492-43C1-9F5A-9062CC14B0CE}" id="{976DD04D-D836-4676-9AF3-EF93EE0C03BE}">
    <text>Street and Location number</text>
  </threadedComment>
  <threadedComment ref="F7" dT="2023-05-09T17:43:20.09" personId="{68CE0FAC-6492-43C1-9F5A-9062CC14B0CE}" id="{4B671B06-FFEC-4BC7-A8B3-C366A4B6E374}">
    <text>Street and Location number</text>
  </threadedComment>
  <threadedComment ref="D8" dT="2023-05-09T17:43:37.55" personId="{68CE0FAC-6492-43C1-9F5A-9062CC14B0CE}" id="{75305F6F-7127-461B-B922-417BB885B670}">
    <text>City, State and Postal Code</text>
  </threadedComment>
  <threadedComment ref="F8" dT="2023-05-09T17:43:37.55" personId="{68CE0FAC-6492-43C1-9F5A-9062CC14B0CE}" id="{1397E261-0A8E-428B-850B-0217390BDE7F}">
    <text>City, State and Postal Code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D6" dT="2023-05-09T17:42:43.94" personId="{68CE0FAC-6492-43C1-9F5A-9062CC14B0CE}" id="{2F5A7808-5FED-448E-B986-99ABE3B9D922}">
    <text>Customer Business Name</text>
  </threadedComment>
  <threadedComment ref="F6" dT="2023-05-09T17:42:43.94" personId="{68CE0FAC-6492-43C1-9F5A-9062CC14B0CE}" id="{E7E8B224-BD12-459B-8501-CA82D4F96BF8}">
    <text>Customer Business Name</text>
  </threadedComment>
  <threadedComment ref="D7" dT="2023-05-09T17:43:20.09" personId="{68CE0FAC-6492-43C1-9F5A-9062CC14B0CE}" id="{A7C6532E-FFBB-46A0-AB91-9C4FEABF224D}">
    <text>Street and Location number</text>
  </threadedComment>
  <threadedComment ref="F7" dT="2023-05-09T17:43:20.09" personId="{68CE0FAC-6492-43C1-9F5A-9062CC14B0CE}" id="{B8ED9775-EC6E-493D-AF49-576542D68047}">
    <text>Street and Location number</text>
  </threadedComment>
  <threadedComment ref="D8" dT="2023-05-09T17:43:37.55" personId="{68CE0FAC-6492-43C1-9F5A-9062CC14B0CE}" id="{C015CEAE-8AA3-4705-A054-A0E1B03DE90D}">
    <text>City, State and Postal Code</text>
  </threadedComment>
  <threadedComment ref="F8" dT="2023-05-09T17:43:37.55" personId="{68CE0FAC-6492-43C1-9F5A-9062CC14B0CE}" id="{487B332F-3370-4397-9DFB-96D2B39FC7AE}">
    <text>City, State and Postal Code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6" dT="2023-05-09T17:42:43.94" personId="{68CE0FAC-6492-43C1-9F5A-9062CC14B0CE}" id="{0A88613F-E0E6-4F46-BE35-7DE2A9C4F24A}">
    <text>Customer Business Name</text>
  </threadedComment>
  <threadedComment ref="F6" dT="2023-05-09T17:42:43.94" personId="{68CE0FAC-6492-43C1-9F5A-9062CC14B0CE}" id="{DE746270-981A-46A4-B4A3-0BCE4042D75D}">
    <text>Customer Business Name</text>
  </threadedComment>
  <threadedComment ref="D7" dT="2023-05-09T17:43:20.09" personId="{68CE0FAC-6492-43C1-9F5A-9062CC14B0CE}" id="{78507E76-106E-4453-B527-03474922DD03}">
    <text>Street and Location number</text>
  </threadedComment>
  <threadedComment ref="F7" dT="2023-05-09T17:43:20.09" personId="{68CE0FAC-6492-43C1-9F5A-9062CC14B0CE}" id="{F8AD5867-5B80-4029-80F4-A8A9FDBEDBC2}">
    <text>Street and Location number</text>
  </threadedComment>
  <threadedComment ref="D8" dT="2023-05-09T17:43:37.55" personId="{68CE0FAC-6492-43C1-9F5A-9062CC14B0CE}" id="{E927D4AC-5DF0-402D-AE45-7A3ED01459F7}">
    <text>City, State and Postal Code</text>
  </threadedComment>
  <threadedComment ref="F8" dT="2023-05-09T17:43:37.55" personId="{68CE0FAC-6492-43C1-9F5A-9062CC14B0CE}" id="{E7C66F04-AE87-4A0B-B58B-C43298D8741C}">
    <text>City, State and Postal Code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C6" dT="2023-05-09T17:42:43.94" personId="{68CE0FAC-6492-43C1-9F5A-9062CC14B0CE}" id="{4E7D8A1E-28C9-4A10-B470-BD339A0F5FF3}">
    <text>Customer Business Name</text>
  </threadedComment>
  <threadedComment ref="C7" dT="2023-05-09T17:43:20.09" personId="{68CE0FAC-6492-43C1-9F5A-9062CC14B0CE}" id="{DA2E8F49-7AAC-49D2-BB7B-7985D9DD55EB}">
    <text>Street and Location number</text>
  </threadedComment>
  <threadedComment ref="C8" dT="2023-05-09T17:43:37.55" personId="{68CE0FAC-6492-43C1-9F5A-9062CC14B0CE}" id="{BFD41758-96F3-47DE-A91F-DC7800ADA98D}">
    <text>City, State and Postal Code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C6" dT="2023-05-09T17:42:43.94" personId="{68CE0FAC-6492-43C1-9F5A-9062CC14B0CE}" id="{4F477AE0-1833-46E9-AA99-50E05C694A14}">
    <text>Customer Business Name</text>
  </threadedComment>
  <threadedComment ref="E6" dT="2023-05-09T17:42:43.94" personId="{68CE0FAC-6492-43C1-9F5A-9062CC14B0CE}" id="{9EC5DA7B-C059-42F0-B0FE-2243834FF43C}">
    <text>Customer Business Name</text>
  </threadedComment>
  <threadedComment ref="C7" dT="2023-05-09T17:43:20.09" personId="{68CE0FAC-6492-43C1-9F5A-9062CC14B0CE}" id="{7BB3D790-B809-4133-925C-89F5553E3A7A}">
    <text>Street and Location number</text>
  </threadedComment>
  <threadedComment ref="E7" dT="2023-05-09T17:43:20.09" personId="{68CE0FAC-6492-43C1-9F5A-9062CC14B0CE}" id="{215680BA-12F8-4D30-B7B6-B7551A2C9946}">
    <text>Street and Location number</text>
  </threadedComment>
  <threadedComment ref="C8" dT="2023-05-09T17:43:37.55" personId="{68CE0FAC-6492-43C1-9F5A-9062CC14B0CE}" id="{08252F7B-16D6-448E-A80C-5E46DAFA0355}">
    <text>City, State and Postal Code</text>
  </threadedComment>
  <threadedComment ref="E8" dT="2023-05-09T17:43:37.55" personId="{68CE0FAC-6492-43C1-9F5A-9062CC14B0CE}" id="{6F488E82-316B-4C18-B29A-E8AF57B63E20}">
    <text>City, State and Postal Code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microsoft.com/office/2017/10/relationships/threadedComment" Target="../threadedComments/threadedComment1.xml"/><Relationship Id="rId2" Type="http://schemas.openxmlformats.org/officeDocument/2006/relationships/hyperlink" Target="mailto:AnupamB@coldmatic.com" TargetMode="External"/><Relationship Id="rId1" Type="http://schemas.openxmlformats.org/officeDocument/2006/relationships/hyperlink" Target="mailto:cam@frost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553B2-9839-4C20-A548-463A52A6D97D}">
  <sheetPr codeName="Sheet4">
    <tabColor rgb="FFFF0000"/>
  </sheetPr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BAF79-1722-466D-8686-4AF7DA485094}">
  <sheetPr codeName="Sheet6">
    <tabColor rgb="FFFF0000"/>
  </sheetPr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54A6-0E21-4175-9F66-529661C30B50}">
  <sheetPr codeName="Sheet31">
    <tabColor rgb="FF00B0F0"/>
  </sheetPr>
  <dimension ref="A1:K37"/>
  <sheetViews>
    <sheetView showGridLines="0" view="pageLayout" zoomScaleNormal="100" zoomScaleSheetLayoutView="82" workbookViewId="0">
      <selection activeCell="B2" sqref="B2:C2"/>
    </sheetView>
  </sheetViews>
  <sheetFormatPr defaultRowHeight="14.5" x14ac:dyDescent="0.35"/>
  <cols>
    <col min="1" max="1" width="13.6640625" style="591" customWidth="1"/>
    <col min="2" max="2" width="12.75" style="591" customWidth="1"/>
    <col min="3" max="3" width="11.5" style="591" customWidth="1"/>
    <col min="4" max="4" width="13.6640625" style="591" customWidth="1"/>
    <col min="5" max="5" width="12.9140625" style="591" customWidth="1"/>
    <col min="6" max="6" width="15.1640625" style="591" customWidth="1"/>
    <col min="7" max="16384" width="8.6640625" style="591"/>
  </cols>
  <sheetData>
    <row r="1" spans="1:11" ht="4.4000000000000004" customHeight="1" x14ac:dyDescent="0.35">
      <c r="A1" s="639"/>
      <c r="B1" s="639"/>
      <c r="C1" s="639"/>
      <c r="D1" s="639"/>
      <c r="E1" s="639"/>
      <c r="F1" s="639"/>
      <c r="K1" s="591" t="s">
        <v>0</v>
      </c>
    </row>
    <row r="2" spans="1:11" ht="16" x14ac:dyDescent="0.35">
      <c r="A2" s="592" t="s">
        <v>1</v>
      </c>
      <c r="B2" s="637" t="str">
        <f>+IF(ISBLANK('Quote Summary Sheet'!C7),"",'Quote Summary Sheet'!C7)</f>
        <v>Frost</v>
      </c>
      <c r="C2" s="637"/>
      <c r="D2" s="593" t="s">
        <v>4</v>
      </c>
      <c r="E2" s="640">
        <f>+IF(ISBLANK('Quote Summary Sheet'!$F7),"",'Quote Summary Sheet'!$F7)</f>
        <v>45789</v>
      </c>
      <c r="F2" s="640"/>
    </row>
    <row r="3" spans="1:11" ht="15.9" customHeight="1" x14ac:dyDescent="0.35">
      <c r="A3" s="592" t="s">
        <v>3</v>
      </c>
      <c r="B3" s="637" t="str">
        <f>+IF(ISBLANK('Quote Summary Sheet'!C8),"",'Quote Summary Sheet'!C8)</f>
        <v/>
      </c>
      <c r="C3" s="637"/>
      <c r="D3" s="593" t="s">
        <v>5</v>
      </c>
      <c r="E3" s="640" t="str">
        <f>+IF(ISBLANK('Quote Summary Sheet'!$F8),"",'Quote Summary Sheet'!$F8)</f>
        <v>Lis</v>
      </c>
      <c r="F3" s="640"/>
    </row>
    <row r="4" spans="1:11" ht="15.9" customHeight="1" x14ac:dyDescent="0.35">
      <c r="A4" s="592"/>
      <c r="B4" s="637" t="str">
        <f>+IF(ISBLANK('Quote Summary Sheet'!C9),"",'Quote Summary Sheet'!C9)</f>
        <v/>
      </c>
      <c r="C4" s="637"/>
      <c r="D4" s="593" t="s">
        <v>7</v>
      </c>
      <c r="E4" s="640" t="str">
        <f>+IF(ISBLANK('Quote Summary Sheet'!$F9),"",'Quote Summary Sheet'!$F9)</f>
        <v>AnupamB@coldmatic.com</v>
      </c>
      <c r="F4" s="640"/>
    </row>
    <row r="5" spans="1:11" ht="15.9" customHeight="1" x14ac:dyDescent="0.35">
      <c r="A5" s="594" t="s">
        <v>6</v>
      </c>
      <c r="B5" s="637" t="str">
        <f>+IF(ISBLANK('Quote Summary Sheet'!C10),"",'Quote Summary Sheet'!C10)</f>
        <v>Cam</v>
      </c>
      <c r="C5" s="637"/>
      <c r="D5" s="593"/>
      <c r="E5" s="638"/>
      <c r="F5" s="638"/>
    </row>
    <row r="6" spans="1:11" ht="15.9" customHeight="1" x14ac:dyDescent="0.35">
      <c r="A6" s="594" t="s">
        <v>7</v>
      </c>
      <c r="B6" s="637" t="str">
        <f>+IF(ISBLANK('Quote Summary Sheet'!C11),"",'Quote Summary Sheet'!C11)</f>
        <v>cam@frost.com</v>
      </c>
      <c r="C6" s="637"/>
      <c r="D6" s="593"/>
      <c r="E6" s="638"/>
      <c r="F6" s="638"/>
      <c r="G6" s="595"/>
    </row>
    <row r="7" spans="1:11" ht="16" x14ac:dyDescent="0.35">
      <c r="A7" s="594" t="s">
        <v>9</v>
      </c>
      <c r="B7" s="637" t="str">
        <f>+IF(ISBLANK('Quote Summary Sheet'!C12),"",'Quote Summary Sheet'!C12)</f>
        <v>123-456-7898</v>
      </c>
      <c r="C7" s="637"/>
      <c r="D7" s="593"/>
      <c r="E7" s="596"/>
      <c r="F7" s="597"/>
    </row>
    <row r="8" spans="1:11" ht="4.5" customHeight="1" x14ac:dyDescent="0.35">
      <c r="A8" s="639"/>
      <c r="B8" s="639"/>
      <c r="C8" s="639"/>
      <c r="D8" s="639"/>
      <c r="E8" s="639"/>
      <c r="F8" s="639"/>
    </row>
    <row r="9" spans="1:11" x14ac:dyDescent="0.35">
      <c r="A9" s="598"/>
    </row>
    <row r="10" spans="1:11" ht="16.5" x14ac:dyDescent="0.35">
      <c r="A10" s="599" t="s">
        <v>11</v>
      </c>
      <c r="B10" s="600"/>
      <c r="C10" s="601"/>
      <c r="D10" s="601"/>
      <c r="E10" s="601"/>
      <c r="F10" s="601"/>
      <c r="G10" s="602"/>
      <c r="I10" s="603"/>
    </row>
    <row r="11" spans="1:11" ht="16.5" x14ac:dyDescent="0.35">
      <c r="A11" s="604" t="s">
        <v>13</v>
      </c>
      <c r="B11" s="626"/>
      <c r="C11" s="626"/>
      <c r="D11" s="626"/>
      <c r="E11" s="626"/>
      <c r="F11" s="626"/>
      <c r="G11" s="602"/>
      <c r="I11" s="603"/>
    </row>
    <row r="12" spans="1:11" ht="14.4" customHeight="1" x14ac:dyDescent="0.35">
      <c r="A12" s="627"/>
      <c r="B12" s="628"/>
      <c r="C12" s="628"/>
      <c r="D12" s="628"/>
      <c r="E12" s="628"/>
      <c r="F12" s="629"/>
      <c r="G12" s="602"/>
    </row>
    <row r="13" spans="1:11" x14ac:dyDescent="0.35">
      <c r="A13" s="630"/>
      <c r="B13" s="631"/>
      <c r="C13" s="631"/>
      <c r="D13" s="631"/>
      <c r="E13" s="631"/>
      <c r="F13" s="632"/>
      <c r="G13" s="602"/>
    </row>
    <row r="14" spans="1:11" x14ac:dyDescent="0.35">
      <c r="A14" s="630"/>
      <c r="B14" s="631"/>
      <c r="C14" s="631"/>
      <c r="D14" s="631"/>
      <c r="E14" s="631"/>
      <c r="F14" s="632"/>
      <c r="G14" s="602"/>
    </row>
    <row r="15" spans="1:11" x14ac:dyDescent="0.35">
      <c r="A15" s="630"/>
      <c r="B15" s="631"/>
      <c r="C15" s="631"/>
      <c r="D15" s="631"/>
      <c r="E15" s="631"/>
      <c r="F15" s="632"/>
      <c r="G15" s="602"/>
    </row>
    <row r="16" spans="1:11" x14ac:dyDescent="0.35">
      <c r="A16" s="630"/>
      <c r="B16" s="631"/>
      <c r="C16" s="631"/>
      <c r="D16" s="631"/>
      <c r="E16" s="631"/>
      <c r="F16" s="632"/>
      <c r="G16" s="602"/>
    </row>
    <row r="17" spans="1:7" x14ac:dyDescent="0.35">
      <c r="A17" s="630"/>
      <c r="B17" s="631"/>
      <c r="C17" s="631"/>
      <c r="D17" s="631"/>
      <c r="E17" s="631"/>
      <c r="F17" s="632"/>
      <c r="G17" s="602"/>
    </row>
    <row r="18" spans="1:7" x14ac:dyDescent="0.35">
      <c r="A18" s="630"/>
      <c r="B18" s="631"/>
      <c r="C18" s="631"/>
      <c r="D18" s="631"/>
      <c r="E18" s="631"/>
      <c r="F18" s="632"/>
      <c r="G18" s="602"/>
    </row>
    <row r="19" spans="1:7" x14ac:dyDescent="0.35">
      <c r="A19" s="630"/>
      <c r="B19" s="631"/>
      <c r="C19" s="631"/>
      <c r="D19" s="631"/>
      <c r="E19" s="631"/>
      <c r="F19" s="632"/>
      <c r="G19" s="602"/>
    </row>
    <row r="20" spans="1:7" x14ac:dyDescent="0.35">
      <c r="A20" s="630"/>
      <c r="B20" s="631"/>
      <c r="C20" s="631"/>
      <c r="D20" s="631"/>
      <c r="E20" s="631"/>
      <c r="F20" s="632"/>
      <c r="G20" s="602"/>
    </row>
    <row r="21" spans="1:7" x14ac:dyDescent="0.35">
      <c r="A21" s="633"/>
      <c r="B21" s="634"/>
      <c r="C21" s="634"/>
      <c r="D21" s="634"/>
      <c r="E21" s="634"/>
      <c r="F21" s="635"/>
      <c r="G21" s="602"/>
    </row>
    <row r="22" spans="1:7" x14ac:dyDescent="0.35">
      <c r="E22" s="605" t="s">
        <v>16</v>
      </c>
      <c r="F22" s="606">
        <f>+'[1]Estimation Sheet'!F93</f>
        <v>0</v>
      </c>
    </row>
    <row r="23" spans="1:7" ht="16.5" x14ac:dyDescent="0.35">
      <c r="A23" s="607" t="s">
        <v>17</v>
      </c>
      <c r="B23" s="608"/>
      <c r="C23" s="608"/>
      <c r="D23" s="608"/>
      <c r="E23" s="608"/>
      <c r="F23" s="608"/>
    </row>
    <row r="24" spans="1:7" ht="14.4" customHeight="1" x14ac:dyDescent="0.35">
      <c r="A24" s="631"/>
      <c r="B24" s="631"/>
      <c r="C24" s="631"/>
      <c r="D24" s="631"/>
      <c r="E24" s="631"/>
      <c r="F24" s="631"/>
    </row>
    <row r="25" spans="1:7" x14ac:dyDescent="0.35">
      <c r="A25" s="631"/>
      <c r="B25" s="631"/>
      <c r="C25" s="631"/>
      <c r="D25" s="631"/>
      <c r="E25" s="631"/>
      <c r="F25" s="631"/>
    </row>
    <row r="26" spans="1:7" x14ac:dyDescent="0.35">
      <c r="A26" s="631"/>
      <c r="B26" s="631"/>
      <c r="C26" s="631"/>
      <c r="D26" s="631"/>
      <c r="E26" s="631"/>
      <c r="F26" s="631"/>
    </row>
    <row r="27" spans="1:7" x14ac:dyDescent="0.35">
      <c r="A27" s="631"/>
      <c r="B27" s="631"/>
      <c r="C27" s="631"/>
      <c r="D27" s="631"/>
      <c r="E27" s="631"/>
      <c r="F27" s="631"/>
    </row>
    <row r="28" spans="1:7" x14ac:dyDescent="0.35">
      <c r="A28" s="631"/>
      <c r="B28" s="631"/>
      <c r="C28" s="631"/>
      <c r="D28" s="631"/>
      <c r="E28" s="631"/>
      <c r="F28" s="631"/>
    </row>
    <row r="29" spans="1:7" x14ac:dyDescent="0.35">
      <c r="A29" s="631"/>
      <c r="B29" s="631"/>
      <c r="C29" s="631"/>
      <c r="D29" s="631"/>
      <c r="E29" s="631"/>
      <c r="F29" s="631"/>
    </row>
    <row r="30" spans="1:7" x14ac:dyDescent="0.35">
      <c r="A30" s="631"/>
      <c r="B30" s="631"/>
      <c r="C30" s="631"/>
      <c r="D30" s="631"/>
      <c r="E30" s="631"/>
      <c r="F30" s="631"/>
    </row>
    <row r="31" spans="1:7" x14ac:dyDescent="0.35">
      <c r="A31" s="631"/>
      <c r="B31" s="631"/>
      <c r="C31" s="631"/>
      <c r="D31" s="631"/>
      <c r="E31" s="631"/>
      <c r="F31" s="631"/>
    </row>
    <row r="32" spans="1:7" ht="16.5" x14ac:dyDescent="0.35">
      <c r="A32" s="609"/>
      <c r="D32" s="609"/>
      <c r="E32" s="610"/>
      <c r="F32" s="611" t="s">
        <v>18</v>
      </c>
    </row>
    <row r="33" spans="1:6" ht="16.5" x14ac:dyDescent="0.35">
      <c r="A33" s="609"/>
      <c r="D33" s="609"/>
      <c r="E33" s="610"/>
      <c r="F33" s="611" t="s">
        <v>19</v>
      </c>
    </row>
    <row r="34" spans="1:6" x14ac:dyDescent="0.35">
      <c r="A34" s="609"/>
      <c r="B34" s="609"/>
      <c r="C34" s="609"/>
      <c r="D34" s="609"/>
      <c r="E34" s="609"/>
      <c r="F34" s="609"/>
    </row>
    <row r="35" spans="1:6" x14ac:dyDescent="0.35">
      <c r="A35" s="636" t="s">
        <v>20</v>
      </c>
      <c r="B35" s="636"/>
      <c r="C35" s="636"/>
      <c r="D35" s="636"/>
      <c r="E35" s="636"/>
      <c r="F35" s="636"/>
    </row>
    <row r="36" spans="1:6" x14ac:dyDescent="0.35">
      <c r="A36" s="609"/>
      <c r="B36" s="609"/>
      <c r="C36" s="609"/>
      <c r="D36" s="609"/>
      <c r="E36" s="609"/>
      <c r="F36" s="609"/>
    </row>
    <row r="37" spans="1:6" x14ac:dyDescent="0.35">
      <c r="A37" s="609"/>
      <c r="B37" s="609"/>
      <c r="C37" s="609"/>
      <c r="D37" s="609"/>
      <c r="E37" s="609"/>
      <c r="F37" s="609"/>
    </row>
  </sheetData>
  <mergeCells count="17">
    <mergeCell ref="B4:C4"/>
    <mergeCell ref="E4:F4"/>
    <mergeCell ref="A1:F1"/>
    <mergeCell ref="B2:C2"/>
    <mergeCell ref="E2:F2"/>
    <mergeCell ref="B3:C3"/>
    <mergeCell ref="E3:F3"/>
    <mergeCell ref="B11:F11"/>
    <mergeCell ref="A12:F21"/>
    <mergeCell ref="A24:F31"/>
    <mergeCell ref="A35:F35"/>
    <mergeCell ref="B5:C5"/>
    <mergeCell ref="E5:F5"/>
    <mergeCell ref="B6:C6"/>
    <mergeCell ref="E6:F6"/>
    <mergeCell ref="B7:C7"/>
    <mergeCell ref="A8:F8"/>
  </mergeCells>
  <pageMargins left="0.7" right="0.7" top="1.5972222222222223" bottom="0.75" header="0.3" footer="0.3"/>
  <pageSetup orientation="portrait" r:id="rId1"/>
  <headerFooter>
    <oddHeader>&amp;L&amp;10Coldmatic Building Systems Inc.
61 Baywood Rd.
Toronto, ON, M9V 3Y8
Tel: 416 744 7600 
www.coldmatic.com
&amp;R&amp;"Arial,Bold"&amp;18&amp;G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51D66-60FA-4C92-82F2-3CDEA51ABABC}">
  <sheetPr codeName="Sheet1"/>
  <dimension ref="A2:I42"/>
  <sheetViews>
    <sheetView showGridLines="0" zoomScale="70" zoomScaleNormal="70" workbookViewId="0">
      <selection activeCell="E4" sqref="E4:F4"/>
    </sheetView>
  </sheetViews>
  <sheetFormatPr defaultRowHeight="15.5" x14ac:dyDescent="0.35"/>
  <cols>
    <col min="1" max="1" width="6.6640625" customWidth="1"/>
    <col min="2" max="2" width="22.08203125" bestFit="1" customWidth="1"/>
    <col min="3" max="3" width="32.75" customWidth="1"/>
    <col min="4" max="4" width="38.33203125" bestFit="1" customWidth="1"/>
    <col min="5" max="5" width="25.75" style="63" customWidth="1"/>
    <col min="6" max="6" width="35.08203125" customWidth="1"/>
    <col min="7" max="7" width="17.08203125" bestFit="1" customWidth="1"/>
    <col min="8" max="8" width="17.08203125" style="63" bestFit="1" customWidth="1"/>
    <col min="9" max="9" width="14.58203125" style="63" bestFit="1" customWidth="1"/>
  </cols>
  <sheetData>
    <row r="2" spans="1:9" ht="28.5" x14ac:dyDescent="0.35">
      <c r="A2" s="579"/>
      <c r="B2" s="678" t="s">
        <v>1029</v>
      </c>
      <c r="C2" s="679"/>
      <c r="D2" s="679"/>
      <c r="E2" s="679"/>
      <c r="F2" s="680"/>
    </row>
    <row r="3" spans="1:9" x14ac:dyDescent="0.35">
      <c r="A3" s="579"/>
      <c r="B3" s="590" t="s">
        <v>29</v>
      </c>
      <c r="C3" s="580">
        <v>45789</v>
      </c>
      <c r="D3" s="581" t="s">
        <v>30</v>
      </c>
      <c r="E3" s="681" t="s">
        <v>1062</v>
      </c>
      <c r="F3" s="681"/>
    </row>
    <row r="4" spans="1:9" ht="36" customHeight="1" x14ac:dyDescent="0.35">
      <c r="A4" s="579"/>
      <c r="B4" s="682"/>
      <c r="C4" s="683"/>
      <c r="D4" s="581" t="s">
        <v>965</v>
      </c>
      <c r="E4" s="686" t="str">
        <f>IF(OR(ISBLANK(E3),ISBLANK(C7),ISBLANK(C16)),"Please enter info. Quote #, Customer To &amp; Job Scope Description",CONCATENATE(E3," ",C7," ",C16))</f>
        <v>SR-0511 Frost WIC with 38" X 78" infitting door</v>
      </c>
      <c r="F4" s="686"/>
    </row>
    <row r="5" spans="1:9" x14ac:dyDescent="0.35">
      <c r="A5" s="579"/>
      <c r="B5" s="684"/>
      <c r="C5" s="685"/>
      <c r="D5" s="687"/>
      <c r="E5" s="688"/>
      <c r="F5" s="689"/>
    </row>
    <row r="6" spans="1:9" x14ac:dyDescent="0.35">
      <c r="A6" s="648" t="s">
        <v>28</v>
      </c>
      <c r="B6" s="649" t="s">
        <v>33</v>
      </c>
      <c r="C6" s="649"/>
      <c r="D6" s="582"/>
      <c r="E6" s="650" t="s">
        <v>1028</v>
      </c>
      <c r="F6" s="650"/>
    </row>
    <row r="7" spans="1:9" ht="16" x14ac:dyDescent="0.35">
      <c r="A7" s="648"/>
      <c r="B7" s="651" t="s">
        <v>34</v>
      </c>
      <c r="C7" s="584" t="s">
        <v>1053</v>
      </c>
      <c r="D7" s="691"/>
      <c r="E7" s="585" t="s">
        <v>966</v>
      </c>
      <c r="F7" s="580">
        <v>45789</v>
      </c>
    </row>
    <row r="8" spans="1:9" ht="16" x14ac:dyDescent="0.35">
      <c r="A8" s="648"/>
      <c r="B8" s="651"/>
      <c r="C8" s="586"/>
      <c r="D8" s="692"/>
      <c r="E8" s="585" t="s">
        <v>967</v>
      </c>
      <c r="F8" s="623" t="s">
        <v>1060</v>
      </c>
    </row>
    <row r="9" spans="1:9" ht="16" x14ac:dyDescent="0.35">
      <c r="A9" s="648"/>
      <c r="B9" s="651"/>
      <c r="C9" s="587"/>
      <c r="D9" s="692"/>
      <c r="E9" s="585" t="s">
        <v>100</v>
      </c>
      <c r="F9" s="624" t="s">
        <v>1059</v>
      </c>
    </row>
    <row r="10" spans="1:9" ht="16" x14ac:dyDescent="0.35">
      <c r="A10" s="648"/>
      <c r="B10" s="583" t="s">
        <v>105</v>
      </c>
      <c r="C10" s="588" t="s">
        <v>1056</v>
      </c>
      <c r="D10" s="692"/>
      <c r="E10" s="682"/>
      <c r="F10" s="693"/>
    </row>
    <row r="11" spans="1:9" ht="16" x14ac:dyDescent="0.35">
      <c r="A11" s="648"/>
      <c r="B11" s="583" t="s">
        <v>7</v>
      </c>
      <c r="C11" s="622" t="s">
        <v>1057</v>
      </c>
      <c r="D11" s="692"/>
      <c r="E11" s="694"/>
      <c r="F11" s="695"/>
    </row>
    <row r="12" spans="1:9" ht="16" x14ac:dyDescent="0.35">
      <c r="A12" s="648"/>
      <c r="B12" s="589" t="s">
        <v>9</v>
      </c>
      <c r="C12" s="584" t="s">
        <v>1058</v>
      </c>
      <c r="D12" s="692"/>
      <c r="E12" s="694"/>
      <c r="F12" s="695"/>
    </row>
    <row r="13" spans="1:9" x14ac:dyDescent="0.35">
      <c r="A13" s="579"/>
      <c r="B13" s="690"/>
      <c r="C13" s="690"/>
      <c r="D13" s="690"/>
      <c r="E13" s="690"/>
      <c r="F13" s="690"/>
    </row>
    <row r="16" spans="1:9" s="4" customFormat="1" ht="20.5" customHeight="1" x14ac:dyDescent="0.35">
      <c r="A16" s="654" t="s">
        <v>115</v>
      </c>
      <c r="B16" s="612" t="s">
        <v>247</v>
      </c>
      <c r="C16" s="657" t="s">
        <v>1054</v>
      </c>
      <c r="D16" s="658"/>
      <c r="E16" s="659" t="s">
        <v>248</v>
      </c>
      <c r="F16" s="660"/>
      <c r="H16" s="3"/>
      <c r="I16" s="3"/>
    </row>
    <row r="17" spans="1:9" s="456" customFormat="1" ht="105" customHeight="1" x14ac:dyDescent="0.35">
      <c r="A17" s="655"/>
      <c r="B17" s="661"/>
      <c r="C17" s="662"/>
      <c r="D17" s="663"/>
      <c r="E17" s="670"/>
      <c r="F17" s="671"/>
      <c r="H17" s="625"/>
      <c r="I17" s="625"/>
    </row>
    <row r="18" spans="1:9" s="456" customFormat="1" ht="105" customHeight="1" x14ac:dyDescent="0.35">
      <c r="A18" s="655"/>
      <c r="B18" s="664"/>
      <c r="C18" s="665"/>
      <c r="D18" s="666"/>
      <c r="E18" s="670"/>
      <c r="F18" s="671"/>
      <c r="H18" s="625"/>
      <c r="I18" s="625"/>
    </row>
    <row r="19" spans="1:9" s="456" customFormat="1" ht="105" customHeight="1" x14ac:dyDescent="0.35">
      <c r="A19" s="655"/>
      <c r="B19" s="664"/>
      <c r="C19" s="665"/>
      <c r="D19" s="666"/>
      <c r="E19" s="670"/>
      <c r="F19" s="671"/>
      <c r="H19" s="625"/>
      <c r="I19" s="625"/>
    </row>
    <row r="20" spans="1:9" s="456" customFormat="1" ht="105" customHeight="1" x14ac:dyDescent="0.35">
      <c r="A20" s="656"/>
      <c r="B20" s="667"/>
      <c r="C20" s="668"/>
      <c r="D20" s="669"/>
      <c r="E20" s="672"/>
      <c r="F20" s="673"/>
      <c r="H20" s="625"/>
      <c r="I20" s="625"/>
    </row>
    <row r="26" spans="1:9" x14ac:dyDescent="0.35">
      <c r="B26" s="283" t="s">
        <v>1032</v>
      </c>
      <c r="C26" s="283" t="s">
        <v>1030</v>
      </c>
      <c r="D26" s="283" t="s">
        <v>39</v>
      </c>
      <c r="E26" s="283" t="s">
        <v>1036</v>
      </c>
      <c r="F26" s="284" t="s">
        <v>69</v>
      </c>
      <c r="G26" s="305" t="s">
        <v>124</v>
      </c>
      <c r="H26" s="305" t="s">
        <v>45</v>
      </c>
      <c r="I26" s="305" t="s">
        <v>46</v>
      </c>
    </row>
    <row r="27" spans="1:9" ht="15.5" customHeight="1" x14ac:dyDescent="0.35">
      <c r="A27" s="652" t="s">
        <v>1031</v>
      </c>
      <c r="B27" s="613" t="s">
        <v>1033</v>
      </c>
      <c r="C27" s="65" t="str">
        <f>+IF(ISBLANK('Door - Step 2'!D31),"",'Door - Step 2'!D31)</f>
        <v>Cooler</v>
      </c>
      <c r="D27" s="65" t="str">
        <f>+IF(ISBLANK('Door - Step 2'!D30),"",'Door - Step 2'!D30)</f>
        <v>Overlap Doors - Swing door</v>
      </c>
      <c r="E27" s="65" t="str">
        <f>+IF(ISBLANK('Door - Step 2'!D30),"",CONCATENATE('Door - Step 2'!D34,""",""X""",'Door - Step 2'!D35,""""))</f>
        <v>34","X"65"</v>
      </c>
      <c r="F27" s="65">
        <f>+IF(ISBLANK('Door - Step 2'!D30),"",'Door - Step 2'!D38)</f>
        <v>1</v>
      </c>
      <c r="G27" s="70">
        <f>+IF(ISBLANK('Door - Step 2'!D30),"",'Door - Step 2'!F113)</f>
        <v>1150.6807010363248</v>
      </c>
      <c r="H27" s="506">
        <f>+IF(ISBLANK('Door - Step 2'!D30),"",'Door - Step 2'!F114)</f>
        <v>0.3</v>
      </c>
      <c r="I27" s="70">
        <f>+IF(ISBLANK('Door - Step 2'!D30),"",'Door - Step 2'!F115)</f>
        <v>1495.8849113472222</v>
      </c>
    </row>
    <row r="28" spans="1:9" x14ac:dyDescent="0.35">
      <c r="A28" s="653"/>
      <c r="B28" s="613" t="s">
        <v>1034</v>
      </c>
      <c r="C28" s="65" t="str">
        <f>+IF(ISBLANK('Quotation - Door 2'!D31),"",'Quotation - Door 2'!D31)</f>
        <v>Freezer</v>
      </c>
      <c r="D28" s="65" t="str">
        <f>+IF(ISBLANK('Quotation - Door 2'!D30),"",'Quotation - Door 2'!D30)</f>
        <v>Power Operated Sliding door - Single horizontal Slide</v>
      </c>
      <c r="E28" s="65" t="str">
        <f>+IF(ISBLANK('Quotation - Door 2'!D30),"",CONCATENATE('Quotation - Door 2'!D34,""",""X""",'Quotation - Door 2'!D35,""""))</f>
        <v>130","X"96"</v>
      </c>
      <c r="F28" s="65">
        <f>+IF(ISBLANK('Quotation - Door 2'!D30),"",'Quotation - Door 2'!D38)</f>
        <v>1</v>
      </c>
      <c r="G28" s="70">
        <f>+IF(ISBLANK('Quotation - Door 2'!D30),"",'Quotation - Door 2'!F113)</f>
        <v>8187.2667863562674</v>
      </c>
      <c r="H28" s="506">
        <f>+IF(ISBLANK('Quotation - Door 2'!D30),"",'Quotation - Door 2'!F114)</f>
        <v>0.3</v>
      </c>
      <c r="I28" s="70">
        <f>+IF(ISBLANK('Quotation - Door 2'!D30),"",'Quotation - Door 2'!F115)</f>
        <v>10643.446822263148</v>
      </c>
    </row>
    <row r="29" spans="1:9" x14ac:dyDescent="0.35">
      <c r="A29" s="653"/>
      <c r="B29" s="613" t="s">
        <v>1035</v>
      </c>
      <c r="C29" s="65">
        <f>+IF(ISBLANK('Quotation - Door 3'!D31),"",'Quotation - Door 3'!D31)</f>
        <v>0</v>
      </c>
      <c r="D29" s="65">
        <f>+IF(ISBLANK('Quotation - Door 3'!D30),"",'Quotation - Door 3'!D30)</f>
        <v>0</v>
      </c>
      <c r="E29" s="65" t="str">
        <f>+IF(ISBLANK('Quotation - Door 3'!D30),"",CONCATENATE('Quotation - Door 3'!D34,""",""X""",'Quotation - Door 3'!D35,""""))</f>
        <v>0","X"0"</v>
      </c>
      <c r="F29" s="65">
        <f>+IF(ISBLANK('Quotation - Door 3'!D30),"",'Quotation - Door 3'!D38)</f>
        <v>0</v>
      </c>
      <c r="G29" s="70">
        <f>+IF(ISBLANK('Quotation - Door 3'!D30),"",'Quotation - Door 3'!F113)</f>
        <v>0</v>
      </c>
      <c r="H29" s="506">
        <f>+IF(ISBLANK('Quotation - Door 3'!D30),"",'Quotation - Door 3'!F114)</f>
        <v>0</v>
      </c>
      <c r="I29" s="70">
        <f>+IF(ISBLANK('Door - Step 2'!D30),"",'Quotation - Door 3'!F115)</f>
        <v>0</v>
      </c>
    </row>
    <row r="30" spans="1:9" x14ac:dyDescent="0.35">
      <c r="A30" s="653"/>
    </row>
    <row r="31" spans="1:9" x14ac:dyDescent="0.35">
      <c r="A31" s="653"/>
      <c r="B31" s="643" t="s">
        <v>1037</v>
      </c>
      <c r="C31" s="643"/>
      <c r="D31" s="643"/>
      <c r="E31" s="643"/>
      <c r="F31" s="65">
        <f>+SUM(F27:F30)</f>
        <v>2</v>
      </c>
      <c r="G31" s="70">
        <f t="shared" ref="G31:I31" si="0">+SUM(G27:G30)</f>
        <v>9337.9474873925919</v>
      </c>
      <c r="H31" s="506">
        <f>+AVERAGEIF(H27:H30,"&lt;&gt;0",H27:H30)</f>
        <v>0.3</v>
      </c>
      <c r="I31" s="70">
        <f t="shared" si="0"/>
        <v>12139.33173361037</v>
      </c>
    </row>
    <row r="35" spans="1:9" x14ac:dyDescent="0.35">
      <c r="B35" s="283" t="s">
        <v>1039</v>
      </c>
      <c r="C35" s="283" t="s">
        <v>1030</v>
      </c>
      <c r="D35" s="283" t="s">
        <v>1041</v>
      </c>
      <c r="E35" s="644" t="s">
        <v>1040</v>
      </c>
      <c r="F35" s="645"/>
      <c r="G35" s="305" t="s">
        <v>124</v>
      </c>
      <c r="H35" s="305" t="s">
        <v>45</v>
      </c>
      <c r="I35" s="305" t="s">
        <v>46</v>
      </c>
    </row>
    <row r="36" spans="1:9" x14ac:dyDescent="0.35">
      <c r="A36" s="641" t="s">
        <v>1038</v>
      </c>
      <c r="B36" s="613" t="s">
        <v>1042</v>
      </c>
      <c r="C36" s="65" t="str">
        <f>+'Quotation Structure - Room'!C34</f>
        <v>Cooler</v>
      </c>
      <c r="D36" s="65"/>
      <c r="E36" s="646">
        <f>+'Quotation Structure - Room'!C35</f>
        <v>222.56</v>
      </c>
      <c r="F36" s="647"/>
      <c r="G36" s="70" t="e">
        <f>+'Quotation Structure - Room'!F66</f>
        <v>#N/A</v>
      </c>
      <c r="H36" s="506">
        <f>+'Quotation Structure - Room'!G66</f>
        <v>0.6</v>
      </c>
      <c r="I36" s="70" t="e">
        <f>+'Quotation Structure - Room'!H66</f>
        <v>#N/A</v>
      </c>
    </row>
    <row r="37" spans="1:9" x14ac:dyDescent="0.35">
      <c r="A37" s="642"/>
      <c r="B37" s="613" t="s">
        <v>486</v>
      </c>
      <c r="C37" s="65" t="str">
        <f>+'Quotation Structure - Room'!C68</f>
        <v>COMBO</v>
      </c>
      <c r="D37" s="65"/>
      <c r="E37" s="646">
        <f>+'Quotation Structure - Room'!C69</f>
        <v>624</v>
      </c>
      <c r="F37" s="647"/>
      <c r="G37" s="70" t="e">
        <f>+'Quotation Structure - Room'!F98</f>
        <v>#N/A</v>
      </c>
      <c r="H37" s="506">
        <f>+'Quotation Structure - Room'!G98</f>
        <v>0.5</v>
      </c>
      <c r="I37" s="70" t="e">
        <f>+'Quotation Structure - Room'!H98</f>
        <v>#N/A</v>
      </c>
    </row>
    <row r="38" spans="1:9" x14ac:dyDescent="0.35">
      <c r="A38" s="642"/>
    </row>
    <row r="39" spans="1:9" x14ac:dyDescent="0.35">
      <c r="A39" s="642"/>
      <c r="B39" s="643" t="s">
        <v>1037</v>
      </c>
      <c r="C39" s="643"/>
      <c r="D39" s="643"/>
      <c r="E39" s="643"/>
      <c r="F39" s="65">
        <f>+SUM(E35:E38)</f>
        <v>846.56</v>
      </c>
      <c r="G39" s="70" t="e">
        <f t="shared" ref="G39" si="1">+SUM(G35:G38)</f>
        <v>#N/A</v>
      </c>
      <c r="H39" s="506">
        <f>+AVERAGEIF(H35:H38,"&lt;&gt;0",H35:H38)</f>
        <v>0.55000000000000004</v>
      </c>
      <c r="I39" s="70" t="e">
        <f t="shared" ref="I39" si="2">+SUM(I35:I38)</f>
        <v>#N/A</v>
      </c>
    </row>
    <row r="41" spans="1:9" ht="18.5" x14ac:dyDescent="0.45">
      <c r="B41" s="675" t="s">
        <v>1055</v>
      </c>
      <c r="C41" s="676"/>
      <c r="D41" s="676"/>
      <c r="E41" s="676"/>
      <c r="F41" s="677"/>
      <c r="G41" s="305" t="s">
        <v>124</v>
      </c>
      <c r="H41" s="305" t="s">
        <v>45</v>
      </c>
      <c r="I41" s="305" t="s">
        <v>46</v>
      </c>
    </row>
    <row r="42" spans="1:9" x14ac:dyDescent="0.35">
      <c r="B42" s="674" t="s">
        <v>1037</v>
      </c>
      <c r="C42" s="674"/>
      <c r="D42" s="674"/>
      <c r="E42" s="674"/>
      <c r="G42" s="70" t="e">
        <f>+G39+G31</f>
        <v>#N/A</v>
      </c>
      <c r="H42" s="505">
        <f>+AVERAGE(H39,H31)</f>
        <v>0.42500000000000004</v>
      </c>
      <c r="I42" s="70" t="e">
        <f>+I39+I31</f>
        <v>#N/A</v>
      </c>
    </row>
  </sheetData>
  <mergeCells count="26">
    <mergeCell ref="B42:E42"/>
    <mergeCell ref="B41:F41"/>
    <mergeCell ref="B2:F2"/>
    <mergeCell ref="E3:F3"/>
    <mergeCell ref="B4:C5"/>
    <mergeCell ref="E4:F4"/>
    <mergeCell ref="D5:F5"/>
    <mergeCell ref="B13:F13"/>
    <mergeCell ref="D7:D12"/>
    <mergeCell ref="E10:F12"/>
    <mergeCell ref="A6:A12"/>
    <mergeCell ref="B6:C6"/>
    <mergeCell ref="E6:F6"/>
    <mergeCell ref="B7:B9"/>
    <mergeCell ref="A27:A31"/>
    <mergeCell ref="B31:E31"/>
    <mergeCell ref="A16:A20"/>
    <mergeCell ref="C16:D16"/>
    <mergeCell ref="E16:F16"/>
    <mergeCell ref="B17:D20"/>
    <mergeCell ref="E17:F20"/>
    <mergeCell ref="A36:A39"/>
    <mergeCell ref="B39:E39"/>
    <mergeCell ref="E35:F35"/>
    <mergeCell ref="E36:F36"/>
    <mergeCell ref="E37:F37"/>
  </mergeCells>
  <phoneticPr fontId="10" type="noConversion"/>
  <hyperlinks>
    <hyperlink ref="C11" r:id="rId1" xr:uid="{E2C0766B-F6DF-4F59-B40F-D0239BD4DC5E}"/>
    <hyperlink ref="F9" r:id="rId2" xr:uid="{84C8644C-E5C5-4698-8EAA-7DEA9E294475}"/>
  </hyperlinks>
  <pageMargins left="0.7" right="0.7" top="0.75" bottom="0.75" header="0.3" footer="0.3"/>
  <pageSetup orientation="portrait" r:id="rId3"/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8E0F1-4385-4D46-987B-54DE6331D45A}">
  <sheetPr codeName="Sheet13">
    <tabColor rgb="FFFFFF00"/>
  </sheetPr>
  <dimension ref="A1:K81"/>
  <sheetViews>
    <sheetView showGridLines="0" showZeros="0" view="pageLayout" zoomScaleNormal="100" workbookViewId="0">
      <selection activeCell="A12" sqref="A12:F15"/>
    </sheetView>
  </sheetViews>
  <sheetFormatPr defaultRowHeight="15.5" x14ac:dyDescent="0.35"/>
  <cols>
    <col min="1" max="5" width="13.58203125" customWidth="1"/>
    <col min="6" max="6" width="15.08203125" customWidth="1"/>
  </cols>
  <sheetData>
    <row r="1" spans="1:11" ht="4.5" customHeight="1" x14ac:dyDescent="0.35">
      <c r="A1" s="718"/>
      <c r="B1" s="718"/>
      <c r="C1" s="718"/>
      <c r="D1" s="718"/>
      <c r="E1" s="718"/>
      <c r="F1" s="718"/>
      <c r="K1" t="s">
        <v>0</v>
      </c>
    </row>
    <row r="2" spans="1:11" ht="16" x14ac:dyDescent="0.35">
      <c r="A2" s="97" t="s">
        <v>1</v>
      </c>
      <c r="B2" s="719">
        <f>'Door - Step 2'!D6</f>
        <v>0</v>
      </c>
      <c r="C2" s="719"/>
      <c r="D2" s="201" t="s">
        <v>2</v>
      </c>
      <c r="E2" s="720">
        <f>+'Door - Step 2'!D3</f>
        <v>0</v>
      </c>
      <c r="F2" s="721"/>
    </row>
    <row r="3" spans="1:11" ht="16" customHeight="1" x14ac:dyDescent="0.35">
      <c r="A3" s="98" t="s">
        <v>3</v>
      </c>
      <c r="B3" s="722">
        <f>'Door - Step 2'!D7</f>
        <v>0</v>
      </c>
      <c r="C3" s="722"/>
      <c r="D3" s="79" t="s">
        <v>4</v>
      </c>
      <c r="E3" s="723" t="e">
        <f>+'Door - Step 2'!#REF!</f>
        <v>#REF!</v>
      </c>
      <c r="F3" s="724"/>
    </row>
    <row r="4" spans="1:11" ht="16" customHeight="1" x14ac:dyDescent="0.35">
      <c r="A4" s="98"/>
      <c r="B4" s="722">
        <f>'Door - Step 2'!D8</f>
        <v>0</v>
      </c>
      <c r="C4" s="722"/>
      <c r="D4" s="79" t="s">
        <v>5</v>
      </c>
      <c r="E4" s="725" t="e">
        <f>+'Door - Step 2'!#REF!</f>
        <v>#REF!</v>
      </c>
      <c r="F4" s="724"/>
    </row>
    <row r="5" spans="1:11" ht="16" customHeight="1" x14ac:dyDescent="0.35">
      <c r="A5" s="99" t="s">
        <v>6</v>
      </c>
      <c r="B5" s="722">
        <f>'Door - Step 2'!D9</f>
        <v>0</v>
      </c>
      <c r="C5" s="722"/>
      <c r="D5" s="79" t="s">
        <v>7</v>
      </c>
      <c r="E5" s="725">
        <f>+'Door - Step 2'!J6</f>
        <v>0</v>
      </c>
      <c r="F5" s="724"/>
    </row>
    <row r="6" spans="1:11" ht="16" customHeight="1" x14ac:dyDescent="0.35">
      <c r="A6" s="99" t="s">
        <v>7</v>
      </c>
      <c r="B6" s="722">
        <f>'Door - Step 2'!D10</f>
        <v>0</v>
      </c>
      <c r="C6" s="722"/>
      <c r="D6" s="79" t="s">
        <v>8</v>
      </c>
      <c r="E6" s="725" t="e">
        <f>+'Door - Step 2'!#REF!</f>
        <v>#REF!</v>
      </c>
      <c r="F6" s="724"/>
      <c r="G6" s="80"/>
    </row>
    <row r="7" spans="1:11" ht="16" x14ac:dyDescent="0.35">
      <c r="A7" s="100" t="s">
        <v>9</v>
      </c>
      <c r="B7" s="726">
        <f>'Door - Step 2'!D11</f>
        <v>0</v>
      </c>
      <c r="C7" s="726"/>
      <c r="D7" s="101" t="s">
        <v>10</v>
      </c>
      <c r="E7" s="102" cm="1">
        <f t="array" ref="E7:G7">+'Door - Step 2'!D15:F15</f>
        <v>0</v>
      </c>
      <c r="F7" s="103">
        <v>0</v>
      </c>
      <c r="G7">
        <v>0</v>
      </c>
    </row>
    <row r="8" spans="1:11" ht="4.5" customHeight="1" x14ac:dyDescent="0.35">
      <c r="A8" s="718"/>
      <c r="B8" s="718"/>
      <c r="C8" s="718"/>
      <c r="D8" s="718"/>
      <c r="E8" s="718"/>
      <c r="F8" s="718"/>
    </row>
    <row r="9" spans="1:11" x14ac:dyDescent="0.35">
      <c r="A9" s="81"/>
    </row>
    <row r="10" spans="1:11" ht="16.5" x14ac:dyDescent="0.35">
      <c r="A10" s="82" t="s">
        <v>11</v>
      </c>
      <c r="B10" s="83" t="s">
        <v>12</v>
      </c>
      <c r="C10" s="84"/>
      <c r="D10" s="84"/>
      <c r="E10" s="84"/>
      <c r="F10" s="84"/>
      <c r="I10" s="85"/>
    </row>
    <row r="11" spans="1:11" ht="16.5" x14ac:dyDescent="0.35">
      <c r="A11" s="86" t="s">
        <v>13</v>
      </c>
      <c r="B11" s="708"/>
      <c r="C11" s="708"/>
      <c r="D11" s="708"/>
      <c r="E11" s="708"/>
      <c r="F11" s="708"/>
      <c r="I11" s="85"/>
    </row>
    <row r="12" spans="1:11" ht="14.5" customHeight="1" x14ac:dyDescent="0.35">
      <c r="A12" s="716">
        <f>+'Door - Step 2'!C16</f>
        <v>0</v>
      </c>
      <c r="B12" s="716"/>
      <c r="C12" s="716"/>
      <c r="D12" s="716"/>
      <c r="E12" s="716"/>
      <c r="F12" s="716"/>
    </row>
    <row r="13" spans="1:11" x14ac:dyDescent="0.35">
      <c r="A13" s="716"/>
      <c r="B13" s="716"/>
      <c r="C13" s="716"/>
      <c r="D13" s="716"/>
      <c r="E13" s="716"/>
      <c r="F13" s="716"/>
    </row>
    <row r="14" spans="1:11" x14ac:dyDescent="0.35">
      <c r="A14" s="716"/>
      <c r="B14" s="716"/>
      <c r="C14" s="716"/>
      <c r="D14" s="716"/>
      <c r="E14" s="716"/>
      <c r="F14" s="716"/>
    </row>
    <row r="15" spans="1:11" x14ac:dyDescent="0.35">
      <c r="A15" s="716"/>
      <c r="B15" s="716"/>
      <c r="C15" s="716"/>
      <c r="D15" s="716"/>
      <c r="E15" s="716"/>
      <c r="F15" s="716"/>
    </row>
    <row r="16" spans="1:11" ht="16.5" x14ac:dyDescent="0.35">
      <c r="A16" s="86" t="s">
        <v>14</v>
      </c>
      <c r="B16" s="107"/>
      <c r="C16" s="107"/>
      <c r="D16" s="107"/>
      <c r="E16" s="107"/>
      <c r="F16" s="107"/>
    </row>
    <row r="17" spans="1:6" x14ac:dyDescent="0.35">
      <c r="A17" s="107" t="s">
        <v>15</v>
      </c>
      <c r="B17" s="107"/>
      <c r="C17" s="107"/>
      <c r="D17" s="107"/>
      <c r="E17" s="107"/>
      <c r="F17" s="107"/>
    </row>
    <row r="18" spans="1:6" x14ac:dyDescent="0.35">
      <c r="A18" s="107"/>
      <c r="B18" s="107"/>
      <c r="C18" s="107"/>
      <c r="D18" s="107"/>
      <c r="E18" s="107"/>
      <c r="F18" s="107"/>
    </row>
    <row r="24" spans="1:6" x14ac:dyDescent="0.35">
      <c r="A24" s="107"/>
      <c r="B24" s="107"/>
      <c r="C24" s="107"/>
      <c r="D24" s="107"/>
      <c r="E24" s="107"/>
      <c r="F24" s="107"/>
    </row>
    <row r="25" spans="1:6" x14ac:dyDescent="0.35">
      <c r="A25" s="107"/>
      <c r="B25" s="107"/>
      <c r="C25" s="107"/>
      <c r="D25" s="107"/>
      <c r="E25" s="107"/>
      <c r="F25" s="107"/>
    </row>
    <row r="26" spans="1:6" x14ac:dyDescent="0.35">
      <c r="A26" s="107"/>
      <c r="B26" s="107"/>
      <c r="C26" s="107"/>
      <c r="D26" s="107"/>
      <c r="E26" s="107"/>
      <c r="F26" s="107"/>
    </row>
    <row r="27" spans="1:6" x14ac:dyDescent="0.35">
      <c r="A27" s="107"/>
      <c r="B27" s="107"/>
      <c r="C27" s="107"/>
      <c r="D27" s="107"/>
      <c r="E27" s="107"/>
      <c r="F27" s="107"/>
    </row>
    <row r="28" spans="1:6" x14ac:dyDescent="0.35">
      <c r="A28" s="107"/>
      <c r="B28" s="107"/>
      <c r="C28" s="107"/>
      <c r="D28" s="107"/>
      <c r="E28" s="107"/>
      <c r="F28" s="107"/>
    </row>
    <row r="29" spans="1:6" x14ac:dyDescent="0.35">
      <c r="A29" s="107"/>
      <c r="B29" s="107"/>
      <c r="C29" s="107"/>
      <c r="D29" s="107"/>
      <c r="E29" s="107"/>
      <c r="F29" s="107"/>
    </row>
    <row r="30" spans="1:6" x14ac:dyDescent="0.35">
      <c r="A30" s="107"/>
      <c r="B30" s="107"/>
      <c r="C30" s="107"/>
      <c r="D30" s="107"/>
      <c r="E30" s="107"/>
      <c r="F30" s="107"/>
    </row>
    <row r="32" spans="1:6" x14ac:dyDescent="0.35">
      <c r="A32" s="63"/>
      <c r="D32" s="63"/>
    </row>
    <row r="33" spans="1:6" x14ac:dyDescent="0.35">
      <c r="A33" s="63"/>
      <c r="D33" s="63"/>
      <c r="E33" s="87" t="s">
        <v>16</v>
      </c>
      <c r="F33" s="88">
        <v>0</v>
      </c>
    </row>
    <row r="34" spans="1:6" x14ac:dyDescent="0.35">
      <c r="A34" s="63"/>
      <c r="B34" s="63"/>
      <c r="C34" s="63"/>
      <c r="D34" s="63"/>
      <c r="E34" s="63"/>
      <c r="F34" s="63"/>
    </row>
    <row r="35" spans="1:6" ht="16.5" x14ac:dyDescent="0.35">
      <c r="A35" s="86" t="s">
        <v>17</v>
      </c>
      <c r="B35" s="89"/>
      <c r="C35" s="89"/>
      <c r="D35" s="89"/>
      <c r="E35" s="89"/>
      <c r="F35" s="89"/>
    </row>
    <row r="36" spans="1:6" x14ac:dyDescent="0.35">
      <c r="A36" s="717"/>
      <c r="B36" s="717"/>
      <c r="C36" s="717"/>
      <c r="D36" s="717"/>
      <c r="E36" s="717"/>
      <c r="F36" s="717"/>
    </row>
    <row r="37" spans="1:6" x14ac:dyDescent="0.35">
      <c r="A37" s="717"/>
      <c r="B37" s="717"/>
      <c r="C37" s="717"/>
      <c r="D37" s="717"/>
      <c r="E37" s="717"/>
      <c r="F37" s="717"/>
    </row>
    <row r="38" spans="1:6" x14ac:dyDescent="0.35">
      <c r="A38" s="717"/>
      <c r="B38" s="717"/>
      <c r="C38" s="717"/>
      <c r="D38" s="717"/>
      <c r="E38" s="717"/>
      <c r="F38" s="717"/>
    </row>
    <row r="39" spans="1:6" ht="16.5" x14ac:dyDescent="0.35">
      <c r="A39" s="63"/>
      <c r="B39" s="63"/>
      <c r="C39" s="63"/>
      <c r="D39" s="63"/>
      <c r="E39" s="63"/>
      <c r="F39" s="90" t="s">
        <v>18</v>
      </c>
    </row>
    <row r="40" spans="1:6" ht="16.5" x14ac:dyDescent="0.35">
      <c r="A40" s="63"/>
      <c r="B40" s="63"/>
      <c r="C40" s="63"/>
      <c r="D40" s="63"/>
      <c r="E40" s="63"/>
      <c r="F40" s="90" t="s">
        <v>19</v>
      </c>
    </row>
    <row r="41" spans="1:6" x14ac:dyDescent="0.35">
      <c r="A41" s="63"/>
      <c r="B41" s="63"/>
      <c r="C41" s="63"/>
      <c r="D41" s="63"/>
      <c r="E41" s="63"/>
      <c r="F41" s="63"/>
    </row>
    <row r="42" spans="1:6" x14ac:dyDescent="0.35">
      <c r="A42" s="709" t="s">
        <v>20</v>
      </c>
      <c r="B42" s="709"/>
      <c r="C42" s="709"/>
      <c r="D42" s="709"/>
      <c r="E42" s="709"/>
      <c r="F42" s="709"/>
    </row>
    <row r="43" spans="1:6" x14ac:dyDescent="0.35">
      <c r="A43" s="63"/>
      <c r="B43" s="63"/>
      <c r="C43" s="63"/>
      <c r="D43" s="63"/>
      <c r="E43" s="63"/>
      <c r="F43" s="63"/>
    </row>
    <row r="44" spans="1:6" ht="16" x14ac:dyDescent="0.35">
      <c r="A44" s="710" t="s">
        <v>21</v>
      </c>
      <c r="B44" s="711"/>
      <c r="C44" s="711"/>
      <c r="D44" s="711"/>
      <c r="E44" s="711"/>
      <c r="F44" s="712"/>
    </row>
    <row r="45" spans="1:6" x14ac:dyDescent="0.35">
      <c r="A45" s="91"/>
      <c r="B45" s="92"/>
      <c r="C45" s="92"/>
      <c r="D45" s="92"/>
      <c r="E45" s="92"/>
      <c r="F45" s="93"/>
    </row>
    <row r="46" spans="1:6" x14ac:dyDescent="0.35">
      <c r="A46" s="713"/>
      <c r="B46" s="714"/>
      <c r="C46" s="714"/>
      <c r="D46" s="714"/>
      <c r="E46" s="714"/>
      <c r="F46" s="715"/>
    </row>
    <row r="47" spans="1:6" x14ac:dyDescent="0.35">
      <c r="A47" s="713"/>
      <c r="B47" s="714"/>
      <c r="C47" s="714"/>
      <c r="D47" s="714"/>
      <c r="E47" s="714"/>
      <c r="F47" s="715"/>
    </row>
    <row r="48" spans="1:6" x14ac:dyDescent="0.35">
      <c r="A48" s="706"/>
      <c r="B48" s="703"/>
      <c r="C48" s="703"/>
      <c r="D48" s="703"/>
      <c r="E48" s="703"/>
      <c r="F48" s="707"/>
    </row>
    <row r="49" spans="1:6" x14ac:dyDescent="0.35">
      <c r="A49" s="706"/>
      <c r="B49" s="703"/>
      <c r="C49" s="703"/>
      <c r="D49" s="703"/>
      <c r="E49" s="703"/>
      <c r="F49" s="707"/>
    </row>
    <row r="50" spans="1:6" x14ac:dyDescent="0.35">
      <c r="A50" s="706"/>
      <c r="B50" s="703"/>
      <c r="C50" s="703"/>
      <c r="D50" s="703"/>
      <c r="E50" s="703"/>
      <c r="F50" s="707"/>
    </row>
    <row r="51" spans="1:6" x14ac:dyDescent="0.35">
      <c r="A51" s="706"/>
      <c r="B51" s="703"/>
      <c r="C51" s="703"/>
      <c r="D51" s="703"/>
      <c r="E51" s="703"/>
      <c r="F51" s="707"/>
    </row>
    <row r="52" spans="1:6" x14ac:dyDescent="0.35">
      <c r="A52" s="697"/>
      <c r="B52" s="698"/>
      <c r="C52" s="698"/>
      <c r="D52" s="698"/>
      <c r="E52" s="698"/>
      <c r="F52" s="699"/>
    </row>
    <row r="53" spans="1:6" x14ac:dyDescent="0.35">
      <c r="A53" s="706"/>
      <c r="B53" s="703"/>
      <c r="C53" s="703"/>
      <c r="D53" s="703"/>
      <c r="E53" s="703"/>
      <c r="F53" s="707"/>
    </row>
    <row r="54" spans="1:6" x14ac:dyDescent="0.35">
      <c r="A54" s="91"/>
      <c r="B54" s="92"/>
      <c r="C54" s="92"/>
      <c r="D54" s="92"/>
      <c r="E54" s="92"/>
      <c r="F54" s="93"/>
    </row>
    <row r="55" spans="1:6" x14ac:dyDescent="0.35">
      <c r="A55" s="91"/>
      <c r="B55" s="92"/>
      <c r="C55" s="92"/>
      <c r="D55" s="92"/>
      <c r="E55" s="92"/>
      <c r="F55" s="93"/>
    </row>
    <row r="56" spans="1:6" x14ac:dyDescent="0.35">
      <c r="A56" s="706"/>
      <c r="B56" s="703"/>
      <c r="C56" s="703"/>
      <c r="D56" s="703"/>
      <c r="E56" s="703"/>
      <c r="F56" s="707"/>
    </row>
    <row r="57" spans="1:6" x14ac:dyDescent="0.35">
      <c r="A57" s="706"/>
      <c r="B57" s="703"/>
      <c r="C57" s="703"/>
      <c r="D57" s="703"/>
      <c r="E57" s="703"/>
      <c r="F57" s="707"/>
    </row>
    <row r="58" spans="1:6" x14ac:dyDescent="0.35">
      <c r="A58" s="706"/>
      <c r="B58" s="703"/>
      <c r="C58" s="703"/>
      <c r="D58" s="703"/>
      <c r="E58" s="703"/>
      <c r="F58" s="707"/>
    </row>
    <row r="59" spans="1:6" x14ac:dyDescent="0.35">
      <c r="A59" s="706"/>
      <c r="B59" s="703"/>
      <c r="C59" s="703"/>
      <c r="D59" s="703"/>
      <c r="E59" s="703"/>
      <c r="F59" s="707"/>
    </row>
    <row r="60" spans="1:6" x14ac:dyDescent="0.35">
      <c r="A60" s="706"/>
      <c r="B60" s="703"/>
      <c r="C60" s="703"/>
      <c r="D60" s="703"/>
      <c r="E60" s="703"/>
      <c r="F60" s="707"/>
    </row>
    <row r="61" spans="1:6" x14ac:dyDescent="0.35">
      <c r="A61" s="706"/>
      <c r="B61" s="703"/>
      <c r="C61" s="703"/>
      <c r="D61" s="703"/>
      <c r="E61" s="703"/>
      <c r="F61" s="707"/>
    </row>
    <row r="62" spans="1:6" x14ac:dyDescent="0.35">
      <c r="A62" s="706"/>
      <c r="B62" s="703"/>
      <c r="C62" s="703"/>
      <c r="D62" s="703"/>
      <c r="E62" s="703"/>
      <c r="F62" s="707"/>
    </row>
    <row r="63" spans="1:6" x14ac:dyDescent="0.35">
      <c r="A63" s="706"/>
      <c r="B63" s="703"/>
      <c r="C63" s="703"/>
      <c r="D63" s="703"/>
      <c r="E63" s="703"/>
      <c r="F63" s="707"/>
    </row>
    <row r="64" spans="1:6" x14ac:dyDescent="0.35">
      <c r="A64" s="706"/>
      <c r="B64" s="703"/>
      <c r="C64" s="703"/>
      <c r="D64" s="703"/>
      <c r="E64" s="703"/>
      <c r="F64" s="707"/>
    </row>
    <row r="65" spans="1:6" x14ac:dyDescent="0.35">
      <c r="A65" s="704"/>
      <c r="B65" s="696"/>
      <c r="C65" s="696"/>
      <c r="D65" s="696"/>
      <c r="E65" s="696"/>
      <c r="F65" s="705"/>
    </row>
    <row r="66" spans="1:6" x14ac:dyDescent="0.35">
      <c r="A66" s="91"/>
      <c r="B66" s="92"/>
      <c r="C66" s="92"/>
      <c r="D66" s="92"/>
      <c r="E66" s="92"/>
      <c r="F66" s="93"/>
    </row>
    <row r="67" spans="1:6" x14ac:dyDescent="0.35">
      <c r="A67" s="91"/>
      <c r="B67" s="92"/>
      <c r="C67" s="92"/>
      <c r="D67" s="92"/>
      <c r="E67" s="92"/>
      <c r="F67" s="93"/>
    </row>
    <row r="68" spans="1:6" x14ac:dyDescent="0.35">
      <c r="A68" s="706"/>
      <c r="B68" s="703"/>
      <c r="C68" s="703"/>
      <c r="D68" s="703"/>
      <c r="E68" s="703"/>
      <c r="F68" s="707"/>
    </row>
    <row r="69" spans="1:6" x14ac:dyDescent="0.35">
      <c r="A69" s="94"/>
      <c r="B69" s="92"/>
      <c r="C69" s="92"/>
      <c r="D69" s="92"/>
      <c r="E69" s="92"/>
      <c r="F69" s="93"/>
    </row>
    <row r="70" spans="1:6" x14ac:dyDescent="0.35">
      <c r="A70" s="91"/>
      <c r="B70" s="92"/>
      <c r="C70" s="92"/>
      <c r="D70" s="92"/>
      <c r="E70" s="92"/>
      <c r="F70" s="93"/>
    </row>
    <row r="71" spans="1:6" ht="16" thickBot="1" x14ac:dyDescent="0.4">
      <c r="A71" s="700"/>
      <c r="B71" s="701"/>
      <c r="C71" s="701"/>
      <c r="D71" s="701"/>
      <c r="E71" s="701"/>
      <c r="F71" s="702"/>
    </row>
    <row r="72" spans="1:6" x14ac:dyDescent="0.35">
      <c r="A72" s="95"/>
      <c r="B72" s="92"/>
      <c r="C72" s="92"/>
      <c r="D72" s="92"/>
      <c r="E72" s="92"/>
      <c r="F72" s="92"/>
    </row>
    <row r="73" spans="1:6" x14ac:dyDescent="0.35">
      <c r="A73" s="96"/>
      <c r="B73" s="92"/>
      <c r="C73" s="92"/>
      <c r="D73" s="92"/>
      <c r="E73" s="92"/>
      <c r="F73" s="92"/>
    </row>
    <row r="74" spans="1:6" x14ac:dyDescent="0.35">
      <c r="A74" s="703"/>
      <c r="B74" s="703"/>
      <c r="C74" s="703"/>
      <c r="D74" s="703"/>
      <c r="E74" s="703"/>
      <c r="F74" s="703"/>
    </row>
    <row r="75" spans="1:6" x14ac:dyDescent="0.35">
      <c r="A75" s="95"/>
      <c r="B75" s="92"/>
      <c r="C75" s="92"/>
      <c r="D75" s="92"/>
      <c r="E75" s="92"/>
      <c r="F75" s="92"/>
    </row>
    <row r="76" spans="1:6" x14ac:dyDescent="0.35">
      <c r="A76" s="96"/>
      <c r="B76" s="92"/>
      <c r="C76" s="92"/>
      <c r="D76" s="92"/>
      <c r="E76" s="92"/>
      <c r="F76" s="92"/>
    </row>
    <row r="77" spans="1:6" x14ac:dyDescent="0.35">
      <c r="A77" s="703"/>
      <c r="B77" s="703"/>
      <c r="C77" s="703"/>
      <c r="D77" s="703"/>
      <c r="E77" s="703"/>
      <c r="F77" s="703"/>
    </row>
    <row r="78" spans="1:6" x14ac:dyDescent="0.35">
      <c r="A78" s="96"/>
      <c r="B78" s="92"/>
      <c r="C78" s="92"/>
      <c r="D78" s="92"/>
      <c r="E78" s="92"/>
      <c r="F78" s="92"/>
    </row>
    <row r="79" spans="1:6" x14ac:dyDescent="0.35">
      <c r="A79" s="96"/>
      <c r="B79" s="92"/>
      <c r="C79" s="92"/>
      <c r="D79" s="92"/>
      <c r="E79" s="92"/>
      <c r="F79" s="92"/>
    </row>
    <row r="80" spans="1:6" x14ac:dyDescent="0.35">
      <c r="A80" s="703"/>
      <c r="B80" s="703"/>
      <c r="C80" s="703"/>
      <c r="D80" s="703"/>
      <c r="E80" s="703"/>
      <c r="F80" s="703"/>
    </row>
    <row r="81" spans="1:6" x14ac:dyDescent="0.35">
      <c r="A81" s="696"/>
      <c r="B81" s="696"/>
      <c r="C81" s="696"/>
      <c r="D81" s="696"/>
      <c r="E81" s="696"/>
      <c r="F81" s="696"/>
    </row>
  </sheetData>
  <mergeCells count="42">
    <mergeCell ref="A8:F8"/>
    <mergeCell ref="A1:F1"/>
    <mergeCell ref="B2:C2"/>
    <mergeCell ref="E2:F2"/>
    <mergeCell ref="B3:C3"/>
    <mergeCell ref="E3:F3"/>
    <mergeCell ref="B4:C4"/>
    <mergeCell ref="E4:F4"/>
    <mergeCell ref="B5:C5"/>
    <mergeCell ref="E5:F5"/>
    <mergeCell ref="B6:C6"/>
    <mergeCell ref="E6:F6"/>
    <mergeCell ref="B7:C7"/>
    <mergeCell ref="A63:F63"/>
    <mergeCell ref="A64:F64"/>
    <mergeCell ref="B11:F11"/>
    <mergeCell ref="A42:F42"/>
    <mergeCell ref="A44:F44"/>
    <mergeCell ref="A46:F46"/>
    <mergeCell ref="A12:F15"/>
    <mergeCell ref="A36:F38"/>
    <mergeCell ref="A47:F47"/>
    <mergeCell ref="A48:F48"/>
    <mergeCell ref="A49:F49"/>
    <mergeCell ref="A50:F50"/>
    <mergeCell ref="A51:F51"/>
    <mergeCell ref="A81:F81"/>
    <mergeCell ref="A52:F52"/>
    <mergeCell ref="A71:F71"/>
    <mergeCell ref="A74:F74"/>
    <mergeCell ref="A77:F77"/>
    <mergeCell ref="A80:F80"/>
    <mergeCell ref="A65:F65"/>
    <mergeCell ref="A68:F68"/>
    <mergeCell ref="A53:F53"/>
    <mergeCell ref="A56:F56"/>
    <mergeCell ref="A57:F57"/>
    <mergeCell ref="A58:F58"/>
    <mergeCell ref="A59:F59"/>
    <mergeCell ref="A60:F60"/>
    <mergeCell ref="A61:F61"/>
    <mergeCell ref="A62:F62"/>
  </mergeCells>
  <pageMargins left="0.7" right="0.7" top="1.2291666666666667" bottom="0.75" header="0.3" footer="0.3"/>
  <pageSetup orientation="portrait" horizontalDpi="360" verticalDpi="360" r:id="rId1"/>
  <headerFooter>
    <oddHeader>&amp;C&amp;G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FB07F-43E8-4838-A151-E3ABA7088FDB}">
  <sheetPr codeName="Sheet18">
    <tabColor theme="3" tint="0.59999389629810485"/>
  </sheetPr>
  <dimension ref="A1:E2"/>
  <sheetViews>
    <sheetView workbookViewId="0">
      <selection activeCell="D34" sqref="D34"/>
    </sheetView>
  </sheetViews>
  <sheetFormatPr defaultRowHeight="15.5" x14ac:dyDescent="0.35"/>
  <cols>
    <col min="1" max="2" width="20.58203125" bestFit="1" customWidth="1"/>
    <col min="3" max="3" width="13" customWidth="1"/>
    <col min="4" max="5" width="28.83203125" customWidth="1"/>
  </cols>
  <sheetData>
    <row r="1" spans="1:5" ht="16" thickBot="1" x14ac:dyDescent="0.4">
      <c r="A1" t="s">
        <v>22</v>
      </c>
      <c r="B1" s="1" t="s">
        <v>23</v>
      </c>
      <c r="C1" s="242" t="s">
        <v>24</v>
      </c>
      <c r="D1" s="2" t="s">
        <v>25</v>
      </c>
      <c r="E1" s="2" t="s">
        <v>26</v>
      </c>
    </row>
    <row r="2" spans="1:5" x14ac:dyDescent="0.35">
      <c r="A2" t="s">
        <v>27</v>
      </c>
      <c r="B2" s="243" t="s">
        <v>28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D515E-BDC6-4A9D-AD34-0E1E811F7B8B}">
  <sheetPr codeName="Sheet21">
    <tabColor rgb="FF00B050"/>
  </sheetPr>
  <dimension ref="B2:L108"/>
  <sheetViews>
    <sheetView showGridLines="0" zoomScaleNormal="100" workbookViewId="0">
      <selection activeCell="C11" sqref="C11"/>
    </sheetView>
  </sheetViews>
  <sheetFormatPr defaultColWidth="8.58203125" defaultRowHeight="13" x14ac:dyDescent="0.3"/>
  <cols>
    <col min="1" max="1" width="8.58203125" style="324"/>
    <col min="2" max="2" width="17.08203125" style="324" bestFit="1" customWidth="1"/>
    <col min="3" max="3" width="32.58203125" style="324" bestFit="1" customWidth="1"/>
    <col min="4" max="4" width="28" style="324" bestFit="1" customWidth="1"/>
    <col min="5" max="5" width="18.08203125" style="324" customWidth="1"/>
    <col min="6" max="6" width="27.58203125" style="324" customWidth="1"/>
    <col min="7" max="7" width="34.5" style="324" customWidth="1"/>
    <col min="8" max="8" width="10.83203125" style="324" customWidth="1"/>
    <col min="9" max="9" width="11.75" style="324" customWidth="1"/>
    <col min="10" max="10" width="15.25" style="324" customWidth="1"/>
    <col min="11" max="11" width="26.75" style="324" bestFit="1" customWidth="1"/>
    <col min="12" max="12" width="15.25" style="324" customWidth="1"/>
    <col min="13" max="16384" width="8.58203125" style="324"/>
  </cols>
  <sheetData>
    <row r="2" spans="2:12" ht="15.5" x14ac:dyDescent="0.35">
      <c r="B2" s="429" t="s">
        <v>29</v>
      </c>
      <c r="C2" s="434"/>
      <c r="D2" s="430" t="s">
        <v>30</v>
      </c>
      <c r="E2" s="431"/>
    </row>
    <row r="3" spans="2:12" ht="15.5" x14ac:dyDescent="0.3">
      <c r="B3" s="429" t="s">
        <v>31</v>
      </c>
      <c r="C3" s="435"/>
      <c r="D3" s="429" t="s">
        <v>32</v>
      </c>
      <c r="E3" s="759"/>
      <c r="F3" s="759"/>
      <c r="G3" s="759"/>
    </row>
    <row r="4" spans="2:12" ht="15.5" x14ac:dyDescent="0.3">
      <c r="B4" s="432"/>
      <c r="C4" s="432"/>
      <c r="D4" s="432"/>
      <c r="E4" s="246"/>
      <c r="F4" s="246"/>
      <c r="G4" s="246"/>
    </row>
    <row r="5" spans="2:12" ht="15.5" x14ac:dyDescent="0.3">
      <c r="B5" s="750" t="s">
        <v>33</v>
      </c>
      <c r="C5" s="751"/>
      <c r="D5" s="752"/>
      <c r="E5" s="246"/>
      <c r="F5" s="246"/>
      <c r="G5" s="246"/>
    </row>
    <row r="6" spans="2:12" ht="17.5" x14ac:dyDescent="0.3">
      <c r="B6" s="433" t="s">
        <v>34</v>
      </c>
      <c r="C6" s="753"/>
      <c r="D6" s="754"/>
      <c r="E6" s="246"/>
      <c r="F6" s="246"/>
      <c r="G6" s="246"/>
    </row>
    <row r="7" spans="2:12" ht="17.5" x14ac:dyDescent="0.3">
      <c r="B7" s="755" t="s">
        <v>35</v>
      </c>
      <c r="C7" s="753"/>
      <c r="D7" s="754"/>
      <c r="E7" s="246"/>
      <c r="F7" s="246"/>
      <c r="G7" s="246"/>
    </row>
    <row r="8" spans="2:12" ht="17.5" x14ac:dyDescent="0.3">
      <c r="B8" s="755"/>
      <c r="C8" s="753"/>
      <c r="D8" s="754"/>
      <c r="E8" s="246"/>
      <c r="F8" s="246"/>
      <c r="G8" s="246"/>
    </row>
    <row r="9" spans="2:12" ht="16.5" thickBot="1" x14ac:dyDescent="0.35">
      <c r="B9" s="374"/>
      <c r="C9" s="375"/>
      <c r="D9" s="376"/>
      <c r="E9" s="377"/>
      <c r="F9" s="377"/>
      <c r="G9" s="377"/>
    </row>
    <row r="10" spans="2:12" ht="15.5" x14ac:dyDescent="0.35">
      <c r="B10" s="756" t="str">
        <f>+CONCATENATE("DOOR 1 - ",C11)</f>
        <v>DOOR 1 - Overlap Doors - Swing door</v>
      </c>
      <c r="C10" s="757"/>
      <c r="D10" s="757"/>
      <c r="E10" s="757"/>
      <c r="F10" s="757"/>
      <c r="G10" s="757"/>
      <c r="H10" s="757"/>
      <c r="I10" s="757"/>
      <c r="J10" s="760" t="s">
        <v>36</v>
      </c>
      <c r="K10" s="761"/>
      <c r="L10" s="762"/>
    </row>
    <row r="11" spans="2:12" ht="27" customHeight="1" x14ac:dyDescent="0.3">
      <c r="B11" s="378" t="s">
        <v>37</v>
      </c>
      <c r="C11" s="280" t="s">
        <v>942</v>
      </c>
      <c r="D11" s="378" t="s">
        <v>39</v>
      </c>
      <c r="E11" s="292" t="s">
        <v>40</v>
      </c>
      <c r="F11" s="273" t="s">
        <v>41</v>
      </c>
      <c r="G11" s="273" t="s">
        <v>42</v>
      </c>
      <c r="H11" s="272" t="s">
        <v>43</v>
      </c>
      <c r="I11" s="289" t="s">
        <v>44</v>
      </c>
      <c r="J11" s="379" t="s">
        <v>44</v>
      </c>
      <c r="K11" s="380" t="s">
        <v>45</v>
      </c>
      <c r="L11" s="381" t="s">
        <v>46</v>
      </c>
    </row>
    <row r="12" spans="2:12" ht="27.5" customHeight="1" x14ac:dyDescent="0.3">
      <c r="B12" s="382" t="s">
        <v>47</v>
      </c>
      <c r="C12" s="383" t="s">
        <v>85</v>
      </c>
      <c r="D12" s="382" t="s">
        <v>49</v>
      </c>
      <c r="E12" s="292"/>
      <c r="F12" s="291" t="s">
        <v>50</v>
      </c>
      <c r="G12" s="292" t="s">
        <v>51</v>
      </c>
      <c r="H12" s="282"/>
      <c r="I12" s="293">
        <f>IF(ISBLANK(G12),"",'Door - Step 2'!$F42)</f>
        <v>93.598096392299183</v>
      </c>
      <c r="J12" s="763">
        <f>IFERROR('Door - Step 2'!$F$113,0)</f>
        <v>1150.6807010363248</v>
      </c>
      <c r="K12" s="766"/>
      <c r="L12" s="745" t="str">
        <f>+IF(ISBLANK(K12),"",(J12*(1+K12)))</f>
        <v/>
      </c>
    </row>
    <row r="13" spans="2:12" ht="15.65" customHeight="1" x14ac:dyDescent="0.3">
      <c r="B13" s="382" t="s">
        <v>52</v>
      </c>
      <c r="C13" s="282" t="s">
        <v>86</v>
      </c>
      <c r="D13" s="246"/>
      <c r="E13" s="246"/>
      <c r="F13" s="291" t="s">
        <v>54</v>
      </c>
      <c r="G13" s="292" t="s">
        <v>344</v>
      </c>
      <c r="H13" s="282"/>
      <c r="I13" s="293">
        <f>IF(ISBLANK(G13),"",'Door - Step 2'!$F43)</f>
        <v>246.35291893333334</v>
      </c>
      <c r="J13" s="764"/>
      <c r="K13" s="766"/>
      <c r="L13" s="746"/>
    </row>
    <row r="14" spans="2:12" ht="15.65" customHeight="1" x14ac:dyDescent="0.3">
      <c r="B14" s="382" t="s">
        <v>56</v>
      </c>
      <c r="C14" s="282" t="s">
        <v>79</v>
      </c>
      <c r="D14" s="748" t="str">
        <f>+IF(C14="Motorized","Please specify the voltage in Freezer Door section","")</f>
        <v/>
      </c>
      <c r="E14" s="749"/>
      <c r="F14" s="291" t="s">
        <v>58</v>
      </c>
      <c r="G14" s="292" t="s">
        <v>344</v>
      </c>
      <c r="H14" s="282"/>
      <c r="I14" s="293">
        <f>IF(ISBLANK(G14),"",'Door - Step 2'!$F44)</f>
        <v>55.495708463116728</v>
      </c>
      <c r="J14" s="765"/>
      <c r="K14" s="766"/>
      <c r="L14" s="747"/>
    </row>
    <row r="15" spans="2:12" ht="15.65" customHeight="1" x14ac:dyDescent="0.3">
      <c r="B15" s="384" t="s">
        <v>59</v>
      </c>
      <c r="C15" s="253">
        <v>34</v>
      </c>
      <c r="D15" s="727" t="str">
        <f>+IF(C11="Polyfoam Overlap Doors - Swing Door",IF(C15&gt;72,"Width can't be greater than 76 inches",""),"")</f>
        <v/>
      </c>
      <c r="E15" s="728"/>
      <c r="F15" s="291" t="s">
        <v>60</v>
      </c>
      <c r="G15" s="292" t="s">
        <v>344</v>
      </c>
      <c r="H15" s="282"/>
      <c r="I15" s="293">
        <f>IF(ISBLANK(G15),"",'Door - Step 2'!$F45)</f>
        <v>72.393428003226433</v>
      </c>
      <c r="L15" s="385"/>
    </row>
    <row r="16" spans="2:12" x14ac:dyDescent="0.3">
      <c r="B16" s="384" t="s">
        <v>61</v>
      </c>
      <c r="C16" s="253">
        <v>65</v>
      </c>
      <c r="D16" s="727" t="str">
        <f>+IF(C11="Polyfoam Overlap Doors - Swing Door",IF(C15&gt;84,"Width can't be greater than 102 inches",""),"")</f>
        <v/>
      </c>
      <c r="E16" s="728"/>
      <c r="F16" s="291" t="s">
        <v>62</v>
      </c>
      <c r="G16" s="292"/>
      <c r="H16" s="282"/>
      <c r="I16" s="293" t="str">
        <f>IF(ISBLANK(G16),"",'Door - Step 2'!$F46)</f>
        <v/>
      </c>
    </row>
    <row r="17" spans="2:12" ht="15.65" customHeight="1" x14ac:dyDescent="0.3">
      <c r="B17" s="384" t="s">
        <v>64</v>
      </c>
      <c r="C17" s="253">
        <v>4</v>
      </c>
      <c r="F17" s="291" t="s">
        <v>65</v>
      </c>
      <c r="G17" s="282" t="s">
        <v>81</v>
      </c>
      <c r="H17" s="282"/>
      <c r="I17" s="293">
        <f>+IF(ISBLANK(G17),"",IF(G17="Bottom Sweep",'Door - Step 2'!$F63,IF(G17="Weather Strip",'Door - Step 2'!$F64,"Make the Selection")))</f>
        <v>19.299748000000001</v>
      </c>
    </row>
    <row r="18" spans="2:12" x14ac:dyDescent="0.3">
      <c r="B18" s="384" t="s">
        <v>67</v>
      </c>
      <c r="C18" s="253">
        <v>4</v>
      </c>
      <c r="F18" s="732" t="s">
        <v>68</v>
      </c>
      <c r="G18" s="733"/>
      <c r="H18" s="734"/>
      <c r="I18" s="293">
        <f>+IF(ISBLANK($C$15),"",('Door - Step 2'!F61+'Door - Step 2'!F62))</f>
        <v>325.30572569444445</v>
      </c>
    </row>
    <row r="19" spans="2:12" ht="15.65" customHeight="1" x14ac:dyDescent="0.3">
      <c r="B19" s="389" t="s">
        <v>69</v>
      </c>
      <c r="C19" s="253">
        <v>1</v>
      </c>
      <c r="F19" s="291" t="s">
        <v>70</v>
      </c>
      <c r="G19" s="387"/>
      <c r="H19" s="282"/>
      <c r="I19" s="293" t="str">
        <f>+IF(G19='Calculation Sheet - BOM '!$AF$4,'Calculation Sheet - BOM '!$AL$8,"")</f>
        <v/>
      </c>
    </row>
    <row r="20" spans="2:12" x14ac:dyDescent="0.3">
      <c r="B20" s="384" t="str">
        <f>IF($C$11=Controller!$A$17,"Top of Ceiling Height","")</f>
        <v/>
      </c>
      <c r="C20" s="253"/>
      <c r="F20" s="291" t="s">
        <v>71</v>
      </c>
      <c r="G20" s="282"/>
      <c r="H20" s="282"/>
      <c r="I20" s="293">
        <f>IF('Doors - Step 1'!C11="Polyfoam Overlap Doors - Swing door",0,IF(OR('Doors - Step 1'!G20='Door Table'!$E$182,'Doors - Step 1'!G20='Door Table'!$E$183),SUM('Door - Step 2'!F69:F76),IF(OR('Doors - Step 1'!G20='Door Table'!$E$184,'Doors - Step 1'!G20='Door Table'!$E$185),SUM('Door - Step 2'!F69:F76,'Door - Step 2'!F66),0)))</f>
        <v>0</v>
      </c>
    </row>
    <row r="21" spans="2:12" ht="15.65" customHeight="1" x14ac:dyDescent="0.3">
      <c r="B21" s="384" t="str">
        <f>IF($C$11=Controller!$A$17,"Floor Height","")</f>
        <v/>
      </c>
      <c r="C21" s="253"/>
      <c r="F21" s="273" t="s">
        <v>73</v>
      </c>
      <c r="G21" s="510"/>
      <c r="H21" s="272" t="s">
        <v>74</v>
      </c>
      <c r="I21" s="289" t="s">
        <v>44</v>
      </c>
    </row>
    <row r="22" spans="2:12" x14ac:dyDescent="0.3">
      <c r="B22" s="504" t="str">
        <f>IF($C$11=Controller!$A$17,"Header Height","")</f>
        <v/>
      </c>
      <c r="C22" s="253"/>
      <c r="E22" s="729" t="s">
        <v>75</v>
      </c>
      <c r="F22" s="498" t="s">
        <v>76</v>
      </c>
      <c r="G22" s="387"/>
      <c r="H22" s="387"/>
      <c r="I22" s="293"/>
      <c r="L22" s="385"/>
    </row>
    <row r="23" spans="2:12" x14ac:dyDescent="0.3">
      <c r="B23" s="547"/>
      <c r="C23" s="548"/>
      <c r="E23" s="730"/>
      <c r="F23" s="418"/>
      <c r="G23" s="511"/>
      <c r="H23" s="419"/>
      <c r="I23" s="293"/>
      <c r="L23" s="385"/>
    </row>
    <row r="24" spans="2:12" x14ac:dyDescent="0.3">
      <c r="B24" s="390"/>
      <c r="E24" s="758"/>
      <c r="F24" s="418"/>
      <c r="G24" s="511"/>
      <c r="H24" s="419"/>
      <c r="I24" s="293"/>
      <c r="L24" s="385"/>
    </row>
    <row r="25" spans="2:12" ht="5.5" customHeight="1" x14ac:dyDescent="0.3"/>
    <row r="26" spans="2:12" ht="6" customHeight="1" x14ac:dyDescent="0.3">
      <c r="B26" s="391"/>
      <c r="C26" s="392"/>
      <c r="D26" s="392"/>
      <c r="E26" s="392"/>
      <c r="F26" s="392"/>
      <c r="G26" s="392"/>
      <c r="H26" s="392"/>
      <c r="I26" s="393"/>
      <c r="J26" s="392"/>
      <c r="K26" s="392"/>
      <c r="L26" s="394"/>
    </row>
    <row r="27" spans="2:12" ht="15.5" x14ac:dyDescent="0.3">
      <c r="B27" s="736" t="str">
        <f>+CONCATENATE("DOOR 2 - ",C28)</f>
        <v>DOOR 2 - Power Operated Sliding door - Single horizontal Slide</v>
      </c>
      <c r="C27" s="737"/>
      <c r="D27" s="737"/>
      <c r="E27" s="737"/>
      <c r="F27" s="737"/>
      <c r="G27" s="737"/>
      <c r="H27" s="737"/>
      <c r="I27" s="737"/>
      <c r="J27" s="738" t="s">
        <v>77</v>
      </c>
      <c r="K27" s="739"/>
      <c r="L27" s="740"/>
    </row>
    <row r="28" spans="2:12" ht="26" x14ac:dyDescent="0.3">
      <c r="B28" s="378" t="s">
        <v>37</v>
      </c>
      <c r="C28" s="410" t="s">
        <v>38</v>
      </c>
      <c r="D28" s="378" t="s">
        <v>39</v>
      </c>
      <c r="E28" s="292" t="s">
        <v>40</v>
      </c>
      <c r="F28" s="273" t="s">
        <v>41</v>
      </c>
      <c r="G28" s="273" t="s">
        <v>42</v>
      </c>
      <c r="H28" s="272" t="s">
        <v>43</v>
      </c>
      <c r="I28" s="289" t="s">
        <v>44</v>
      </c>
      <c r="J28" s="436" t="s">
        <v>44</v>
      </c>
      <c r="K28" s="437" t="s">
        <v>45</v>
      </c>
      <c r="L28" s="438" t="s">
        <v>46</v>
      </c>
    </row>
    <row r="29" spans="2:12" ht="26" x14ac:dyDescent="0.3">
      <c r="B29" s="382" t="s">
        <v>47</v>
      </c>
      <c r="C29" s="383" t="s">
        <v>48</v>
      </c>
      <c r="D29" s="382" t="s">
        <v>49</v>
      </c>
      <c r="E29" s="292" t="s">
        <v>296</v>
      </c>
      <c r="F29" s="291" t="s">
        <v>50</v>
      </c>
      <c r="G29" s="292" t="s">
        <v>51</v>
      </c>
      <c r="H29" s="282"/>
      <c r="I29" s="293">
        <f>IF(ISBLANK(G29),"",'Quotation - Door 2'!$F42)</f>
        <v>316.51017375247869</v>
      </c>
      <c r="J29" s="741">
        <f>+'Quotation - Door 2'!$F$113</f>
        <v>8187.2667863562674</v>
      </c>
      <c r="K29" s="744"/>
      <c r="L29" s="745" t="str">
        <f>+IF(ISBLANK(K29),"",(J29*(1+K29)))</f>
        <v/>
      </c>
    </row>
    <row r="30" spans="2:12" x14ac:dyDescent="0.3">
      <c r="B30" s="382" t="s">
        <v>52</v>
      </c>
      <c r="C30" s="282" t="s">
        <v>53</v>
      </c>
      <c r="D30" s="246"/>
      <c r="E30" s="246"/>
      <c r="F30" s="291" t="s">
        <v>54</v>
      </c>
      <c r="G30" s="292" t="s">
        <v>353</v>
      </c>
      <c r="H30" s="282"/>
      <c r="I30" s="293">
        <f>IF(ISBLANK(G30),"",'Quotation - Door 2'!$F43)</f>
        <v>1018.6646190933258</v>
      </c>
      <c r="J30" s="742"/>
      <c r="K30" s="744"/>
      <c r="L30" s="746"/>
    </row>
    <row r="31" spans="2:12" x14ac:dyDescent="0.3">
      <c r="B31" s="382" t="s">
        <v>56</v>
      </c>
      <c r="C31" s="282" t="s">
        <v>57</v>
      </c>
      <c r="D31" s="748"/>
      <c r="E31" s="749"/>
      <c r="F31" s="291" t="s">
        <v>58</v>
      </c>
      <c r="G31" s="292" t="s">
        <v>353</v>
      </c>
      <c r="H31" s="282"/>
      <c r="I31" s="293">
        <f>IF(ISBLANK(G31),"",'Quotation - Door 2'!$F44)</f>
        <v>263.97649564626772</v>
      </c>
      <c r="J31" s="743"/>
      <c r="K31" s="744"/>
      <c r="L31" s="747"/>
    </row>
    <row r="32" spans="2:12" x14ac:dyDescent="0.3">
      <c r="B32" s="384" t="s">
        <v>59</v>
      </c>
      <c r="C32" s="283">
        <v>130</v>
      </c>
      <c r="D32" s="727"/>
      <c r="E32" s="728"/>
      <c r="F32" s="291" t="s">
        <v>60</v>
      </c>
      <c r="G32" s="292" t="s">
        <v>353</v>
      </c>
      <c r="H32" s="282"/>
      <c r="I32" s="293">
        <f>IF(ISBLANK(G32),"",'Quotation - Door 2'!$F45)</f>
        <v>475.09955114985382</v>
      </c>
      <c r="L32" s="385"/>
    </row>
    <row r="33" spans="2:12" x14ac:dyDescent="0.3">
      <c r="B33" s="384" t="s">
        <v>61</v>
      </c>
      <c r="C33" s="283">
        <v>96</v>
      </c>
      <c r="D33" s="727"/>
      <c r="E33" s="728"/>
      <c r="F33" s="291" t="s">
        <v>62</v>
      </c>
      <c r="G33" s="292" t="s">
        <v>953</v>
      </c>
      <c r="H33" s="282"/>
      <c r="I33" s="293">
        <f>IF(ISBLANK(G33),"",'Quotation - Door 2'!$F46)</f>
        <v>2750</v>
      </c>
      <c r="L33" s="385"/>
    </row>
    <row r="34" spans="2:12" x14ac:dyDescent="0.3">
      <c r="B34" s="384" t="s">
        <v>64</v>
      </c>
      <c r="C34" s="283">
        <v>4</v>
      </c>
      <c r="D34" s="246"/>
      <c r="E34" s="246"/>
      <c r="F34" s="291" t="s">
        <v>65</v>
      </c>
      <c r="G34" s="387"/>
      <c r="H34" s="387"/>
      <c r="I34" s="293" t="str">
        <f>+IF(ISBLANK(G34),"",IF(G34="Bottom Sweep",'Quotation - Door 2'!$F63,IF(G34="Weather Strip",'Quotation - Door 2'!$F64,"Make the Selection")))</f>
        <v/>
      </c>
      <c r="L34" s="385"/>
    </row>
    <row r="35" spans="2:12" x14ac:dyDescent="0.3">
      <c r="B35" s="384" t="s">
        <v>67</v>
      </c>
      <c r="C35" s="283">
        <v>4</v>
      </c>
      <c r="D35" s="246"/>
      <c r="E35" s="246"/>
      <c r="F35" s="732" t="s">
        <v>68</v>
      </c>
      <c r="G35" s="733"/>
      <c r="H35" s="734"/>
      <c r="I35" s="293">
        <f>+IF(ISBLANK($C$15),"",(SUM('Quotation - Door 2'!F61:F62)))</f>
        <v>1442.4323333333334</v>
      </c>
      <c r="L35" s="385"/>
    </row>
    <row r="36" spans="2:12" x14ac:dyDescent="0.3">
      <c r="B36" s="389" t="s">
        <v>69</v>
      </c>
      <c r="C36" s="283">
        <v>1</v>
      </c>
      <c r="D36" s="246"/>
      <c r="E36" s="246"/>
      <c r="F36" s="291" t="s">
        <v>70</v>
      </c>
      <c r="G36" s="387"/>
      <c r="H36" s="387"/>
      <c r="I36" s="293" t="str">
        <f>IF(C28&lt;&gt;"Polyfoam Overlap Doors - Swing door","",IF(G36="Package 1",SUM('Quotation - Door 2'!F83,'Quotation - Door 2'!F65),IF(G36="Package 2",SUM('Quotation - Door 2'!F65,'Quotation - Door 2'!F83,'Quotation - Door 2'!F87,'Quotation - Door 2'!F92),IF(G36="Package 3",SUM('Quotation - Door 2'!F65,'Quotation - Door 2'!F66,'Quotation - Door 2'!F83,'Quotation - Door 2'!F87,'Quotation - Door 2'!F92)))))</f>
        <v/>
      </c>
      <c r="L36" s="385"/>
    </row>
    <row r="37" spans="2:12" x14ac:dyDescent="0.3">
      <c r="B37" s="384" t="str">
        <f>IF($C$28=Controller!$A$17,"Top of Ceiling Height","")</f>
        <v/>
      </c>
      <c r="C37" s="253"/>
      <c r="F37" s="291" t="s">
        <v>71</v>
      </c>
      <c r="G37" s="387"/>
      <c r="H37" s="387"/>
      <c r="I37" s="293">
        <f>IF('Doors - Step 1'!C28="Polyfoam Overlap Doors - Swing door",0,IF(OR('Doors - Step 1'!G37='Door Table'!$E$182,'Doors - Step 1'!G37='Door Table'!$E$183),SUM('Quotation - Door 2'!F69:F76,'Quotation - Door 2'!F65),IF(OR('Doors - Step 1'!G37='Door Table'!$E$184,'Doors - Step 1'!G37='Door Table'!$E$185),SUM('Quotation - Door 2'!F69:F76,'Quotation - Door 2'!F66,'Quotation - Door 2'!F65),0)))</f>
        <v>0</v>
      </c>
      <c r="L37" s="385"/>
    </row>
    <row r="38" spans="2:12" x14ac:dyDescent="0.3">
      <c r="B38" s="384" t="str">
        <f>IF($C$28=Controller!$A$17,"Floor Height","")</f>
        <v/>
      </c>
      <c r="C38" s="253"/>
      <c r="F38" s="273" t="s">
        <v>73</v>
      </c>
      <c r="G38" s="273" t="s">
        <v>82</v>
      </c>
      <c r="H38" s="272" t="s">
        <v>74</v>
      </c>
      <c r="I38" s="289" t="s">
        <v>44</v>
      </c>
      <c r="L38" s="385"/>
    </row>
    <row r="39" spans="2:12" x14ac:dyDescent="0.3">
      <c r="B39" s="504" t="str">
        <f>IF($C$28=Controller!$A$17,"Header Height","")</f>
        <v/>
      </c>
      <c r="C39" s="253"/>
      <c r="E39" s="729" t="s">
        <v>75</v>
      </c>
      <c r="F39" s="498" t="s">
        <v>76</v>
      </c>
      <c r="G39" s="387"/>
      <c r="H39" s="387"/>
      <c r="I39" s="293" t="str">
        <f>+IF(ISBLANK(H39),"",(H39/(1-0.35)))</f>
        <v/>
      </c>
      <c r="L39" s="385"/>
    </row>
    <row r="40" spans="2:12" x14ac:dyDescent="0.3">
      <c r="B40" s="547"/>
      <c r="C40" s="548"/>
      <c r="E40" s="730"/>
      <c r="F40" s="291"/>
      <c r="G40" s="387"/>
      <c r="H40" s="387"/>
      <c r="I40" s="293"/>
      <c r="L40" s="385"/>
    </row>
    <row r="41" spans="2:12" x14ac:dyDescent="0.3">
      <c r="B41" s="390"/>
      <c r="E41" s="758"/>
      <c r="F41" s="291"/>
      <c r="G41" s="387"/>
      <c r="H41" s="387"/>
      <c r="I41" s="293" t="str">
        <f>+IF(ISBLANK(H41),"",(H41/(1-0.35)))</f>
        <v/>
      </c>
      <c r="L41" s="385"/>
    </row>
    <row r="42" spans="2:12" ht="6" customHeight="1" x14ac:dyDescent="0.3">
      <c r="B42" s="391"/>
      <c r="C42" s="392"/>
      <c r="D42" s="392"/>
      <c r="E42" s="392"/>
      <c r="F42" s="392"/>
      <c r="G42" s="392"/>
      <c r="H42" s="392"/>
      <c r="I42" s="393"/>
      <c r="J42" s="392"/>
      <c r="K42" s="392"/>
      <c r="L42" s="394"/>
    </row>
    <row r="43" spans="2:12" ht="15.5" x14ac:dyDescent="0.3">
      <c r="B43" s="736" t="str">
        <f>+CONCATENATE("DOOR 3 - ",C44)</f>
        <v xml:space="preserve">DOOR 3 - </v>
      </c>
      <c r="C43" s="737"/>
      <c r="D43" s="737"/>
      <c r="E43" s="737"/>
      <c r="F43" s="737"/>
      <c r="G43" s="737"/>
      <c r="H43" s="737"/>
      <c r="I43" s="737"/>
      <c r="J43" s="738" t="s">
        <v>83</v>
      </c>
      <c r="K43" s="739"/>
      <c r="L43" s="740"/>
    </row>
    <row r="44" spans="2:12" ht="26" x14ac:dyDescent="0.3">
      <c r="B44" s="378" t="s">
        <v>37</v>
      </c>
      <c r="C44" s="410"/>
      <c r="D44" s="378" t="s">
        <v>39</v>
      </c>
      <c r="E44" s="292" t="s">
        <v>40</v>
      </c>
      <c r="F44" s="273" t="s">
        <v>41</v>
      </c>
      <c r="G44" s="273" t="s">
        <v>42</v>
      </c>
      <c r="H44" s="272" t="s">
        <v>43</v>
      </c>
      <c r="I44" s="289" t="s">
        <v>44</v>
      </c>
      <c r="J44" s="436" t="s">
        <v>44</v>
      </c>
      <c r="K44" s="437" t="s">
        <v>45</v>
      </c>
      <c r="L44" s="438" t="s">
        <v>46</v>
      </c>
    </row>
    <row r="45" spans="2:12" x14ac:dyDescent="0.3">
      <c r="B45" s="382" t="s">
        <v>47</v>
      </c>
      <c r="C45" s="383"/>
      <c r="D45" s="382" t="s">
        <v>49</v>
      </c>
      <c r="E45" s="292"/>
      <c r="F45" s="291" t="s">
        <v>50</v>
      </c>
      <c r="G45" s="292"/>
      <c r="H45" s="282"/>
      <c r="I45" s="293" t="str">
        <f>IF(ISBLANK(G45),"",'Quotation - Door 3'!F42)</f>
        <v/>
      </c>
      <c r="J45" s="741">
        <f>_xlfn.IFNA('Quotation - Door 3'!$F$112,0)</f>
        <v>0</v>
      </c>
      <c r="K45" s="744"/>
      <c r="L45" s="745" t="str">
        <f>+IF(ISBLANK(K45),"",(J45*(1+K45)))</f>
        <v/>
      </c>
    </row>
    <row r="46" spans="2:12" x14ac:dyDescent="0.3">
      <c r="B46" s="382" t="s">
        <v>52</v>
      </c>
      <c r="C46" s="282"/>
      <c r="D46" s="246"/>
      <c r="E46" s="246"/>
      <c r="F46" s="291" t="s">
        <v>54</v>
      </c>
      <c r="G46" s="292"/>
      <c r="H46" s="282"/>
      <c r="I46" s="293" t="str">
        <f>IF(ISBLANK(G46),"",'Quotation - Door 3'!F43)</f>
        <v/>
      </c>
      <c r="J46" s="742"/>
      <c r="K46" s="744"/>
      <c r="L46" s="746"/>
    </row>
    <row r="47" spans="2:12" x14ac:dyDescent="0.3">
      <c r="B47" s="382" t="s">
        <v>56</v>
      </c>
      <c r="C47" s="282"/>
      <c r="D47" s="748" t="str">
        <f>+IF(C47="Motorized","Please specify the voltage in Freezer Door in N45","")</f>
        <v/>
      </c>
      <c r="E47" s="749"/>
      <c r="F47" s="291" t="s">
        <v>58</v>
      </c>
      <c r="G47" s="292"/>
      <c r="H47" s="282"/>
      <c r="I47" s="293" t="str">
        <f>IF(ISBLANK(G47),"",'Quotation - Door 3'!F44)</f>
        <v/>
      </c>
      <c r="J47" s="743"/>
      <c r="K47" s="744"/>
      <c r="L47" s="747"/>
    </row>
    <row r="48" spans="2:12" x14ac:dyDescent="0.3">
      <c r="B48" s="384" t="s">
        <v>59</v>
      </c>
      <c r="C48" s="283"/>
      <c r="D48" s="727" t="str">
        <f>+IF(C44="Polyfoam Overlap Doors - Swing Door",IF(C48&gt;72,"Length can't be greater than 72 inches",""),"")</f>
        <v/>
      </c>
      <c r="E48" s="728"/>
      <c r="F48" s="291" t="s">
        <v>60</v>
      </c>
      <c r="G48" s="292"/>
      <c r="H48" s="282"/>
      <c r="I48" s="293" t="str">
        <f>IF(ISBLANK(G48),"",'Quotation - Door 3'!F45)</f>
        <v/>
      </c>
      <c r="L48" s="385"/>
    </row>
    <row r="49" spans="2:12" x14ac:dyDescent="0.3">
      <c r="B49" s="384" t="s">
        <v>61</v>
      </c>
      <c r="C49" s="283"/>
      <c r="D49" s="727" t="str">
        <f>+IF(C44="Polyfoam Overlap Doors - Swing Door",IF(C49&gt;84,"Height can't be greater than 84 inches",""),"")</f>
        <v/>
      </c>
      <c r="E49" s="728"/>
      <c r="F49" s="291" t="s">
        <v>62</v>
      </c>
      <c r="G49" s="292"/>
      <c r="H49" s="282"/>
      <c r="I49" s="293" t="str">
        <f>IF(ISBLANK(G49),"",'Quotation - Door 3'!F46)</f>
        <v/>
      </c>
      <c r="L49" s="385"/>
    </row>
    <row r="50" spans="2:12" x14ac:dyDescent="0.3">
      <c r="B50" s="384" t="s">
        <v>64</v>
      </c>
      <c r="C50" s="283"/>
      <c r="D50" s="246"/>
      <c r="E50" s="246"/>
      <c r="F50" s="291" t="s">
        <v>65</v>
      </c>
      <c r="G50" s="387"/>
      <c r="H50" s="387"/>
      <c r="I50" s="293" t="str">
        <f>+IF(ISBLANK(G50),"",IF(G50="Bottom Sweep",'Quotation - Door 3'!$F63,IF(G50="Weather Strip",'Quotation - Door 3'!$F64,"Make the Selection")))</f>
        <v/>
      </c>
      <c r="L50" s="385"/>
    </row>
    <row r="51" spans="2:12" x14ac:dyDescent="0.3">
      <c r="B51" s="384" t="s">
        <v>67</v>
      </c>
      <c r="C51" s="283"/>
      <c r="D51" s="246"/>
      <c r="E51" s="246"/>
      <c r="F51" s="732" t="s">
        <v>68</v>
      </c>
      <c r="G51" s="733"/>
      <c r="H51" s="734"/>
      <c r="I51" s="293">
        <f>+IF(ISBLANK($C$15),"",(SUM('Quotation - Door 3'!F61:F62)))</f>
        <v>0</v>
      </c>
      <c r="L51" s="385"/>
    </row>
    <row r="52" spans="2:12" x14ac:dyDescent="0.3">
      <c r="B52" s="389" t="s">
        <v>69</v>
      </c>
      <c r="C52" s="283"/>
      <c r="D52" s="411"/>
      <c r="E52" s="411"/>
      <c r="F52" s="291" t="s">
        <v>70</v>
      </c>
      <c r="G52" s="387"/>
      <c r="H52" s="387"/>
      <c r="I52" s="293" t="str">
        <f>IF(C44&lt;&gt;"Polyfoam Overlap Doors - Swing door","",IF(G52="Package 1",SUM('Quotation - Door 3'!F83,'Quotation - Door 3'!F65),IF(G52="Package 2",SUM('Quotation - Door 3'!F65,'Quotation - Door 3'!F83,'Quotation - Door 3'!F87,'Quotation - Door 3'!F92),IF(G52="Package 3",SUM('Quotation - Door 3'!F65,'Quotation - Door 3'!F66,'Quotation - Door 3'!F83,'Quotation - Door 3'!F87,'Quotation - Door 3'!F92)))))</f>
        <v/>
      </c>
      <c r="L52" s="385"/>
    </row>
    <row r="53" spans="2:12" x14ac:dyDescent="0.3">
      <c r="B53" s="384" t="str">
        <f>IF($C$44=Controller!$A$17,"Top of Ceiling Height","")</f>
        <v/>
      </c>
      <c r="C53" s="253"/>
      <c r="F53" s="291" t="s">
        <v>71</v>
      </c>
      <c r="G53" s="387"/>
      <c r="H53" s="387"/>
      <c r="I53" s="293">
        <f>IF('Doors - Step 1'!C44="Polyfoam Overlap Doors - Swing door",0,IF(OR('Doors - Step 1'!G53='Door Table'!$E$182,'Doors - Step 1'!G53='Door Table'!$E$183),SUM('Quotation - Door 3'!F69:F76),IF(OR('Doors - Step 1'!G53='Door Table'!$E$184,'Doors - Step 1'!G53='Door Table'!$E$185),SUM('Quotation - Door 3'!F69:F76,'Quotation - Door 3'!F66),0)))</f>
        <v>0</v>
      </c>
      <c r="L53" s="385"/>
    </row>
    <row r="54" spans="2:12" x14ac:dyDescent="0.3">
      <c r="B54" s="384" t="str">
        <f>IF($C$44=Controller!$A$17,"Floor Height","")</f>
        <v/>
      </c>
      <c r="C54" s="253"/>
      <c r="F54" s="273" t="s">
        <v>73</v>
      </c>
      <c r="G54" s="273" t="s">
        <v>42</v>
      </c>
      <c r="H54" s="272" t="s">
        <v>74</v>
      </c>
      <c r="I54" s="289" t="s">
        <v>44</v>
      </c>
      <c r="L54" s="385"/>
    </row>
    <row r="55" spans="2:12" x14ac:dyDescent="0.3">
      <c r="B55" s="504" t="str">
        <f>IF($C$44=Controller!$A$17,"Header Height","")</f>
        <v/>
      </c>
      <c r="C55" s="253"/>
      <c r="E55" s="729" t="s">
        <v>75</v>
      </c>
      <c r="F55" s="498" t="s">
        <v>76</v>
      </c>
      <c r="G55" s="387"/>
      <c r="H55" s="387"/>
      <c r="I55" s="293" t="str">
        <f>+IF(ISBLANK(H55),"",(H55/(1-0.35)))</f>
        <v/>
      </c>
      <c r="L55" s="385"/>
    </row>
    <row r="56" spans="2:12" x14ac:dyDescent="0.3">
      <c r="B56" s="547"/>
      <c r="C56" s="548"/>
      <c r="E56" s="730"/>
      <c r="F56" s="549"/>
      <c r="G56" s="550"/>
      <c r="H56" s="550"/>
      <c r="I56" s="546"/>
      <c r="L56" s="385"/>
    </row>
    <row r="57" spans="2:12" ht="13.5" thickBot="1" x14ac:dyDescent="0.35">
      <c r="B57" s="412"/>
      <c r="C57" s="405"/>
      <c r="D57" s="405"/>
      <c r="E57" s="731"/>
      <c r="F57" s="413"/>
      <c r="G57" s="414"/>
      <c r="H57" s="414"/>
      <c r="I57" s="404" t="str">
        <f>+IF(ISBLANK(H57),"",(H57/(1-0.35)))</f>
        <v/>
      </c>
      <c r="J57" s="405"/>
      <c r="K57" s="405"/>
      <c r="L57" s="406"/>
    </row>
    <row r="59" spans="2:12" ht="6" customHeight="1" x14ac:dyDescent="0.3">
      <c r="B59" s="391"/>
      <c r="C59" s="392"/>
      <c r="D59" s="392"/>
      <c r="E59" s="392"/>
      <c r="F59" s="392"/>
      <c r="G59" s="392"/>
      <c r="H59" s="392"/>
      <c r="I59" s="393"/>
      <c r="J59" s="392"/>
      <c r="K59" s="392"/>
      <c r="L59" s="394"/>
    </row>
    <row r="60" spans="2:12" ht="15.5" x14ac:dyDescent="0.3">
      <c r="B60" s="736" t="str">
        <f>+CONCATENATE("DOOR 4 - ",C61)</f>
        <v>DOOR 4 - Manual Sliding door - Single horizontal slide</v>
      </c>
      <c r="C60" s="737"/>
      <c r="D60" s="737"/>
      <c r="E60" s="737"/>
      <c r="F60" s="737"/>
      <c r="G60" s="737"/>
      <c r="H60" s="737"/>
      <c r="I60" s="737"/>
      <c r="J60" s="738" t="s">
        <v>87</v>
      </c>
      <c r="K60" s="739"/>
      <c r="L60" s="740"/>
    </row>
    <row r="61" spans="2:12" ht="26" x14ac:dyDescent="0.3">
      <c r="B61" s="378" t="s">
        <v>37</v>
      </c>
      <c r="C61" s="410" t="s">
        <v>941</v>
      </c>
      <c r="D61" s="378" t="s">
        <v>39</v>
      </c>
      <c r="E61" s="292" t="s">
        <v>40</v>
      </c>
      <c r="F61" s="273" t="s">
        <v>41</v>
      </c>
      <c r="G61" s="273" t="s">
        <v>42</v>
      </c>
      <c r="H61" s="272" t="s">
        <v>43</v>
      </c>
      <c r="I61" s="289" t="s">
        <v>44</v>
      </c>
      <c r="J61" s="436" t="s">
        <v>44</v>
      </c>
      <c r="K61" s="437" t="s">
        <v>45</v>
      </c>
      <c r="L61" s="438" t="s">
        <v>46</v>
      </c>
    </row>
    <row r="62" spans="2:12" x14ac:dyDescent="0.3">
      <c r="B62" s="382" t="s">
        <v>47</v>
      </c>
      <c r="C62" s="383"/>
      <c r="D62" s="382" t="s">
        <v>49</v>
      </c>
      <c r="E62" s="292"/>
      <c r="F62" s="291" t="s">
        <v>50</v>
      </c>
      <c r="G62" s="292"/>
      <c r="H62" s="282"/>
      <c r="I62" s="293" t="str">
        <f>IF(ISBLANK(G62),"",'Quotation - Door 3'!F57)</f>
        <v/>
      </c>
      <c r="J62" s="741">
        <f>_xlfn.IFNA('Quotation - Door 3'!$F$112,0)</f>
        <v>0</v>
      </c>
      <c r="K62" s="744"/>
      <c r="L62" s="745" t="str">
        <f>+IF(ISBLANK(K62),"",(J62*(1+K62)))</f>
        <v/>
      </c>
    </row>
    <row r="63" spans="2:12" x14ac:dyDescent="0.3">
      <c r="B63" s="382" t="s">
        <v>52</v>
      </c>
      <c r="C63" s="282"/>
      <c r="D63" s="246"/>
      <c r="E63" s="246"/>
      <c r="F63" s="291" t="s">
        <v>54</v>
      </c>
      <c r="G63" s="292"/>
      <c r="H63" s="282"/>
      <c r="I63" s="293" t="str">
        <f>IF(ISBLANK(G63),"",'Quotation - Door 3'!F58)</f>
        <v/>
      </c>
      <c r="J63" s="742"/>
      <c r="K63" s="744"/>
      <c r="L63" s="746"/>
    </row>
    <row r="64" spans="2:12" x14ac:dyDescent="0.3">
      <c r="B64" s="382" t="s">
        <v>56</v>
      </c>
      <c r="C64" s="282"/>
      <c r="D64" s="748" t="str">
        <f>+IF(C64="Motorized","Please specify the voltage in Freezer Door in N45","")</f>
        <v/>
      </c>
      <c r="E64" s="749"/>
      <c r="F64" s="291" t="s">
        <v>58</v>
      </c>
      <c r="G64" s="292"/>
      <c r="H64" s="282"/>
      <c r="I64" s="293" t="str">
        <f>IF(ISBLANK(G64),"",'Quotation - Door 3'!F59)</f>
        <v/>
      </c>
      <c r="J64" s="743"/>
      <c r="K64" s="744"/>
      <c r="L64" s="747"/>
    </row>
    <row r="65" spans="2:12" x14ac:dyDescent="0.3">
      <c r="B65" s="384" t="s">
        <v>59</v>
      </c>
      <c r="C65" s="283"/>
      <c r="D65" s="727" t="str">
        <f>+IF(C61="Polyfoam Overlap Doors - Swing Door",IF(C65&gt;72,"Length can't be greater than 72 inches",""),"")</f>
        <v/>
      </c>
      <c r="E65" s="728"/>
      <c r="F65" s="291" t="s">
        <v>60</v>
      </c>
      <c r="G65" s="292"/>
      <c r="H65" s="282"/>
      <c r="I65" s="293" t="str">
        <f>IF(ISBLANK(G65),"",'Quotation - Door 3'!F60)</f>
        <v/>
      </c>
      <c r="L65" s="385"/>
    </row>
    <row r="66" spans="2:12" x14ac:dyDescent="0.3">
      <c r="B66" s="384" t="s">
        <v>61</v>
      </c>
      <c r="C66" s="283"/>
      <c r="D66" s="727" t="str">
        <f>+IF(C61="Polyfoam Overlap Doors - Swing Door",IF(C66&gt;84,"Height can't be greater than 84 inches",""),"")</f>
        <v/>
      </c>
      <c r="E66" s="728"/>
      <c r="F66" s="291" t="s">
        <v>62</v>
      </c>
      <c r="G66" s="292"/>
      <c r="H66" s="282"/>
      <c r="I66" s="293" t="str">
        <f>IF(ISBLANK(G66),"",'Quotation - Door 3'!F62)</f>
        <v/>
      </c>
      <c r="L66" s="385"/>
    </row>
    <row r="67" spans="2:12" x14ac:dyDescent="0.3">
      <c r="B67" s="384" t="s">
        <v>64</v>
      </c>
      <c r="C67" s="283"/>
      <c r="D67" s="246"/>
      <c r="E67" s="246"/>
      <c r="F67" s="291" t="s">
        <v>65</v>
      </c>
      <c r="G67" s="387"/>
      <c r="H67" s="387"/>
      <c r="I67" s="293" t="str">
        <f>+IF(ISBLANK(G67),"",IF(G67="Bottom Sweep",'Quotation - Door 3'!$F79,IF(G67="Weather Strip",'Quotation - Door 3'!$F80,"Make the Selection")))</f>
        <v/>
      </c>
      <c r="L67" s="385"/>
    </row>
    <row r="68" spans="2:12" x14ac:dyDescent="0.3">
      <c r="B68" s="384" t="s">
        <v>67</v>
      </c>
      <c r="C68" s="283"/>
      <c r="D68" s="246"/>
      <c r="E68" s="246"/>
      <c r="F68" s="732" t="s">
        <v>68</v>
      </c>
      <c r="G68" s="733"/>
      <c r="H68" s="734"/>
      <c r="I68" s="293">
        <f>+IF(ISBLANK($C$15),"",(SUM('Quotation - Door 3'!F77:F78)))</f>
        <v>0</v>
      </c>
      <c r="L68" s="385"/>
    </row>
    <row r="69" spans="2:12" x14ac:dyDescent="0.3">
      <c r="B69" s="389" t="s">
        <v>69</v>
      </c>
      <c r="C69" s="283"/>
      <c r="D69" s="411"/>
      <c r="E69" s="411"/>
      <c r="F69" s="291" t="s">
        <v>70</v>
      </c>
      <c r="G69" s="387"/>
      <c r="H69" s="387"/>
      <c r="I69" s="293" t="str">
        <f>IF(C61&lt;&gt;"Polyfoam Overlap Doors - Swing door","",IF(G69="Package 1",SUM('Quotation - Door 3'!F99,'Quotation - Door 3'!F81),IF(G69="Package 2",SUM('Quotation - Door 3'!F81,'Quotation - Door 3'!F99,'Quotation - Door 3'!F103,'Quotation - Door 3'!F108),IF(G69="Package 3",SUM('Quotation - Door 3'!F81,'Quotation - Door 3'!F82,'Quotation - Door 3'!F99,'Quotation - Door 3'!F103,'Quotation - Door 3'!F108)))))</f>
        <v/>
      </c>
      <c r="L69" s="385"/>
    </row>
    <row r="70" spans="2:12" x14ac:dyDescent="0.3">
      <c r="B70" s="384" t="str">
        <f>IF($C$61=Controller!$A$17,"Top of Ceiling Height","")</f>
        <v/>
      </c>
      <c r="C70" s="253"/>
      <c r="F70" s="291" t="s">
        <v>71</v>
      </c>
      <c r="G70" s="387"/>
      <c r="H70" s="387"/>
      <c r="I70" s="293">
        <f>IF('Doors - Step 1'!C61="Polyfoam Overlap Doors - Swing door",0,IF(OR('Doors - Step 1'!G70='Door Table'!$E$182,'Doors - Step 1'!G70='Door Table'!$E$183),SUM('Quotation - Door 3'!F85:F92),IF(OR('Doors - Step 1'!G70='Door Table'!$E$184,'Doors - Step 1'!G70='Door Table'!$E$185),SUM('Quotation - Door 3'!F85:F92,'Quotation - Door 3'!F82),0)))</f>
        <v>0</v>
      </c>
      <c r="L70" s="385"/>
    </row>
    <row r="71" spans="2:12" x14ac:dyDescent="0.3">
      <c r="B71" s="384" t="str">
        <f>IF($C$61=Controller!$A$17,"Floor Height","")</f>
        <v/>
      </c>
      <c r="C71" s="253"/>
      <c r="F71" s="273" t="s">
        <v>73</v>
      </c>
      <c r="G71" s="273" t="s">
        <v>42</v>
      </c>
      <c r="H71" s="272" t="s">
        <v>74</v>
      </c>
      <c r="I71" s="289" t="s">
        <v>44</v>
      </c>
      <c r="L71" s="385"/>
    </row>
    <row r="72" spans="2:12" x14ac:dyDescent="0.3">
      <c r="B72" s="504" t="str">
        <f>IF($C$61=Controller!$A$17,"Header Height","")</f>
        <v/>
      </c>
      <c r="C72" s="253"/>
      <c r="E72" s="729" t="s">
        <v>75</v>
      </c>
      <c r="F72" s="498" t="s">
        <v>76</v>
      </c>
      <c r="G72" s="387"/>
      <c r="H72" s="387"/>
      <c r="I72" s="293" t="str">
        <f>+IF(ISBLANK(H72),"",(H72/(1-0.35)))</f>
        <v/>
      </c>
      <c r="L72" s="385"/>
    </row>
    <row r="73" spans="2:12" x14ac:dyDescent="0.3">
      <c r="B73" s="547"/>
      <c r="C73" s="548"/>
      <c r="E73" s="730"/>
      <c r="F73" s="549"/>
      <c r="G73" s="550"/>
      <c r="H73" s="550"/>
      <c r="I73" s="546"/>
      <c r="L73" s="385"/>
    </row>
    <row r="74" spans="2:12" ht="13.5" thickBot="1" x14ac:dyDescent="0.35">
      <c r="B74" s="412"/>
      <c r="C74" s="405"/>
      <c r="D74" s="405"/>
      <c r="E74" s="731"/>
      <c r="F74" s="413"/>
      <c r="G74" s="414"/>
      <c r="H74" s="414"/>
      <c r="I74" s="404" t="str">
        <f>+IF(ISBLANK(H74),"",(H74/(1-0.35)))</f>
        <v/>
      </c>
      <c r="J74" s="405"/>
      <c r="K74" s="405"/>
      <c r="L74" s="406"/>
    </row>
    <row r="76" spans="2:12" ht="6" customHeight="1" x14ac:dyDescent="0.3">
      <c r="B76" s="391"/>
      <c r="C76" s="392"/>
      <c r="D76" s="392"/>
      <c r="E76" s="392"/>
      <c r="F76" s="392"/>
      <c r="G76" s="392"/>
      <c r="H76" s="392"/>
      <c r="I76" s="393"/>
      <c r="J76" s="392"/>
      <c r="K76" s="392"/>
      <c r="L76" s="394"/>
    </row>
    <row r="77" spans="2:12" ht="15.5" x14ac:dyDescent="0.3">
      <c r="B77" s="736" t="str">
        <f>+CONCATENATE("DOOR 5 - ",C78)</f>
        <v>DOOR 5 - Overlap Doors - Swing door</v>
      </c>
      <c r="C77" s="737"/>
      <c r="D77" s="737"/>
      <c r="E77" s="737"/>
      <c r="F77" s="737"/>
      <c r="G77" s="737"/>
      <c r="H77" s="737"/>
      <c r="I77" s="737"/>
      <c r="J77" s="738" t="s">
        <v>88</v>
      </c>
      <c r="K77" s="739"/>
      <c r="L77" s="740"/>
    </row>
    <row r="78" spans="2:12" ht="26" x14ac:dyDescent="0.3">
      <c r="B78" s="378" t="s">
        <v>37</v>
      </c>
      <c r="C78" s="410" t="s">
        <v>942</v>
      </c>
      <c r="D78" s="378" t="s">
        <v>39</v>
      </c>
      <c r="E78" s="292" t="s">
        <v>40</v>
      </c>
      <c r="F78" s="273" t="s">
        <v>41</v>
      </c>
      <c r="G78" s="273" t="s">
        <v>42</v>
      </c>
      <c r="H78" s="272" t="s">
        <v>43</v>
      </c>
      <c r="I78" s="289" t="s">
        <v>44</v>
      </c>
      <c r="J78" s="436" t="s">
        <v>44</v>
      </c>
      <c r="K78" s="437" t="s">
        <v>45</v>
      </c>
      <c r="L78" s="438" t="s">
        <v>46</v>
      </c>
    </row>
    <row r="79" spans="2:12" x14ac:dyDescent="0.3">
      <c r="B79" s="382" t="s">
        <v>47</v>
      </c>
      <c r="C79" s="383"/>
      <c r="D79" s="382" t="s">
        <v>49</v>
      </c>
      <c r="E79" s="292"/>
      <c r="F79" s="291" t="s">
        <v>50</v>
      </c>
      <c r="G79" s="292"/>
      <c r="H79" s="282"/>
      <c r="I79" s="293" t="str">
        <f>IF(ISBLANK(G79),"",'Quotation - Door 3'!F73)</f>
        <v/>
      </c>
      <c r="J79" s="741">
        <f>_xlfn.IFNA('Quotation - Door 3'!$F$112,0)</f>
        <v>0</v>
      </c>
      <c r="K79" s="744"/>
      <c r="L79" s="745" t="str">
        <f>+IF(ISBLANK(K79),"",(J79*(1+K79)))</f>
        <v/>
      </c>
    </row>
    <row r="80" spans="2:12" x14ac:dyDescent="0.3">
      <c r="B80" s="382" t="s">
        <v>52</v>
      </c>
      <c r="C80" s="282"/>
      <c r="D80" s="246"/>
      <c r="E80" s="246"/>
      <c r="F80" s="291" t="s">
        <v>54</v>
      </c>
      <c r="G80" s="292"/>
      <c r="H80" s="282"/>
      <c r="I80" s="293" t="str">
        <f>IF(ISBLANK(G80),"",'Quotation - Door 3'!F74)</f>
        <v/>
      </c>
      <c r="J80" s="742"/>
      <c r="K80" s="744"/>
      <c r="L80" s="746"/>
    </row>
    <row r="81" spans="2:12" x14ac:dyDescent="0.3">
      <c r="B81" s="382" t="s">
        <v>56</v>
      </c>
      <c r="C81" s="282"/>
      <c r="D81" s="748" t="str">
        <f>+IF(C81="Motorized","Please specify the voltage in Freezer Door in N45","")</f>
        <v/>
      </c>
      <c r="E81" s="749"/>
      <c r="F81" s="291" t="s">
        <v>58</v>
      </c>
      <c r="G81" s="292"/>
      <c r="H81" s="282"/>
      <c r="I81" s="293" t="str">
        <f>IF(ISBLANK(G81),"",'Quotation - Door 3'!F75)</f>
        <v/>
      </c>
      <c r="J81" s="743"/>
      <c r="K81" s="744"/>
      <c r="L81" s="747"/>
    </row>
    <row r="82" spans="2:12" x14ac:dyDescent="0.3">
      <c r="B82" s="384" t="s">
        <v>59</v>
      </c>
      <c r="C82" s="283"/>
      <c r="D82" s="727" t="str">
        <f>+IF(C78="Polyfoam Overlap Doors - Swing Door",IF(C82&gt;72,"Length can't be greater than 72 inches",""),"")</f>
        <v/>
      </c>
      <c r="E82" s="728"/>
      <c r="F82" s="291" t="s">
        <v>60</v>
      </c>
      <c r="G82" s="292"/>
      <c r="H82" s="282"/>
      <c r="I82" s="293" t="str">
        <f>IF(ISBLANK(G82),"",'Quotation - Door 3'!F76)</f>
        <v/>
      </c>
      <c r="L82" s="385"/>
    </row>
    <row r="83" spans="2:12" x14ac:dyDescent="0.3">
      <c r="B83" s="384" t="s">
        <v>61</v>
      </c>
      <c r="C83" s="283"/>
      <c r="D83" s="727" t="str">
        <f>+IF(C78="Polyfoam Overlap Doors - Swing Door",IF(C83&gt;84,"Height can't be greater than 84 inches",""),"")</f>
        <v/>
      </c>
      <c r="E83" s="728"/>
      <c r="F83" s="291" t="s">
        <v>62</v>
      </c>
      <c r="G83" s="292"/>
      <c r="H83" s="282"/>
      <c r="I83" s="293" t="str">
        <f>IF(ISBLANK(G83),"",'Quotation - Door 3'!F78)</f>
        <v/>
      </c>
      <c r="L83" s="385"/>
    </row>
    <row r="84" spans="2:12" x14ac:dyDescent="0.3">
      <c r="B84" s="384" t="s">
        <v>64</v>
      </c>
      <c r="C84" s="283"/>
      <c r="D84" s="246"/>
      <c r="E84" s="246"/>
      <c r="F84" s="291" t="s">
        <v>65</v>
      </c>
      <c r="G84" s="387"/>
      <c r="H84" s="387"/>
      <c r="I84" s="293" t="str">
        <f>+IF(ISBLANK(G84),"",IF(G84="Bottom Sweep",'Quotation - Door 3'!$F95,IF(G84="Weather Strip",'Quotation - Door 3'!$F96,"Make the Selection")))</f>
        <v/>
      </c>
      <c r="L84" s="385"/>
    </row>
    <row r="85" spans="2:12" x14ac:dyDescent="0.3">
      <c r="B85" s="384" t="s">
        <v>67</v>
      </c>
      <c r="C85" s="283"/>
      <c r="D85" s="246"/>
      <c r="E85" s="246"/>
      <c r="F85" s="732" t="s">
        <v>68</v>
      </c>
      <c r="G85" s="733"/>
      <c r="H85" s="734"/>
      <c r="I85" s="293">
        <f>+IF(ISBLANK($C$15),"",(SUM('Quotation - Door 3'!F93:F94)))</f>
        <v>0</v>
      </c>
      <c r="L85" s="385"/>
    </row>
    <row r="86" spans="2:12" x14ac:dyDescent="0.3">
      <c r="B86" s="389" t="s">
        <v>69</v>
      </c>
      <c r="C86" s="283"/>
      <c r="D86" s="411"/>
      <c r="E86" s="411"/>
      <c r="F86" s="291" t="s">
        <v>70</v>
      </c>
      <c r="G86" s="387"/>
      <c r="H86" s="387"/>
      <c r="I86" s="293" t="str">
        <f>IF(C78&lt;&gt;"Polyfoam Overlap Doors - Swing door","",IF(G86="Package 1",SUM('Quotation - Door 3'!F116,'Quotation - Door 3'!F97),IF(G86="Package 2",SUM('Quotation - Door 3'!F97,'Quotation - Door 3'!F116,'Quotation - Door 3'!F120,'Quotation - Door 3'!F125),IF(G86="Package 3",SUM('Quotation - Door 3'!F97,'Quotation - Door 3'!F98,'Quotation - Door 3'!F116,'Quotation - Door 3'!F120,'Quotation - Door 3'!F125)))))</f>
        <v/>
      </c>
      <c r="L86" s="385"/>
    </row>
    <row r="87" spans="2:12" x14ac:dyDescent="0.3">
      <c r="B87" s="384" t="str">
        <f>IF($C$61=Controller!$A$17,"Top of Ceiling Height","")</f>
        <v/>
      </c>
      <c r="C87" s="253"/>
      <c r="F87" s="291" t="s">
        <v>71</v>
      </c>
      <c r="G87" s="387"/>
      <c r="H87" s="387"/>
      <c r="I87" s="293">
        <f>IF('Doors - Step 1'!C78="Polyfoam Overlap Doors - Swing door",0,IF(OR('Doors - Step 1'!G87='Door Table'!$E$182,'Doors - Step 1'!G87='Door Table'!$E$183),SUM('Quotation - Door 3'!F101:F108),IF(OR('Doors - Step 1'!G87='Door Table'!$E$184,'Doors - Step 1'!G87='Door Table'!$E$185),SUM('Quotation - Door 3'!F101:F108,'Quotation - Door 3'!F98),0)))</f>
        <v>0</v>
      </c>
      <c r="L87" s="385"/>
    </row>
    <row r="88" spans="2:12" x14ac:dyDescent="0.3">
      <c r="B88" s="384" t="str">
        <f>IF($C$61=Controller!$A$17,"Floor Height","")</f>
        <v/>
      </c>
      <c r="C88" s="253"/>
      <c r="F88" s="273" t="s">
        <v>73</v>
      </c>
      <c r="G88" s="273"/>
      <c r="H88" s="272" t="s">
        <v>74</v>
      </c>
      <c r="I88" s="289" t="s">
        <v>44</v>
      </c>
      <c r="L88" s="385"/>
    </row>
    <row r="89" spans="2:12" x14ac:dyDescent="0.3">
      <c r="B89" s="504" t="str">
        <f>IF($C$61=Controller!$A$17,"Header Height","")</f>
        <v/>
      </c>
      <c r="C89" s="253"/>
      <c r="E89" s="729" t="s">
        <v>75</v>
      </c>
      <c r="F89" s="498" t="s">
        <v>76</v>
      </c>
      <c r="G89" s="387"/>
      <c r="H89" s="387"/>
      <c r="I89" s="293" t="str">
        <f>+IF(ISBLANK(H89),"",(H89/(1-0.35)))</f>
        <v/>
      </c>
      <c r="L89" s="385"/>
    </row>
    <row r="90" spans="2:12" x14ac:dyDescent="0.3">
      <c r="B90" s="547"/>
      <c r="C90" s="548"/>
      <c r="E90" s="730"/>
      <c r="F90" s="549"/>
      <c r="G90" s="550"/>
      <c r="H90" s="550"/>
      <c r="I90" s="546"/>
      <c r="L90" s="385"/>
    </row>
    <row r="91" spans="2:12" ht="13.5" thickBot="1" x14ac:dyDescent="0.35">
      <c r="B91" s="412"/>
      <c r="C91" s="405"/>
      <c r="D91" s="405"/>
      <c r="E91" s="731"/>
      <c r="F91" s="413"/>
      <c r="G91" s="414"/>
      <c r="H91" s="414"/>
      <c r="I91" s="404" t="str">
        <f>+IF(ISBLANK(H91),"",(H91/(1-0.35)))</f>
        <v/>
      </c>
      <c r="J91" s="405"/>
      <c r="K91" s="405"/>
      <c r="L91" s="406"/>
    </row>
    <row r="93" spans="2:12" ht="6" customHeight="1" x14ac:dyDescent="0.3">
      <c r="B93" s="391"/>
      <c r="C93" s="392"/>
      <c r="D93" s="392"/>
      <c r="E93" s="392"/>
      <c r="F93" s="392"/>
      <c r="G93" s="392"/>
      <c r="H93" s="392"/>
      <c r="I93" s="393"/>
      <c r="J93" s="392"/>
      <c r="K93" s="392"/>
      <c r="L93" s="394"/>
    </row>
    <row r="94" spans="2:12" ht="15.5" x14ac:dyDescent="0.3">
      <c r="B94" s="736" t="str">
        <f>+CONCATENATE("DOOR 6 - ",C95)</f>
        <v xml:space="preserve">DOOR 6 - </v>
      </c>
      <c r="C94" s="737"/>
      <c r="D94" s="737"/>
      <c r="E94" s="737"/>
      <c r="F94" s="737"/>
      <c r="G94" s="737"/>
      <c r="H94" s="737"/>
      <c r="I94" s="737"/>
      <c r="J94" s="738" t="s">
        <v>89</v>
      </c>
      <c r="K94" s="739"/>
      <c r="L94" s="740"/>
    </row>
    <row r="95" spans="2:12" ht="26" x14ac:dyDescent="0.3">
      <c r="B95" s="378" t="s">
        <v>37</v>
      </c>
      <c r="C95" s="410"/>
      <c r="D95" s="378" t="s">
        <v>39</v>
      </c>
      <c r="E95" s="292" t="s">
        <v>40</v>
      </c>
      <c r="F95" s="273" t="s">
        <v>41</v>
      </c>
      <c r="G95" s="273" t="s">
        <v>42</v>
      </c>
      <c r="H95" s="272" t="s">
        <v>43</v>
      </c>
      <c r="I95" s="289" t="s">
        <v>44</v>
      </c>
      <c r="J95" s="436" t="s">
        <v>44</v>
      </c>
      <c r="K95" s="437" t="s">
        <v>45</v>
      </c>
      <c r="L95" s="438" t="s">
        <v>46</v>
      </c>
    </row>
    <row r="96" spans="2:12" x14ac:dyDescent="0.3">
      <c r="B96" s="382" t="s">
        <v>47</v>
      </c>
      <c r="C96" s="383"/>
      <c r="D96" s="382" t="s">
        <v>49</v>
      </c>
      <c r="E96" s="292"/>
      <c r="F96" s="291" t="s">
        <v>50</v>
      </c>
      <c r="G96" s="292"/>
      <c r="H96" s="282"/>
      <c r="I96" s="293" t="str">
        <f>IF(ISBLANK(G96),"",'Quotation - Door 3'!F89)</f>
        <v/>
      </c>
      <c r="J96" s="741">
        <f>_xlfn.IFNA('Quotation - Door 3'!$F$112,0)</f>
        <v>0</v>
      </c>
      <c r="K96" s="744"/>
      <c r="L96" s="745" t="str">
        <f>+IF(ISBLANK(K96),"",(J96*(1+K96)))</f>
        <v/>
      </c>
    </row>
    <row r="97" spans="2:12" x14ac:dyDescent="0.3">
      <c r="B97" s="382" t="s">
        <v>52</v>
      </c>
      <c r="C97" s="282"/>
      <c r="D97" s="246"/>
      <c r="E97" s="246"/>
      <c r="F97" s="291" t="s">
        <v>54</v>
      </c>
      <c r="G97" s="292"/>
      <c r="H97" s="282"/>
      <c r="I97" s="293" t="str">
        <f>IF(ISBLANK(G97),"",'Quotation - Door 3'!F90)</f>
        <v/>
      </c>
      <c r="J97" s="742"/>
      <c r="K97" s="744"/>
      <c r="L97" s="746"/>
    </row>
    <row r="98" spans="2:12" x14ac:dyDescent="0.3">
      <c r="B98" s="382" t="s">
        <v>56</v>
      </c>
      <c r="C98" s="282"/>
      <c r="D98" s="748" t="str">
        <f>+IF(C98="Motorized","Please specify the voltage in Freezer Door in N45","")</f>
        <v/>
      </c>
      <c r="E98" s="749"/>
      <c r="F98" s="291" t="s">
        <v>58</v>
      </c>
      <c r="G98" s="292"/>
      <c r="H98" s="282"/>
      <c r="I98" s="293" t="str">
        <f>IF(ISBLANK(G98),"",'Quotation - Door 3'!F91)</f>
        <v/>
      </c>
      <c r="J98" s="743"/>
      <c r="K98" s="744"/>
      <c r="L98" s="747"/>
    </row>
    <row r="99" spans="2:12" x14ac:dyDescent="0.3">
      <c r="B99" s="384" t="s">
        <v>59</v>
      </c>
      <c r="C99" s="283"/>
      <c r="D99" s="727" t="str">
        <f>+IF(C95="Polyfoam Overlap Doors - Swing Door",IF(C99&gt;72,"Length can't be greater than 72 inches",""),"")</f>
        <v/>
      </c>
      <c r="E99" s="728"/>
      <c r="F99" s="291" t="s">
        <v>60</v>
      </c>
      <c r="G99" s="292"/>
      <c r="H99" s="282"/>
      <c r="I99" s="293" t="str">
        <f>IF(ISBLANK(G99),"",'Quotation - Door 3'!F92)</f>
        <v/>
      </c>
      <c r="L99" s="385"/>
    </row>
    <row r="100" spans="2:12" x14ac:dyDescent="0.3">
      <c r="B100" s="384" t="s">
        <v>61</v>
      </c>
      <c r="C100" s="283"/>
      <c r="D100" s="727" t="str">
        <f>+IF(C95="Polyfoam Overlap Doors - Swing Door",IF(C100&gt;84,"Height can't be greater than 84 inches",""),"")</f>
        <v/>
      </c>
      <c r="E100" s="728"/>
      <c r="F100" s="291" t="s">
        <v>62</v>
      </c>
      <c r="G100" s="292"/>
      <c r="H100" s="282"/>
      <c r="I100" s="293" t="str">
        <f>IF(ISBLANK(G100),"",'Quotation - Door 3'!F94)</f>
        <v/>
      </c>
      <c r="L100" s="385"/>
    </row>
    <row r="101" spans="2:12" x14ac:dyDescent="0.3">
      <c r="B101" s="384" t="s">
        <v>64</v>
      </c>
      <c r="C101" s="283"/>
      <c r="D101" s="246"/>
      <c r="E101" s="246"/>
      <c r="F101" s="291" t="s">
        <v>65</v>
      </c>
      <c r="G101" s="387"/>
      <c r="H101" s="387"/>
      <c r="I101" s="293" t="str">
        <f>+IF(ISBLANK(G101),"",IF(G101="Bottom Sweep",'Quotation - Door 3'!$F112,IF(G101="Weather Strip",'Quotation - Door 3'!$F113,"Make the Selection")))</f>
        <v/>
      </c>
      <c r="L101" s="385"/>
    </row>
    <row r="102" spans="2:12" x14ac:dyDescent="0.3">
      <c r="B102" s="384" t="s">
        <v>67</v>
      </c>
      <c r="C102" s="283"/>
      <c r="D102" s="246"/>
      <c r="E102" s="246"/>
      <c r="F102" s="644" t="s">
        <v>68</v>
      </c>
      <c r="G102" s="735"/>
      <c r="H102" s="645"/>
      <c r="I102" s="293">
        <f>+IF(ISBLANK($C$15),"",(SUM('Quotation - Door 3'!F110:F111)))</f>
        <v>0</v>
      </c>
      <c r="L102" s="385"/>
    </row>
    <row r="103" spans="2:12" x14ac:dyDescent="0.3">
      <c r="B103" s="389" t="s">
        <v>69</v>
      </c>
      <c r="C103" s="283"/>
      <c r="D103" s="411"/>
      <c r="E103" s="411"/>
      <c r="F103" s="291" t="s">
        <v>70</v>
      </c>
      <c r="G103" s="387"/>
      <c r="H103" s="387"/>
      <c r="I103" s="293" t="str">
        <f>IF(C95&lt;&gt;"Polyfoam Overlap Doors - Swing door","",IF(G103="Package 1",SUM('Quotation - Door 3'!F132,'Quotation - Door 3'!F114),IF(G103="Package 2",SUM('Quotation - Door 3'!F114,'Quotation - Door 3'!F132,'Quotation - Door 3'!F136,'Quotation - Door 3'!F141),IF(G103="Package 3",SUM('Quotation - Door 3'!F114,'Quotation - Door 3'!F115,'Quotation - Door 3'!F132,'Quotation - Door 3'!F136,'Quotation - Door 3'!F141)))))</f>
        <v/>
      </c>
      <c r="L103" s="385"/>
    </row>
    <row r="104" spans="2:12" x14ac:dyDescent="0.3">
      <c r="B104" s="384" t="str">
        <f>IF($C$61=Controller!$A$17,"Top of Ceiling Height","")</f>
        <v/>
      </c>
      <c r="C104" s="253"/>
      <c r="F104" s="291" t="s">
        <v>71</v>
      </c>
      <c r="G104" s="387"/>
      <c r="H104" s="387"/>
      <c r="I104" s="293">
        <f>IF('Doors - Step 1'!C95="Polyfoam Overlap Doors - Swing door",0,IF(OR('Doors - Step 1'!G104='Door Table'!$E$182,'Doors - Step 1'!G104='Door Table'!$E$183),SUM('Quotation - Door 3'!F118:F125),IF(OR('Doors - Step 1'!G104='Door Table'!$E$184,'Doors - Step 1'!G104='Door Table'!$E$185),SUM('Quotation - Door 3'!F118:F125,'Quotation - Door 3'!F115),0)))</f>
        <v>0</v>
      </c>
      <c r="L104" s="385"/>
    </row>
    <row r="105" spans="2:12" x14ac:dyDescent="0.3">
      <c r="B105" s="384" t="str">
        <f>IF($C$61=Controller!$A$17,"Floor Height","")</f>
        <v/>
      </c>
      <c r="C105" s="253"/>
      <c r="F105" s="273" t="s">
        <v>73</v>
      </c>
      <c r="G105" s="273"/>
      <c r="H105" s="272" t="s">
        <v>74</v>
      </c>
      <c r="I105" s="289" t="s">
        <v>44</v>
      </c>
      <c r="L105" s="385"/>
    </row>
    <row r="106" spans="2:12" x14ac:dyDescent="0.3">
      <c r="B106" s="504" t="str">
        <f>IF($C$61=Controller!$A$17,"Header Height","")</f>
        <v/>
      </c>
      <c r="C106" s="253" t="str">
        <f>IF(OR(ISBLANK(C104),ISBLANK(C105)),"",C104-C102-C105-C100)</f>
        <v/>
      </c>
      <c r="E106" s="729" t="s">
        <v>75</v>
      </c>
      <c r="F106" s="498" t="s">
        <v>76</v>
      </c>
      <c r="G106" s="387"/>
      <c r="H106" s="387"/>
      <c r="I106" s="293" t="str">
        <f>+IF(ISBLANK(H106),"",(H106/(1-0.35)))</f>
        <v/>
      </c>
      <c r="L106" s="385"/>
    </row>
    <row r="107" spans="2:12" x14ac:dyDescent="0.3">
      <c r="B107" s="547"/>
      <c r="C107" s="548"/>
      <c r="E107" s="730"/>
      <c r="F107" s="549"/>
      <c r="G107" s="550"/>
      <c r="H107" s="550"/>
      <c r="I107" s="546"/>
      <c r="L107" s="385"/>
    </row>
    <row r="108" spans="2:12" ht="13.5" thickBot="1" x14ac:dyDescent="0.35">
      <c r="B108" s="412"/>
      <c r="C108" s="405"/>
      <c r="D108" s="405"/>
      <c r="E108" s="731"/>
      <c r="F108" s="413"/>
      <c r="G108" s="414"/>
      <c r="H108" s="414"/>
      <c r="I108" s="404" t="str">
        <f>+IF(ISBLANK(H108),"",(H108/(1-0.35)))</f>
        <v/>
      </c>
      <c r="J108" s="405"/>
      <c r="K108" s="405"/>
      <c r="L108" s="406"/>
    </row>
  </sheetData>
  <mergeCells count="66">
    <mergeCell ref="E3:G3"/>
    <mergeCell ref="E55:E57"/>
    <mergeCell ref="J10:L10"/>
    <mergeCell ref="J12:J14"/>
    <mergeCell ref="K12:K14"/>
    <mergeCell ref="L12:L14"/>
    <mergeCell ref="D14:E14"/>
    <mergeCell ref="D49:E49"/>
    <mergeCell ref="B43:I43"/>
    <mergeCell ref="F35:H35"/>
    <mergeCell ref="B27:I27"/>
    <mergeCell ref="D31:E31"/>
    <mergeCell ref="D32:E32"/>
    <mergeCell ref="D33:E33"/>
    <mergeCell ref="D47:E47"/>
    <mergeCell ref="E39:E41"/>
    <mergeCell ref="K45:K47"/>
    <mergeCell ref="L45:L47"/>
    <mergeCell ref="J27:L27"/>
    <mergeCell ref="J29:J31"/>
    <mergeCell ref="K29:K31"/>
    <mergeCell ref="L29:L31"/>
    <mergeCell ref="J43:L43"/>
    <mergeCell ref="B10:I10"/>
    <mergeCell ref="E22:E24"/>
    <mergeCell ref="D16:E16"/>
    <mergeCell ref="D15:E15"/>
    <mergeCell ref="J45:J47"/>
    <mergeCell ref="B5:D5"/>
    <mergeCell ref="C6:D6"/>
    <mergeCell ref="C7:D7"/>
    <mergeCell ref="C8:D8"/>
    <mergeCell ref="B7:B8"/>
    <mergeCell ref="J60:L60"/>
    <mergeCell ref="J62:J64"/>
    <mergeCell ref="K62:K64"/>
    <mergeCell ref="L62:L64"/>
    <mergeCell ref="D64:E64"/>
    <mergeCell ref="J77:L77"/>
    <mergeCell ref="J79:J81"/>
    <mergeCell ref="K79:K81"/>
    <mergeCell ref="L79:L81"/>
    <mergeCell ref="D81:E81"/>
    <mergeCell ref="B77:I77"/>
    <mergeCell ref="J94:L94"/>
    <mergeCell ref="J96:J98"/>
    <mergeCell ref="K96:K98"/>
    <mergeCell ref="L96:L98"/>
    <mergeCell ref="D98:E98"/>
    <mergeCell ref="B94:I94"/>
    <mergeCell ref="D99:E99"/>
    <mergeCell ref="D100:E100"/>
    <mergeCell ref="E106:E108"/>
    <mergeCell ref="F18:H18"/>
    <mergeCell ref="F51:H51"/>
    <mergeCell ref="F68:H68"/>
    <mergeCell ref="F85:H85"/>
    <mergeCell ref="F102:H102"/>
    <mergeCell ref="D82:E82"/>
    <mergeCell ref="D83:E83"/>
    <mergeCell ref="E89:E91"/>
    <mergeCell ref="D65:E65"/>
    <mergeCell ref="D66:E66"/>
    <mergeCell ref="E72:E74"/>
    <mergeCell ref="B60:I60"/>
    <mergeCell ref="D48:E48"/>
  </mergeCells>
  <phoneticPr fontId="10" type="noConversion"/>
  <conditionalFormatting sqref="F52">
    <cfRule type="expression" dxfId="69" priority="16">
      <formula>$C$44&lt;&gt;"Overlap Doors - Swing door"</formula>
    </cfRule>
  </conditionalFormatting>
  <conditionalFormatting sqref="F19">
    <cfRule type="expression" dxfId="68" priority="18">
      <formula>$C$11&lt;&gt;"Overlap Doors - Swing door"</formula>
    </cfRule>
  </conditionalFormatting>
  <conditionalFormatting sqref="F20 F16">
    <cfRule type="expression" dxfId="67" priority="19">
      <formula>$C$11="Overlap Doors - Swing door"</formula>
    </cfRule>
  </conditionalFormatting>
  <conditionalFormatting sqref="F53">
    <cfRule type="expression" dxfId="66" priority="23">
      <formula>$C$44="Overlap Doors - Swing door"</formula>
    </cfRule>
  </conditionalFormatting>
  <conditionalFormatting sqref="F37">
    <cfRule type="expression" dxfId="65" priority="17">
      <formula>$C$28="Overlap Doors - Swing door"</formula>
    </cfRule>
  </conditionalFormatting>
  <conditionalFormatting sqref="F49">
    <cfRule type="expression" dxfId="64" priority="14">
      <formula>$C$44="Overlap Doors - Swing door"</formula>
    </cfRule>
  </conditionalFormatting>
  <conditionalFormatting sqref="F69">
    <cfRule type="expression" dxfId="63" priority="10">
      <formula>$C$44&lt;&gt;"Overlap Doors - Swing door"</formula>
    </cfRule>
  </conditionalFormatting>
  <conditionalFormatting sqref="F70">
    <cfRule type="expression" dxfId="62" priority="11">
      <formula>$C$44="Overlap Doors - Swing door"</formula>
    </cfRule>
  </conditionalFormatting>
  <conditionalFormatting sqref="F66">
    <cfRule type="expression" dxfId="61" priority="9">
      <formula>$C$44="Overlap Doors - Swing door"</formula>
    </cfRule>
  </conditionalFormatting>
  <conditionalFormatting sqref="F86">
    <cfRule type="expression" dxfId="60" priority="7">
      <formula>$C$44&lt;&gt;"Overlap Doors - Swing door"</formula>
    </cfRule>
  </conditionalFormatting>
  <conditionalFormatting sqref="F87">
    <cfRule type="expression" dxfId="59" priority="8">
      <formula>$C$44="Overlap Doors - Swing door"</formula>
    </cfRule>
  </conditionalFormatting>
  <conditionalFormatting sqref="F83">
    <cfRule type="expression" dxfId="58" priority="6">
      <formula>$C$44="Overlap Doors - Swing door"</formula>
    </cfRule>
  </conditionalFormatting>
  <conditionalFormatting sqref="F103">
    <cfRule type="expression" dxfId="57" priority="4">
      <formula>$C$44&lt;&gt;"Overlap Doors - Swing door"</formula>
    </cfRule>
  </conditionalFormatting>
  <conditionalFormatting sqref="F104">
    <cfRule type="expression" dxfId="56" priority="5">
      <formula>$C$44="Overlap Doors - Swing door"</formula>
    </cfRule>
  </conditionalFormatting>
  <conditionalFormatting sqref="F100">
    <cfRule type="expression" dxfId="55" priority="3">
      <formula>$C$44="Overlap Doors - Swing door"</formula>
    </cfRule>
  </conditionalFormatting>
  <conditionalFormatting sqref="F33">
    <cfRule type="expression" dxfId="54" priority="2">
      <formula>$C$11="Overlap Doors - Swing door"</formula>
    </cfRule>
  </conditionalFormatting>
  <conditionalFormatting sqref="F36">
    <cfRule type="expression" dxfId="53" priority="1">
      <formula>$C$11&lt;&gt;"Overlap Doors - Swing door"</formula>
    </cfRule>
  </conditionalFormatting>
  <pageMargins left="0.7" right="0.7" top="0.75" bottom="0.75" header="0.3" footer="0.3"/>
  <pageSetup orientation="landscape" horizontalDpi="360" verticalDpi="36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 xr:uid="{5658793A-B757-41D1-A64C-0A021FB3EA5D}">
          <x14:formula1>
            <xm:f>'Calculation Sheet - BOM '!$AB$3:$AB$4</xm:f>
          </x14:formula1>
          <xm:sqref>C14 C31 C47 C64 C81 C98</xm:sqref>
        </x14:dataValidation>
        <x14:dataValidation type="list" allowBlank="1" showInputMessage="1" showErrorMessage="1" xr:uid="{B29F586E-1627-4EF8-AE7D-993174F8A3FC}">
          <x14:formula1>
            <xm:f>'Calculation Sheet - BOM '!$Y$9:$Y$10</xm:f>
          </x14:formula1>
          <xm:sqref>C13 C30 C46 C63 C80 C97</xm:sqref>
        </x14:dataValidation>
        <x14:dataValidation type="list" allowBlank="1" showInputMessage="1" showErrorMessage="1" xr:uid="{8CB6117D-C74E-4022-88ED-000046F39BA7}">
          <x14:formula1>
            <xm:f>Controller!$A$13:$A$21</xm:f>
          </x14:formula1>
          <xm:sqref>C11 C44 C28 C61 C78 C95</xm:sqref>
        </x14:dataValidation>
        <x14:dataValidation type="list" allowBlank="1" showInputMessage="1" showErrorMessage="1" xr:uid="{FD7F073B-CAE3-4CFB-9B4D-AF96E19CE6D4}">
          <x14:formula1>
            <xm:f>_xlfn.ANCHORARRAY('Door Table'!$G$3)</xm:f>
          </x14:formula1>
          <xm:sqref>G15</xm:sqref>
        </x14:dataValidation>
        <x14:dataValidation type="list" allowBlank="1" showInputMessage="1" showErrorMessage="1" xr:uid="{9DB77EEF-E55C-4603-B4E1-5FCA9EBEF463}">
          <x14:formula1>
            <xm:f>_xlfn.ANCHORARRAY('Door Table'!$F$3)</xm:f>
          </x14:formula1>
          <xm:sqref>G14</xm:sqref>
        </x14:dataValidation>
        <x14:dataValidation type="list" allowBlank="1" showInputMessage="1" showErrorMessage="1" xr:uid="{197448A9-AD27-4C68-9A5E-0A0FCC8307B5}">
          <x14:formula1>
            <xm:f>_xlfn.ANCHORARRAY('Door Table'!$D$3)</xm:f>
          </x14:formula1>
          <xm:sqref>G12</xm:sqref>
        </x14:dataValidation>
        <x14:dataValidation type="list" allowBlank="1" showInputMessage="1" showErrorMessage="1" xr:uid="{8EB1D0EA-EDF9-44EA-A8FC-4C8ED9899F4B}">
          <x14:formula1>
            <xm:f>_xlfn.ANCHORARRAY('Door Table'!$E$3)</xm:f>
          </x14:formula1>
          <xm:sqref>G13</xm:sqref>
        </x14:dataValidation>
        <x14:dataValidation type="list" allowBlank="1" showInputMessage="1" showErrorMessage="1" xr:uid="{A1BA5C04-E186-455C-8CFE-596FA0C9326B}">
          <x14:formula1>
            <xm:f>'Door Table'!$C$163:$C$165</xm:f>
          </x14:formula1>
          <xm:sqref>G52 G69 G103 G86</xm:sqref>
        </x14:dataValidation>
        <x14:dataValidation type="list" allowBlank="1" showInputMessage="1" showErrorMessage="1" xr:uid="{C2E8393C-4243-4A5A-8DF9-643CDB15A695}">
          <x14:formula1>
            <xm:f>_xlfn.ANCHORARRAY('Door Table'!$G$25)</xm:f>
          </x14:formula1>
          <xm:sqref>G32</xm:sqref>
        </x14:dataValidation>
        <x14:dataValidation type="list" allowBlank="1" showInputMessage="1" showErrorMessage="1" xr:uid="{C452E842-4118-4625-8727-B8486DAFA11D}">
          <x14:formula1>
            <xm:f>_xlfn.ANCHORARRAY('Door Table'!$F$25)</xm:f>
          </x14:formula1>
          <xm:sqref>G31</xm:sqref>
        </x14:dataValidation>
        <x14:dataValidation type="list" allowBlank="1" showInputMessage="1" showErrorMessage="1" xr:uid="{10390E70-A62D-405F-9DEA-B481A477ADF7}">
          <x14:formula1>
            <xm:f>_xlfn.ANCHORARRAY('Door Table'!$E$25)</xm:f>
          </x14:formula1>
          <xm:sqref>G30</xm:sqref>
        </x14:dataValidation>
        <x14:dataValidation type="list" allowBlank="1" showInputMessage="1" showErrorMessage="1" xr:uid="{0F063BFA-FD44-4E14-842E-016087586929}">
          <x14:formula1>
            <xm:f>_xlfn.ANCHORARRAY('Door Table'!$D$25)</xm:f>
          </x14:formula1>
          <xm:sqref>G29</xm:sqref>
        </x14:dataValidation>
        <x14:dataValidation type="list" allowBlank="1" showInputMessage="1" showErrorMessage="1" xr:uid="{40A73A5A-5301-468D-9718-445439D1FE88}">
          <x14:formula1>
            <xm:f>_xlfn.ANCHORARRAY('Door Table'!$I$25)</xm:f>
          </x14:formula1>
          <xm:sqref>G33</xm:sqref>
        </x14:dataValidation>
        <x14:dataValidation type="list" allowBlank="1" showInputMessage="1" showErrorMessage="1" xr:uid="{6E2D1F8F-25B4-43D4-8EDF-0EA52643BA41}">
          <x14:formula1>
            <xm:f>_xlfn.ANCHORARRAY('Door Table'!$G$46)</xm:f>
          </x14:formula1>
          <xm:sqref>G48 G65 G82 G99</xm:sqref>
        </x14:dataValidation>
        <x14:dataValidation type="list" allowBlank="1" showInputMessage="1" showErrorMessage="1" xr:uid="{531521BF-FDD2-4A2E-973E-06D9CCE6AF09}">
          <x14:formula1>
            <xm:f>_xlfn.ANCHORARRAY('Door Table'!$F$46)</xm:f>
          </x14:formula1>
          <xm:sqref>G47 G64 G81 G98</xm:sqref>
        </x14:dataValidation>
        <x14:dataValidation type="list" allowBlank="1" showInputMessage="1" showErrorMessage="1" xr:uid="{5DE3C70D-88D0-421B-A8B6-AE320AF0FD3F}">
          <x14:formula1>
            <xm:f>_xlfn.ANCHORARRAY('Door Table'!$E$46)</xm:f>
          </x14:formula1>
          <xm:sqref>G46 G63 G80 G97</xm:sqref>
        </x14:dataValidation>
        <x14:dataValidation type="list" allowBlank="1" showInputMessage="1" showErrorMessage="1" xr:uid="{E5528B21-0731-496A-82AD-F16C6003053A}">
          <x14:formula1>
            <xm:f>_xlfn.ANCHORARRAY('Door Table'!$D$46)</xm:f>
          </x14:formula1>
          <xm:sqref>G45 G62 G79 G96</xm:sqref>
        </x14:dataValidation>
        <x14:dataValidation type="list" allowBlank="1" showInputMessage="1" showErrorMessage="1" xr:uid="{DA994C0D-91DD-49BB-AC1C-4FC96807E083}">
          <x14:formula1>
            <xm:f>_xlfn.ANCHORARRAY('Door Table'!$I$46)</xm:f>
          </x14:formula1>
          <xm:sqref>G49 G66 G83 G100</xm:sqref>
        </x14:dataValidation>
        <x14:dataValidation type="list" allowBlank="1" showInputMessage="1" showErrorMessage="1" xr:uid="{01784F1F-C78B-4796-A912-C0FFA94E7E44}">
          <x14:formula1>
            <xm:f>'Door Table'!$E$182:$E$185</xm:f>
          </x14:formula1>
          <xm:sqref>G53 G70 G20 G37 G87 G104</xm:sqref>
        </x14:dataValidation>
        <x14:dataValidation type="list" allowBlank="1" showInputMessage="1" showErrorMessage="1" xr:uid="{D3E3DAD2-BC43-4BAB-8A40-D46D39D9C2B2}">
          <x14:formula1>
            <xm:f>'Calculation Sheet - BOM '!$W$10:$W$11</xm:f>
          </x14:formula1>
          <xm:sqref>C12 C29 C45 C62 C79 C96</xm:sqref>
        </x14:dataValidation>
        <x14:dataValidation type="list" allowBlank="1" showInputMessage="1" showErrorMessage="1" xr:uid="{1AA916B2-2CB7-41EC-A31E-2CBE2A20739E}">
          <x14:formula1>
            <xm:f>'Calculation Sheet - BOM '!$AD$3:$AD$4</xm:f>
          </x14:formula1>
          <xm:sqref>E11 E28 E44 E61 E78 E95</xm:sqref>
        </x14:dataValidation>
        <x14:dataValidation type="list" allowBlank="1" showInputMessage="1" showErrorMessage="1" xr:uid="{2DEBBD68-EC54-46CA-ADA9-20DD90B17CAB}">
          <x14:formula1>
            <xm:f>'Calculation Sheet - BOM '!$AE$3:$AE$4</xm:f>
          </x14:formula1>
          <xm:sqref>E12 E29 E45 E62 E79 E96</xm:sqref>
        </x14:dataValidation>
        <x14:dataValidation type="list" allowBlank="1" showInputMessage="1" showErrorMessage="1" xr:uid="{3439BB93-0208-446B-AE9D-4F80FFA78D4E}">
          <x14:formula1>
            <xm:f>'Calculation Sheet - BOM '!$AF$3:$AF$4</xm:f>
          </x14:formula1>
          <xm:sqref>G19 G36</xm:sqref>
        </x14:dataValidation>
        <x14:dataValidation type="list" allowBlank="1" showInputMessage="1" showErrorMessage="1" xr:uid="{76CDD2DB-0DB8-4D6D-B844-4359E84DEB8F}">
          <x14:formula1>
            <xm:f>_xlfn.ANCHORARRAY('Door Table'!$I$3)</xm:f>
          </x14:formula1>
          <xm:sqref>G16</xm:sqref>
        </x14:dataValidation>
        <x14:dataValidation type="list" allowBlank="1" showInputMessage="1" showErrorMessage="1" xr:uid="{F64BB6CC-8A53-4319-8E8D-1863BE9F1B58}">
          <x14:formula1>
            <xm:f>'Calculation Sheet - BOM '!$AJ$3:$AJ$4</xm:f>
          </x14:formula1>
          <xm:sqref>G17 G101 G84 G67 G50 G34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79C7E-4B99-4E2A-A886-D1FB336E7135}">
  <sheetPr codeName="Sheet12">
    <tabColor rgb="FF92D050"/>
  </sheetPr>
  <dimension ref="A1:Y149"/>
  <sheetViews>
    <sheetView showGridLines="0" topLeftCell="A65" zoomScale="130" zoomScaleNormal="130" workbookViewId="0">
      <selection activeCell="E83" sqref="E83"/>
    </sheetView>
  </sheetViews>
  <sheetFormatPr defaultColWidth="8.58203125" defaultRowHeight="13" x14ac:dyDescent="0.35"/>
  <cols>
    <col min="1" max="2" width="12.33203125" style="263" customWidth="1"/>
    <col min="3" max="3" width="33.08203125" style="246" bestFit="1" customWidth="1"/>
    <col min="4" max="4" width="38.08203125" style="264" bestFit="1" customWidth="1"/>
    <col min="5" max="5" width="13.83203125" style="246" customWidth="1"/>
    <col min="6" max="6" width="15.33203125" style="246" customWidth="1"/>
    <col min="7" max="7" width="12.25" style="246" customWidth="1"/>
    <col min="8" max="8" width="30.08203125" style="247" bestFit="1" customWidth="1"/>
    <col min="9" max="9" width="32.58203125" style="247" bestFit="1" customWidth="1"/>
    <col min="10" max="10" width="12.08203125" style="246" customWidth="1"/>
    <col min="11" max="11" width="13.33203125" style="246" customWidth="1"/>
    <col min="12" max="12" width="3.58203125" style="246" customWidth="1"/>
    <col min="13" max="13" width="38.25" style="246" bestFit="1" customWidth="1"/>
    <col min="14" max="14" width="38.08203125" style="246" bestFit="1" customWidth="1"/>
    <col min="15" max="15" width="11.75" style="246" customWidth="1"/>
    <col min="16" max="16" width="15" style="246" customWidth="1"/>
    <col min="17" max="18" width="8.58203125" style="246"/>
    <col min="19" max="19" width="29.33203125" style="246" bestFit="1" customWidth="1"/>
    <col min="20" max="20" width="20.5" style="246" bestFit="1" customWidth="1"/>
    <col min="21" max="23" width="8.58203125" style="246"/>
    <col min="24" max="24" width="20.25" style="246" bestFit="1" customWidth="1"/>
    <col min="25" max="25" width="5.58203125" style="246" bestFit="1" customWidth="1"/>
    <col min="26" max="16384" width="8.58203125" style="246"/>
  </cols>
  <sheetData>
    <row r="1" spans="1:25" hidden="1" x14ac:dyDescent="0.35"/>
    <row r="2" spans="1:25" ht="15.65" hidden="1" customHeight="1" x14ac:dyDescent="0.35">
      <c r="A2" s="795" t="s">
        <v>28</v>
      </c>
      <c r="B2" s="796"/>
      <c r="C2" s="244" t="s">
        <v>29</v>
      </c>
      <c r="D2" s="245"/>
      <c r="E2" s="244" t="s">
        <v>31</v>
      </c>
      <c r="F2" s="245"/>
      <c r="J2" s="247"/>
      <c r="K2" s="247"/>
    </row>
    <row r="3" spans="1:25" ht="15.65" hidden="1" customHeight="1" x14ac:dyDescent="0.3">
      <c r="A3" s="797"/>
      <c r="B3" s="798"/>
      <c r="C3" s="248" t="s">
        <v>30</v>
      </c>
      <c r="D3" s="249"/>
      <c r="L3" s="250"/>
      <c r="S3" s="821" t="s">
        <v>90</v>
      </c>
      <c r="T3" s="821"/>
      <c r="X3" s="822" t="s">
        <v>91</v>
      </c>
      <c r="Y3" s="822"/>
    </row>
    <row r="4" spans="1:25" hidden="1" x14ac:dyDescent="0.3">
      <c r="A4" s="797"/>
      <c r="B4" s="798"/>
      <c r="C4" s="251"/>
      <c r="D4" s="251"/>
      <c r="E4" s="251"/>
      <c r="F4" s="322"/>
      <c r="G4" s="278"/>
      <c r="H4" s="323"/>
      <c r="I4" s="251"/>
      <c r="J4" s="251"/>
      <c r="L4" s="250"/>
      <c r="S4" s="232" t="s">
        <v>92</v>
      </c>
      <c r="T4" s="233" t="s">
        <v>93</v>
      </c>
      <c r="X4" s="240" t="s">
        <v>94</v>
      </c>
      <c r="Y4" s="252">
        <f>+F43</f>
        <v>246.35291893333334</v>
      </c>
    </row>
    <row r="5" spans="1:25" hidden="1" x14ac:dyDescent="0.3">
      <c r="A5" s="797"/>
      <c r="B5" s="798"/>
      <c r="C5" s="823" t="s">
        <v>33</v>
      </c>
      <c r="D5" s="824"/>
      <c r="E5" s="253"/>
      <c r="F5" s="829" t="s">
        <v>95</v>
      </c>
      <c r="G5" s="829"/>
      <c r="H5" s="829"/>
      <c r="I5" s="254" t="s">
        <v>96</v>
      </c>
      <c r="J5" s="255" t="s">
        <v>97</v>
      </c>
      <c r="L5" s="250"/>
      <c r="S5" s="232" t="s">
        <v>98</v>
      </c>
      <c r="T5" s="234" t="str">
        <f>IF(NOT(OR(ISBLANK(#REF!),ISBLANK(J5),ISBLANK(#REF!))),"Yes","No")</f>
        <v>Yes</v>
      </c>
      <c r="X5" s="240" t="s">
        <v>99</v>
      </c>
      <c r="Y5" s="256" t="e">
        <f>+IF(#REF!&gt;0,"Internal Labor",IF(#REF!&gt;0,"Sub-contractor","Please use appropriate labor"))</f>
        <v>#REF!</v>
      </c>
    </row>
    <row r="6" spans="1:25" ht="16" hidden="1" x14ac:dyDescent="0.3">
      <c r="A6" s="797"/>
      <c r="B6" s="798"/>
      <c r="C6" s="825" t="s">
        <v>34</v>
      </c>
      <c r="D6" s="50"/>
      <c r="E6" s="828" t="s">
        <v>34</v>
      </c>
      <c r="F6" s="818"/>
      <c r="G6" s="818"/>
      <c r="H6" s="818"/>
      <c r="I6" s="257" t="s">
        <v>100</v>
      </c>
      <c r="J6" s="258"/>
      <c r="L6" s="250"/>
      <c r="S6" s="232" t="s">
        <v>101</v>
      </c>
      <c r="T6" s="234" t="str">
        <f>IF(NOT(OR(ISBLANK($D$10),ISBLANK($D$11),ISBLANK($D$6),ISBLANK($D$8),ISBLANK($D$9))),"Yes","No")</f>
        <v>No</v>
      </c>
      <c r="X6" s="259" t="s">
        <v>102</v>
      </c>
      <c r="Y6" s="252" t="e">
        <f>+#REF!</f>
        <v>#REF!</v>
      </c>
    </row>
    <row r="7" spans="1:25" ht="26" hidden="1" x14ac:dyDescent="0.3">
      <c r="A7" s="797"/>
      <c r="B7" s="798"/>
      <c r="C7" s="826"/>
      <c r="D7" s="50"/>
      <c r="E7" s="828"/>
      <c r="F7" s="818"/>
      <c r="G7" s="818"/>
      <c r="H7" s="818"/>
      <c r="L7" s="250"/>
      <c r="S7" s="235" t="s">
        <v>103</v>
      </c>
      <c r="T7" s="234" t="str">
        <f t="shared" ref="T7:T11" si="0">IF(NOT(OR(ISBLANK($D$10),ISBLANK($D$11),ISBLANK($D$6),ISBLANK($D$8),ISBLANK($D$9))),"Yes","No")</f>
        <v>No</v>
      </c>
      <c r="X7" s="259" t="s">
        <v>102</v>
      </c>
      <c r="Y7" s="252" t="e">
        <f>+#REF!</f>
        <v>#REF!</v>
      </c>
    </row>
    <row r="8" spans="1:25" ht="16" hidden="1" x14ac:dyDescent="0.3">
      <c r="A8" s="797"/>
      <c r="B8" s="798"/>
      <c r="C8" s="827"/>
      <c r="D8" s="50"/>
      <c r="E8" s="828"/>
      <c r="F8" s="818"/>
      <c r="G8" s="818"/>
      <c r="H8" s="818"/>
      <c r="L8" s="250"/>
      <c r="S8" s="235" t="s">
        <v>104</v>
      </c>
      <c r="T8" s="234" t="str">
        <f t="shared" si="0"/>
        <v>No</v>
      </c>
      <c r="X8" s="259" t="s">
        <v>102</v>
      </c>
      <c r="Y8" s="252" t="e">
        <f>+#REF!</f>
        <v>#REF!</v>
      </c>
    </row>
    <row r="9" spans="1:25" ht="16" hidden="1" x14ac:dyDescent="0.3">
      <c r="A9" s="797"/>
      <c r="B9" s="798"/>
      <c r="C9" s="7" t="s">
        <v>105</v>
      </c>
      <c r="D9" s="50"/>
      <c r="E9" s="8" t="s">
        <v>105</v>
      </c>
      <c r="F9" s="818"/>
      <c r="G9" s="818"/>
      <c r="H9" s="818"/>
      <c r="L9" s="250"/>
      <c r="S9" s="236" t="s">
        <v>106</v>
      </c>
      <c r="T9" s="234" t="str">
        <f>IF(NOT(OR(ISBLANK($D$32),ISBLANK($D$33),ISBLANK($D$34),ISBLANK($D$30),ISBLANK(D35),ISBLANK(D36),ISBLANK(D38),ISBLANK(D37),ISBLANK($D$31))),"Yes","No")</f>
        <v>Yes</v>
      </c>
      <c r="X9" s="259" t="s">
        <v>102</v>
      </c>
      <c r="Y9" s="260" t="e">
        <f>+SUM(#REF!)</f>
        <v>#REF!</v>
      </c>
    </row>
    <row r="10" spans="1:25" ht="16" hidden="1" x14ac:dyDescent="0.3">
      <c r="A10" s="797"/>
      <c r="B10" s="798"/>
      <c r="C10" s="7" t="s">
        <v>7</v>
      </c>
      <c r="D10" s="261"/>
      <c r="E10" s="8" t="s">
        <v>7</v>
      </c>
      <c r="F10" s="819"/>
      <c r="G10" s="819"/>
      <c r="H10" s="819"/>
      <c r="L10" s="250"/>
      <c r="S10" s="232" t="s">
        <v>107</v>
      </c>
      <c r="T10" s="234" t="str">
        <f t="shared" si="0"/>
        <v>No</v>
      </c>
      <c r="X10" s="262"/>
      <c r="Y10" s="262"/>
    </row>
    <row r="11" spans="1:25" ht="16" hidden="1" x14ac:dyDescent="0.3">
      <c r="A11" s="799"/>
      <c r="B11" s="800"/>
      <c r="C11" s="7" t="s">
        <v>9</v>
      </c>
      <c r="D11" s="50"/>
      <c r="E11" s="8" t="s">
        <v>9</v>
      </c>
      <c r="F11" s="818"/>
      <c r="G11" s="818"/>
      <c r="H11" s="818"/>
      <c r="L11" s="250"/>
      <c r="S11" s="232" t="s">
        <v>108</v>
      </c>
      <c r="T11" s="234" t="str">
        <f t="shared" si="0"/>
        <v>No</v>
      </c>
      <c r="X11" s="262"/>
      <c r="Y11" s="262"/>
    </row>
    <row r="12" spans="1:25" hidden="1" x14ac:dyDescent="0.3">
      <c r="G12" s="247"/>
      <c r="L12" s="250"/>
      <c r="S12" s="237" t="s">
        <v>109</v>
      </c>
      <c r="T12" s="234"/>
      <c r="X12" s="240" t="s">
        <v>110</v>
      </c>
      <c r="Y12" s="252" t="e">
        <f>+#REF!</f>
        <v>#REF!</v>
      </c>
    </row>
    <row r="13" spans="1:25" hidden="1" x14ac:dyDescent="0.3">
      <c r="C13" s="265" t="s">
        <v>111</v>
      </c>
      <c r="D13" s="266"/>
      <c r="L13" s="250"/>
      <c r="S13" s="238" t="s">
        <v>112</v>
      </c>
      <c r="T13" s="239" t="e">
        <f>+(COUNTIF(T5,"Yes")+COUNTIF(T6,"Yes")+COUNTIF(T7,"Yes")+COUNTIF(T8,"Yes")+COUNTIF(T9,"Yes")+COUNTIF(T10,"Yes")+COUNTIF(#REF!,"Yes")+COUNTIF(#REF!,"Yes")+COUNTIF(#REF!,"Yes")+COUNTIF(#REF!,"Yes")+COUNTIF(#REF!,"Yes")+COUNTIF(T12,"Yes"))/(COUNT(S5:S10)+COUNT(S12:S12))</f>
        <v>#REF!</v>
      </c>
      <c r="X13" s="240" t="s">
        <v>113</v>
      </c>
      <c r="Y13" s="260" t="e">
        <f>+IF(AND(T10="Yes",#REF!="Yes"),"Yes Mark-up Captured","No")</f>
        <v>#REF!</v>
      </c>
    </row>
    <row r="14" spans="1:25" hidden="1" x14ac:dyDescent="0.3">
      <c r="C14" s="267" t="s">
        <v>114</v>
      </c>
      <c r="D14" s="268"/>
      <c r="L14" s="250"/>
      <c r="M14" s="250"/>
      <c r="N14" s="269"/>
    </row>
    <row r="15" spans="1:25" ht="15.65" hidden="1" customHeight="1" x14ac:dyDescent="0.3">
      <c r="A15" s="812" t="s">
        <v>115</v>
      </c>
      <c r="B15" s="813"/>
      <c r="C15" s="270" t="s">
        <v>116</v>
      </c>
      <c r="D15" s="801"/>
      <c r="E15" s="801"/>
      <c r="F15" s="801"/>
      <c r="G15" s="313" t="s">
        <v>117</v>
      </c>
      <c r="H15" s="271"/>
      <c r="L15" s="250"/>
      <c r="M15" s="250"/>
      <c r="N15" s="269"/>
    </row>
    <row r="16" spans="1:25" hidden="1" x14ac:dyDescent="0.3">
      <c r="A16" s="814"/>
      <c r="B16" s="815"/>
      <c r="C16" s="802"/>
      <c r="D16" s="803"/>
      <c r="E16" s="803"/>
      <c r="F16" s="804"/>
      <c r="G16" s="802"/>
      <c r="H16" s="804"/>
      <c r="L16" s="250"/>
    </row>
    <row r="17" spans="1:13" hidden="1" x14ac:dyDescent="0.35">
      <c r="A17" s="814"/>
      <c r="B17" s="815"/>
      <c r="C17" s="805"/>
      <c r="D17" s="806"/>
      <c r="E17" s="806"/>
      <c r="F17" s="807"/>
      <c r="G17" s="805"/>
      <c r="H17" s="807"/>
    </row>
    <row r="18" spans="1:13" hidden="1" x14ac:dyDescent="0.35">
      <c r="A18" s="814"/>
      <c r="B18" s="815"/>
      <c r="C18" s="805"/>
      <c r="D18" s="806"/>
      <c r="E18" s="806"/>
      <c r="F18" s="807"/>
      <c r="G18" s="805"/>
      <c r="H18" s="807"/>
    </row>
    <row r="19" spans="1:13" hidden="1" x14ac:dyDescent="0.35">
      <c r="A19" s="814"/>
      <c r="B19" s="815"/>
      <c r="C19" s="805"/>
      <c r="D19" s="806"/>
      <c r="E19" s="806"/>
      <c r="F19" s="807"/>
      <c r="G19" s="805"/>
      <c r="H19" s="807"/>
    </row>
    <row r="20" spans="1:13" hidden="1" x14ac:dyDescent="0.35">
      <c r="A20" s="814"/>
      <c r="B20" s="815"/>
      <c r="C20" s="805"/>
      <c r="D20" s="806"/>
      <c r="E20" s="806"/>
      <c r="F20" s="807"/>
      <c r="G20" s="805"/>
      <c r="H20" s="807"/>
    </row>
    <row r="21" spans="1:13" hidden="1" x14ac:dyDescent="0.35">
      <c r="A21" s="814"/>
      <c r="B21" s="815"/>
      <c r="C21" s="805"/>
      <c r="D21" s="806"/>
      <c r="E21" s="806"/>
      <c r="F21" s="807"/>
      <c r="G21" s="805"/>
      <c r="H21" s="807"/>
    </row>
    <row r="22" spans="1:13" hidden="1" x14ac:dyDescent="0.35">
      <c r="A22" s="814"/>
      <c r="B22" s="815"/>
      <c r="C22" s="805"/>
      <c r="D22" s="806"/>
      <c r="E22" s="806"/>
      <c r="F22" s="807"/>
      <c r="G22" s="805"/>
      <c r="H22" s="807"/>
      <c r="J22" s="247"/>
      <c r="K22" s="247"/>
    </row>
    <row r="23" spans="1:13" hidden="1" x14ac:dyDescent="0.35">
      <c r="A23" s="814"/>
      <c r="B23" s="815"/>
      <c r="C23" s="805"/>
      <c r="D23" s="806"/>
      <c r="E23" s="806"/>
      <c r="F23" s="807"/>
      <c r="G23" s="805"/>
      <c r="H23" s="807"/>
      <c r="J23" s="247"/>
      <c r="K23" s="247"/>
    </row>
    <row r="24" spans="1:13" hidden="1" x14ac:dyDescent="0.35">
      <c r="A24" s="814"/>
      <c r="B24" s="815"/>
      <c r="C24" s="805"/>
      <c r="D24" s="806"/>
      <c r="E24" s="806"/>
      <c r="F24" s="807"/>
      <c r="G24" s="805"/>
      <c r="H24" s="807"/>
      <c r="J24" s="247"/>
      <c r="K24" s="247"/>
      <c r="M24" s="274"/>
    </row>
    <row r="25" spans="1:13" hidden="1" x14ac:dyDescent="0.35">
      <c r="A25" s="814"/>
      <c r="B25" s="815"/>
      <c r="C25" s="805"/>
      <c r="D25" s="806"/>
      <c r="E25" s="806"/>
      <c r="F25" s="807"/>
      <c r="G25" s="805"/>
      <c r="H25" s="807"/>
    </row>
    <row r="26" spans="1:13" hidden="1" x14ac:dyDescent="0.35">
      <c r="A26" s="816"/>
      <c r="B26" s="817"/>
      <c r="C26" s="808"/>
      <c r="D26" s="775"/>
      <c r="E26" s="775"/>
      <c r="F26" s="809"/>
      <c r="G26" s="808"/>
      <c r="H26" s="809"/>
    </row>
    <row r="27" spans="1:13" hidden="1" x14ac:dyDescent="0.35">
      <c r="A27" s="275"/>
      <c r="B27" s="275"/>
      <c r="C27" s="276"/>
      <c r="D27" s="277"/>
      <c r="E27" s="278"/>
      <c r="F27" s="278"/>
      <c r="G27" s="278"/>
      <c r="H27" s="278"/>
    </row>
    <row r="28" spans="1:13" x14ac:dyDescent="0.35">
      <c r="A28" s="275"/>
      <c r="B28" s="275"/>
      <c r="C28" s="247"/>
      <c r="D28" s="247"/>
      <c r="E28" s="247"/>
      <c r="F28" s="247"/>
      <c r="G28" s="247"/>
    </row>
    <row r="29" spans="1:13" x14ac:dyDescent="0.35">
      <c r="A29" s="275"/>
      <c r="B29" s="275"/>
      <c r="C29" s="820" t="str">
        <f>+CONCATENATE("DOOR 1 - ",D30)</f>
        <v>DOOR 1 - Overlap Doors - Swing door</v>
      </c>
      <c r="D29" s="820"/>
      <c r="E29" s="820"/>
      <c r="F29" s="820"/>
      <c r="J29" s="767" t="s">
        <v>118</v>
      </c>
      <c r="K29" s="767"/>
    </row>
    <row r="30" spans="1:13" x14ac:dyDescent="0.35">
      <c r="A30" s="784" t="s">
        <v>119</v>
      </c>
      <c r="B30" s="785"/>
      <c r="C30" s="279" t="s">
        <v>37</v>
      </c>
      <c r="D30" s="280" t="str">
        <f>+'Doors - Step 1'!$C11</f>
        <v>Overlap Doors - Swing door</v>
      </c>
      <c r="J30" s="285" t="s">
        <v>120</v>
      </c>
      <c r="K30" s="5"/>
    </row>
    <row r="31" spans="1:13" x14ac:dyDescent="0.35">
      <c r="A31" s="786"/>
      <c r="B31" s="787"/>
      <c r="C31" s="281" t="s">
        <v>47</v>
      </c>
      <c r="D31" s="280" t="str">
        <f>+'Doors - Step 1'!$C12</f>
        <v>Cooler</v>
      </c>
      <c r="J31" s="285" t="s">
        <v>121</v>
      </c>
      <c r="K31" s="287">
        <f>+K30/'Calculation Sheet - BOM '!$L$2</f>
        <v>0</v>
      </c>
    </row>
    <row r="32" spans="1:13" x14ac:dyDescent="0.35">
      <c r="A32" s="786"/>
      <c r="B32" s="787"/>
      <c r="C32" s="281" t="s">
        <v>52</v>
      </c>
      <c r="D32" s="280" t="str">
        <f>+'Doors - Step 1'!$C13</f>
        <v>Aluminium</v>
      </c>
    </row>
    <row r="33" spans="1:6" x14ac:dyDescent="0.35">
      <c r="A33" s="786"/>
      <c r="B33" s="787"/>
      <c r="C33" s="281" t="s">
        <v>56</v>
      </c>
      <c r="D33" s="280" t="str">
        <f>+'Doors - Step 1'!$C14</f>
        <v>Manual</v>
      </c>
      <c r="E33" s="748" t="str">
        <f>+IF(D33="Motorized","Please specify the voltage in Freezer Door in D45","")</f>
        <v/>
      </c>
      <c r="F33" s="749"/>
    </row>
    <row r="34" spans="1:6" x14ac:dyDescent="0.35">
      <c r="A34" s="786"/>
      <c r="B34" s="787"/>
      <c r="C34" s="283" t="s">
        <v>59</v>
      </c>
      <c r="D34" s="333">
        <f>+'Doors - Step 1'!$C15</f>
        <v>34</v>
      </c>
      <c r="E34" s="727" t="str">
        <f>+IF(D30="Polyfoam Overlap Doors - Swing Door",IF(D34&gt;72,"Length can't be greater than 72 inches",""),"")</f>
        <v/>
      </c>
      <c r="F34" s="728"/>
    </row>
    <row r="35" spans="1:6" x14ac:dyDescent="0.35">
      <c r="A35" s="786"/>
      <c r="B35" s="787"/>
      <c r="C35" s="283" t="s">
        <v>61</v>
      </c>
      <c r="D35" s="333">
        <f>+'Doors - Step 1'!$C16</f>
        <v>65</v>
      </c>
      <c r="E35" s="727" t="str">
        <f>+IF(D30="Polyfoam Overlap Doors - Swing Door",IF(D35&gt;84,"Height can't be greater than 84 inches",""),"")</f>
        <v/>
      </c>
      <c r="F35" s="728"/>
    </row>
    <row r="36" spans="1:6" x14ac:dyDescent="0.35">
      <c r="A36" s="786"/>
      <c r="B36" s="787"/>
      <c r="C36" s="283" t="s">
        <v>64</v>
      </c>
      <c r="D36" s="333">
        <f>+'Doors - Step 1'!$C17</f>
        <v>4</v>
      </c>
    </row>
    <row r="37" spans="1:6" x14ac:dyDescent="0.35">
      <c r="A37" s="786"/>
      <c r="B37" s="787"/>
      <c r="C37" s="283" t="s">
        <v>67</v>
      </c>
      <c r="D37" s="333">
        <f>+'Doors - Step 1'!$C18</f>
        <v>4</v>
      </c>
    </row>
    <row r="38" spans="1:6" x14ac:dyDescent="0.35">
      <c r="A38" s="788"/>
      <c r="B38" s="789"/>
      <c r="C38" s="284" t="s">
        <v>69</v>
      </c>
      <c r="D38" s="333">
        <f>+'Doors - Step 1'!$C19</f>
        <v>1</v>
      </c>
    </row>
    <row r="39" spans="1:6" x14ac:dyDescent="0.35">
      <c r="A39" s="246"/>
      <c r="B39" s="246"/>
      <c r="D39" s="286"/>
    </row>
    <row r="40" spans="1:6" x14ac:dyDescent="0.35">
      <c r="A40" s="246"/>
      <c r="B40" s="775"/>
      <c r="C40" s="775"/>
      <c r="D40" s="775"/>
      <c r="E40" s="775"/>
      <c r="F40" s="775"/>
    </row>
    <row r="41" spans="1:6" ht="42" customHeight="1" x14ac:dyDescent="0.35">
      <c r="A41" s="811" t="s">
        <v>122</v>
      </c>
      <c r="B41" s="288" t="s">
        <v>123</v>
      </c>
      <c r="C41" s="273" t="s">
        <v>41</v>
      </c>
      <c r="D41" s="273"/>
      <c r="E41" s="272" t="s">
        <v>43</v>
      </c>
      <c r="F41" s="289" t="s">
        <v>124</v>
      </c>
    </row>
    <row r="42" spans="1:6" ht="15.65" customHeight="1" x14ac:dyDescent="0.35">
      <c r="A42" s="811"/>
      <c r="B42" s="290" t="str">
        <f>_xlfn.IFNA(IF(ISBLANK(C42),"",INDEX(Controller!F:F,MATCH(CONCATENATE('Door Table'!$A$3,'Door - Step 2'!$C42),Controller!$G:$G,0))),"Not Required")</f>
        <v>Main</v>
      </c>
      <c r="C42" s="291" t="s">
        <v>50</v>
      </c>
      <c r="D42" s="292" t="str">
        <f>+'Doors - Step 1'!$G12</f>
        <v>26 Ga. White - Stucco Embossed Finish</v>
      </c>
      <c r="E42" s="282"/>
      <c r="F42" s="293">
        <f>IF(ISBLANK(D42),"",'Calculation Sheet - BOM '!$L13)</f>
        <v>93.598096392299183</v>
      </c>
    </row>
    <row r="43" spans="1:6" x14ac:dyDescent="0.35">
      <c r="A43" s="811"/>
      <c r="B43" s="290" t="str">
        <f>_xlfn.IFNA(IF(ISBLANK(C43),"",INDEX(Controller!F:F,MATCH(CONCATENATE('Door Table'!$A$3,'Door - Step 2'!$C43),Controller!$G:$G,0))),"Not Required")</f>
        <v>Main</v>
      </c>
      <c r="C43" s="291" t="s">
        <v>54</v>
      </c>
      <c r="D43" s="292" t="str">
        <f>+'Doors - Step 1'!$G13</f>
        <v>Aluminium Frame - Standard</v>
      </c>
      <c r="E43" s="282"/>
      <c r="F43" s="293">
        <f>IF(ISBLANK(D43),"",'Calculation Sheet - BOM '!$L14)</f>
        <v>246.35291893333334</v>
      </c>
    </row>
    <row r="44" spans="1:6" x14ac:dyDescent="0.35">
      <c r="A44" s="811"/>
      <c r="B44" s="290" t="str">
        <f>_xlfn.IFNA(IF(ISBLANK(C44),"",INDEX(Controller!F:F,MATCH(CONCATENATE('Door Table'!$A$3,'Door - Step 2'!$C44),Controller!$G:$G,0))),"Not Required")</f>
        <v>Option</v>
      </c>
      <c r="C44" s="291" t="s">
        <v>58</v>
      </c>
      <c r="D44" s="292" t="str">
        <f>+'Doors - Step 1'!$G14</f>
        <v>Aluminium Frame - Standard</v>
      </c>
      <c r="E44" s="282"/>
      <c r="F44" s="293">
        <f>IF(ISBLANK(D44),"",'Calculation Sheet - BOM '!$L15)</f>
        <v>55.495708463116728</v>
      </c>
    </row>
    <row r="45" spans="1:6" x14ac:dyDescent="0.35">
      <c r="A45" s="811"/>
      <c r="B45" s="290" t="str">
        <f>_xlfn.IFNA(IF(ISBLANK(C45),"",INDEX(Controller!F:F,MATCH(CONCATENATE('Door Table'!$A$3,'Door - Step 2'!$C45),Controller!$G:$G,0))),"Not Required")</f>
        <v>Option</v>
      </c>
      <c r="C45" s="291" t="s">
        <v>60</v>
      </c>
      <c r="D45" s="292" t="str">
        <f>+'Doors - Step 1'!$G15</f>
        <v>Aluminium Frame - Standard</v>
      </c>
      <c r="E45" s="282"/>
      <c r="F45" s="293">
        <f>IF(ISBLANK(D45),"",'Calculation Sheet - BOM '!$L16)</f>
        <v>72.393428003226433</v>
      </c>
    </row>
    <row r="46" spans="1:6" x14ac:dyDescent="0.35">
      <c r="A46" s="811"/>
      <c r="B46" s="290" t="str">
        <f>_xlfn.IFNA(IF(ISBLANK(C46),"",INDEX(Controller!F:F,MATCH(CONCATENATE('Door Table'!$A$3,'Door - Step 2'!$C46),Controller!$G:$G,0))),"Not Required")</f>
        <v>Option</v>
      </c>
      <c r="C46" s="291" t="s">
        <v>125</v>
      </c>
      <c r="D46" s="292">
        <f>+'Doors - Step 1'!$G16</f>
        <v>0</v>
      </c>
      <c r="E46" s="282"/>
      <c r="F46" s="293">
        <f>IF(ISBLANK(D46),"",'Calculation Sheet - BOM '!$L17)</f>
        <v>0</v>
      </c>
    </row>
    <row r="47" spans="1:6" x14ac:dyDescent="0.35">
      <c r="A47" s="811"/>
      <c r="B47" s="290" t="str">
        <f>_xlfn.IFNA(IF(ISBLANK(C47),"",INDEX(Controller!F:F,MATCH(CONCATENATE('Door Table'!$A$3,'Door - Step 2'!$C47),Controller!$G:$G,0))),"Not Required")</f>
        <v>Option</v>
      </c>
      <c r="C47" s="291" t="s">
        <v>126</v>
      </c>
      <c r="D47" s="292" t="s">
        <v>522</v>
      </c>
      <c r="E47" s="282"/>
      <c r="F47" s="810">
        <f>IF(ISBLANK(D47),"",'Calculation Sheet - BOM '!$L18)</f>
        <v>47.120821349904631</v>
      </c>
    </row>
    <row r="48" spans="1:6" x14ac:dyDescent="0.35">
      <c r="A48" s="811"/>
      <c r="B48" s="290" t="str">
        <f>_xlfn.IFNA(IF(ISBLANK(C48),"",INDEX(Controller!F:F,MATCH(CONCATENATE('Door Table'!$A$3,'Door - Step 2'!$C48),Controller!$G:$G,0))),"Not Required")</f>
        <v>Option</v>
      </c>
      <c r="C48" s="294" t="s">
        <v>127</v>
      </c>
      <c r="D48" s="292" t="s">
        <v>303</v>
      </c>
      <c r="E48" s="282"/>
      <c r="F48" s="810"/>
    </row>
    <row r="49" spans="1:7" x14ac:dyDescent="0.35">
      <c r="A49" s="811"/>
      <c r="B49" s="290" t="str">
        <f>_xlfn.IFNA(IF(ISBLANK(C49),"",INDEX(Controller!F:F,MATCH(CONCATENATE('Door Table'!$A$3,'Door - Step 2'!$C49),Controller!$G:$G,0))),"Not Required")</f>
        <v>Option</v>
      </c>
      <c r="C49" s="294" t="s">
        <v>128</v>
      </c>
      <c r="D49" s="292" t="s">
        <v>304</v>
      </c>
      <c r="E49" s="282"/>
      <c r="F49" s="810"/>
    </row>
    <row r="50" spans="1:7" x14ac:dyDescent="0.35">
      <c r="A50" s="811"/>
      <c r="B50" s="290" t="str">
        <f>_xlfn.IFNA(IF(ISBLANK(C50),"",INDEX(Controller!F:F,MATCH(CONCATENATE('Door Table'!$A$3,'Door - Step 2'!$C50),Controller!$G:$G,0))),"Not Required")</f>
        <v>Option</v>
      </c>
      <c r="C50" s="291" t="s">
        <v>129</v>
      </c>
      <c r="D50" s="292"/>
      <c r="E50" s="282"/>
      <c r="F50" s="776" t="str">
        <f>IF(ISBLANK(D50),"",SUM('Calculation Sheet - BOM '!$L21,'Calculation Sheet - BOM '!$L22))</f>
        <v/>
      </c>
    </row>
    <row r="51" spans="1:7" x14ac:dyDescent="0.35">
      <c r="A51" s="811"/>
      <c r="B51" s="290" t="str">
        <f>_xlfn.IFNA(IF(ISBLANK(C51),"",INDEX(Controller!F:F,MATCH(CONCATENATE('Door Table'!$A$3,'Door - Step 2'!$C51),Controller!$G:$G,0))),"Not Required")</f>
        <v>Option</v>
      </c>
      <c r="C51" s="294" t="s">
        <v>130</v>
      </c>
      <c r="D51" s="292"/>
      <c r="E51" s="282"/>
      <c r="F51" s="777"/>
    </row>
    <row r="52" spans="1:7" x14ac:dyDescent="0.35">
      <c r="A52" s="811"/>
      <c r="B52" s="290" t="str">
        <f>_xlfn.IFNA(IF(ISBLANK(C52),"",INDEX(Controller!F:F,MATCH(CONCATENATE('Door Table'!$A$3,'Door - Step 2'!$C52),Controller!$G:$G,0))),"Not Required")</f>
        <v>Not Required</v>
      </c>
      <c r="C52" s="291" t="s">
        <v>131</v>
      </c>
      <c r="D52" s="292"/>
      <c r="E52" s="282"/>
      <c r="F52" s="293" t="str">
        <f>IF(ISBLANK(D52),"",'Calculation Sheet - BOM '!$L23)</f>
        <v/>
      </c>
    </row>
    <row r="53" spans="1:7" x14ac:dyDescent="0.35">
      <c r="A53" s="811"/>
      <c r="B53" s="290" t="str">
        <f>_xlfn.IFNA(IF(ISBLANK(C53),"",INDEX(Controller!F:F,MATCH(CONCATENATE('Door Table'!$A$3,'Door - Step 2'!$C53),Controller!$G:$G,0))),"Not Required")</f>
        <v>Not Required</v>
      </c>
      <c r="C53" s="295" t="s">
        <v>132</v>
      </c>
      <c r="D53" s="292"/>
      <c r="E53" s="282"/>
      <c r="F53" s="293" t="str">
        <f>IF(ISBLANK(D53),"",'Calculation Sheet - BOM '!$L24)</f>
        <v/>
      </c>
    </row>
    <row r="54" spans="1:7" x14ac:dyDescent="0.35">
      <c r="A54" s="811"/>
      <c r="B54" s="290" t="str">
        <f>IFERROR(IF(ISBLANK(C54),"",INDEX(Controller!F:F,MATCH(CONCATENATE('Door Table'!$A$3,'Door - Step 2'!$C54),Controller!$G:$G,0))),"")</f>
        <v/>
      </c>
      <c r="C54" s="291"/>
      <c r="D54" s="292"/>
      <c r="E54" s="282"/>
      <c r="F54" s="293" t="str">
        <f>IF(ISBLANK(D54),"",'Calculation Sheet - BOM '!$L25)</f>
        <v/>
      </c>
    </row>
    <row r="55" spans="1:7" x14ac:dyDescent="0.35">
      <c r="A55" s="811"/>
      <c r="B55" s="290" t="str">
        <f>_xlfn.IFNA(IF(ISBLANK(C55),"",INDEX(Controller!F:F,MATCH(CONCATENATE('Door Table'!$A$3,'Door - Step 2'!$C55),Controller!$G:$G,0))),"Not Required")</f>
        <v/>
      </c>
      <c r="C55" s="291"/>
      <c r="D55" s="292"/>
      <c r="E55" s="282"/>
      <c r="F55" s="293" t="str">
        <f>IF(ISBLANK(D55),"",'Calculation Sheet - BOM '!$L26)</f>
        <v/>
      </c>
    </row>
    <row r="56" spans="1:7" x14ac:dyDescent="0.35">
      <c r="A56" s="811"/>
      <c r="B56" s="290" t="str">
        <f>_xlfn.IFNA(IF(ISBLANK(C56),"",INDEX(Controller!F:F,MATCH(CONCATENATE('Door Table'!$A$3,'Door - Step 2'!$C56),Controller!$G:$G,0))),"Not Required")</f>
        <v/>
      </c>
      <c r="C56" s="291"/>
      <c r="D56" s="292"/>
      <c r="E56" s="282"/>
      <c r="F56" s="293" t="str">
        <f>IF(ISBLANK(D56),"",'Calculation Sheet - BOM '!$L27)</f>
        <v/>
      </c>
    </row>
    <row r="57" spans="1:7" x14ac:dyDescent="0.35">
      <c r="A57" s="811"/>
      <c r="B57" s="290" t="str">
        <f>_xlfn.IFNA(IF(ISBLANK(C57),"",INDEX(Controller!F:F,MATCH(CONCATENATE('Door Table'!$A$3,'Door - Step 2'!$C57),Controller!$G:$G,0))),"Not Required")</f>
        <v/>
      </c>
      <c r="C57" s="291"/>
      <c r="D57" s="292"/>
      <c r="E57" s="282"/>
      <c r="F57" s="293" t="str">
        <f>IF(ISBLANK(D57),"",'Calculation Sheet - BOM '!$L28)</f>
        <v/>
      </c>
    </row>
    <row r="58" spans="1:7" x14ac:dyDescent="0.35">
      <c r="A58" s="811"/>
      <c r="B58" s="290" t="str">
        <f>_xlfn.IFNA(IF(ISBLANK(C58),"",INDEX(Controller!F:F,MATCH(CONCATENATE('Door Table'!$A$3,'Door - Step 2'!$C58),Controller!$G:$G,0))),"Not Required")</f>
        <v/>
      </c>
      <c r="C58" s="291"/>
      <c r="D58" s="292"/>
      <c r="E58" s="282"/>
      <c r="F58" s="293" t="str">
        <f>IF(ISBLANK(D58),"",'Calculation Sheet - BOM '!$L29)</f>
        <v/>
      </c>
    </row>
    <row r="59" spans="1:7" x14ac:dyDescent="0.35">
      <c r="A59" s="811"/>
      <c r="B59" s="290" t="str">
        <f>_xlfn.IFNA(IF(ISBLANK(C59),"",INDEX(Controller!F:F,MATCH(CONCATENATE('Door Table'!$A$3,'Door - Step 2'!$C59),Controller!$G:$G,0))),"Not Required")</f>
        <v/>
      </c>
      <c r="C59" s="291"/>
      <c r="D59" s="292"/>
      <c r="E59" s="282"/>
      <c r="F59" s="293" t="str">
        <f>IF(ISBLANK(D59),"",'Calculation Sheet - BOM '!$L30)</f>
        <v/>
      </c>
    </row>
    <row r="60" spans="1:7" ht="5.15" customHeight="1" x14ac:dyDescent="0.35">
      <c r="A60" s="811"/>
      <c r="B60" s="296"/>
      <c r="C60" s="297"/>
      <c r="D60" s="298"/>
      <c r="E60" s="299"/>
      <c r="F60" s="300"/>
    </row>
    <row r="61" spans="1:7" x14ac:dyDescent="0.35">
      <c r="A61" s="811"/>
      <c r="B61" s="290" t="s">
        <v>133</v>
      </c>
      <c r="C61" s="291" t="s">
        <v>134</v>
      </c>
      <c r="D61" s="292"/>
      <c r="E61" s="282"/>
      <c r="F61" s="293">
        <f>IF(ISBLANK($D$34),"",'Calculation Sheet - BOM '!$L32)</f>
        <v>281.66666666666669</v>
      </c>
      <c r="G61" s="246">
        <f>+F61/30</f>
        <v>9.3888888888888893</v>
      </c>
    </row>
    <row r="62" spans="1:7" x14ac:dyDescent="0.35">
      <c r="A62" s="811"/>
      <c r="B62" s="290" t="s">
        <v>135</v>
      </c>
      <c r="C62" s="291" t="s">
        <v>136</v>
      </c>
      <c r="D62" s="292"/>
      <c r="E62" s="282"/>
      <c r="F62" s="293">
        <f>IF(ISBLANK($D$34),"",'Calculation Sheet - BOM '!$L33)</f>
        <v>43.639059027777776</v>
      </c>
    </row>
    <row r="63" spans="1:7" x14ac:dyDescent="0.35">
      <c r="A63" s="811"/>
      <c r="B63" s="290" t="s">
        <v>135</v>
      </c>
      <c r="C63" s="291" t="s">
        <v>81</v>
      </c>
      <c r="D63" s="292" t="s">
        <v>293</v>
      </c>
      <c r="E63" s="282"/>
      <c r="F63" s="293">
        <f>+IF(D63="Yes",'Calculation Sheet - BOM '!L34,"")</f>
        <v>19.299748000000001</v>
      </c>
    </row>
    <row r="64" spans="1:7" x14ac:dyDescent="0.35">
      <c r="A64" s="811"/>
      <c r="B64" s="290" t="s">
        <v>135</v>
      </c>
      <c r="C64" s="291" t="s">
        <v>66</v>
      </c>
      <c r="D64" s="292" t="str">
        <f>+IF(ISBLANK('Doors - Step 1'!G17),"",IF('Doors - Step 1'!G17="Weather Strip","Yes","No"))</f>
        <v>No</v>
      </c>
      <c r="E64" s="282"/>
      <c r="F64" s="293" t="str">
        <f>+IF(D64="Yes",'Calculation Sheet - BOM '!L35,"")</f>
        <v/>
      </c>
    </row>
    <row r="65" spans="1:6" x14ac:dyDescent="0.35">
      <c r="A65" s="811"/>
      <c r="B65" s="497" t="s">
        <v>135</v>
      </c>
      <c r="C65" s="498" t="s">
        <v>137</v>
      </c>
      <c r="D65" s="292" t="s">
        <v>185</v>
      </c>
      <c r="E65" s="282"/>
      <c r="F65" s="293">
        <f>IF(ISBLANK($D$34),"",'Calculation Sheet - BOM '!$L36)</f>
        <v>40.310920866666663</v>
      </c>
    </row>
    <row r="66" spans="1:6" x14ac:dyDescent="0.35">
      <c r="A66" s="811"/>
      <c r="B66" s="290" t="s">
        <v>135</v>
      </c>
      <c r="C66" s="291" t="s">
        <v>139</v>
      </c>
      <c r="D66" s="325" t="str">
        <f>+IF('Doors - Step 1'!$C$11="Polyfoam Overlap Doors - Swing door",IF('Doors - Step 1'!#REF!="Package 3","Magnet Gasket","Not Required"),IF('Doors - Step 1'!$C$11&lt;&gt;"Polyfoam Overlap Doors - Swing door",IF(OR('Doors - Step 1'!$G$20='Door Table'!$E$184,'Doors - Step 1'!$G$20='Door Table'!$E$185),"Splin Gasket","Not Required")))</f>
        <v>Not Required</v>
      </c>
      <c r="E66" s="282"/>
      <c r="F66" s="293"/>
    </row>
    <row r="67" spans="1:6" ht="5.15" customHeight="1" x14ac:dyDescent="0.35">
      <c r="A67" s="811"/>
      <c r="B67" s="296"/>
      <c r="C67" s="297"/>
      <c r="D67" s="298"/>
      <c r="E67" s="299"/>
      <c r="F67" s="300"/>
    </row>
    <row r="68" spans="1:6" ht="13" customHeight="1" x14ac:dyDescent="0.35">
      <c r="A68" s="811"/>
      <c r="B68" s="794" t="s">
        <v>140</v>
      </c>
      <c r="C68" s="301" t="s">
        <v>73</v>
      </c>
      <c r="D68" s="289"/>
      <c r="E68" s="302" t="s">
        <v>141</v>
      </c>
      <c r="F68" s="289" t="s">
        <v>124</v>
      </c>
    </row>
    <row r="69" spans="1:6" x14ac:dyDescent="0.35">
      <c r="A69" s="811"/>
      <c r="B69" s="794"/>
      <c r="C69" s="290" t="s">
        <v>142</v>
      </c>
      <c r="D69" s="325" t="str">
        <f>+IF(OR($D$30=Controller!$A$16,$D$30=Controller!$A$17),"","SS tube")</f>
        <v/>
      </c>
      <c r="E69" s="326"/>
      <c r="F69" s="293">
        <f>IF(ISBLANK(D69),"",'Calculation Sheet - BOM '!$L42)</f>
        <v>0</v>
      </c>
    </row>
    <row r="70" spans="1:6" x14ac:dyDescent="0.35">
      <c r="A70" s="811"/>
      <c r="B70" s="794"/>
      <c r="C70" s="290" t="s">
        <v>142</v>
      </c>
      <c r="D70" s="325" t="str">
        <f>+IF(OR($D$30=Controller!$A$16,$D$30=Controller!$A$17),"","Main Roller")</f>
        <v/>
      </c>
      <c r="E70" s="326"/>
      <c r="F70" s="293">
        <f>IF(ISBLANK(D70),"",'Calculation Sheet - BOM '!$L43)</f>
        <v>0</v>
      </c>
    </row>
    <row r="71" spans="1:6" x14ac:dyDescent="0.35">
      <c r="A71" s="811"/>
      <c r="B71" s="794"/>
      <c r="C71" s="290" t="s">
        <v>142</v>
      </c>
      <c r="D71" s="325" t="str">
        <f>+IF(OR($D$30=Controller!$A$16,$D$30=Controller!$A$17),"","Bottom Stay Roller")</f>
        <v/>
      </c>
      <c r="E71" s="326"/>
      <c r="F71" s="293">
        <f>IF(ISBLANK(D71),"",'Calculation Sheet - BOM '!$L44)</f>
        <v>0</v>
      </c>
    </row>
    <row r="72" spans="1:6" x14ac:dyDescent="0.35">
      <c r="A72" s="811"/>
      <c r="B72" s="794"/>
      <c r="C72" s="290" t="s">
        <v>142</v>
      </c>
      <c r="D72" s="325" t="str">
        <f>+IF(OR($D$30=Controller!$A$16,$D$30=Controller!$A$17),"",IF($D$33="Motorized","Electric door bracket",IF($D$32="Wood","Wood Frame bracket","Aluminum Frame bracket")))</f>
        <v/>
      </c>
      <c r="E72" s="326"/>
      <c r="F72" s="293">
        <f>IF(ISBLANK(D72),"",'Calculation Sheet - BOM '!$L45)</f>
        <v>0</v>
      </c>
    </row>
    <row r="73" spans="1:6" x14ac:dyDescent="0.35">
      <c r="A73" s="811"/>
      <c r="B73" s="794"/>
      <c r="C73" s="290" t="s">
        <v>142</v>
      </c>
      <c r="D73" s="325" t="str">
        <f>+IF(OR($D$30=Controller!$A$16,$D$30=Controller!$A$17),"","Outside and Inside Handle")</f>
        <v/>
      </c>
      <c r="E73" s="326"/>
      <c r="F73" s="293">
        <f>IF(ISBLANK(D73),"",'Calculation Sheet - BOM '!$L46)</f>
        <v>0</v>
      </c>
    </row>
    <row r="74" spans="1:6" x14ac:dyDescent="0.35">
      <c r="A74" s="811"/>
      <c r="B74" s="794"/>
      <c r="C74" s="290" t="s">
        <v>142</v>
      </c>
      <c r="D74" s="325" t="str">
        <f>+IF(OR($D$30=Controller!$A$16,$D$30=Controller!$A$17),"","Pull Cord - Cooler")</f>
        <v/>
      </c>
      <c r="E74" s="326"/>
      <c r="F74" s="293" t="str">
        <f>IF(ISBLANK(D74),"",IF(ISBLANK(E74),"Please Specify Qty.",'Calculation Sheet - BOM '!$L47*E74))</f>
        <v>Please Specify Qty.</v>
      </c>
    </row>
    <row r="75" spans="1:6" x14ac:dyDescent="0.35">
      <c r="A75" s="811"/>
      <c r="B75" s="794"/>
      <c r="C75" s="290" t="s">
        <v>143</v>
      </c>
      <c r="D75" s="325" t="str">
        <f>+IF(OR($D$30=Controller!$A$16,$D$30=Controller!$A$17),"","Guide Latch/Catch Set")</f>
        <v/>
      </c>
      <c r="E75" s="326">
        <v>1</v>
      </c>
      <c r="F75" s="293">
        <f>IF(ISBLANK(D75),"",IF(ISBLANK(E75),"Please Specify Qty.",'Calculation Sheet - BOM '!$L48*E75))</f>
        <v>0</v>
      </c>
    </row>
    <row r="76" spans="1:6" x14ac:dyDescent="0.35">
      <c r="A76" s="811"/>
      <c r="B76" s="794"/>
      <c r="C76" s="290" t="s">
        <v>143</v>
      </c>
      <c r="D76" s="292"/>
      <c r="E76" s="68"/>
      <c r="F76" s="293" t="str">
        <f>IF(ISBLANK(D76),"",IF(ISBLANK(E76),"Please Specify Qty.",'Calculation Sheet - BOM '!$L49*E76))</f>
        <v/>
      </c>
    </row>
    <row r="77" spans="1:6" x14ac:dyDescent="0.35">
      <c r="A77" s="811"/>
      <c r="B77" s="794" t="s">
        <v>144</v>
      </c>
      <c r="C77" s="290" t="s">
        <v>143</v>
      </c>
      <c r="D77" s="292"/>
      <c r="E77" s="68"/>
      <c r="F77" s="293" t="str">
        <f>IF(ISBLANK(D77),"",IF(ISBLANK(E77),"Please Specify Qty.",'Calculation Sheet - BOM '!$L50*E77))</f>
        <v/>
      </c>
    </row>
    <row r="78" spans="1:6" x14ac:dyDescent="0.35">
      <c r="A78" s="811"/>
      <c r="B78" s="794"/>
      <c r="C78" s="290" t="s">
        <v>143</v>
      </c>
      <c r="D78" s="292"/>
      <c r="E78" s="68"/>
      <c r="F78" s="293" t="str">
        <f>IF(ISBLANK(D78),"",IF(ISBLANK(E78),"Please Specify Qty.",'Calculation Sheet - BOM '!$L51*E78))</f>
        <v/>
      </c>
    </row>
    <row r="79" spans="1:6" x14ac:dyDescent="0.35">
      <c r="A79" s="811"/>
      <c r="B79" s="794"/>
      <c r="C79" s="290" t="s">
        <v>143</v>
      </c>
      <c r="D79" s="292"/>
      <c r="E79" s="68"/>
      <c r="F79" s="293" t="str">
        <f>IF(ISBLANK(D79),"",IF(ISBLANK(E79),"Please Specify Qty.",'Calculation Sheet - BOM '!$L52*E79))</f>
        <v/>
      </c>
    </row>
    <row r="80" spans="1:6" x14ac:dyDescent="0.35">
      <c r="A80" s="811"/>
      <c r="B80" s="794"/>
      <c r="C80" s="290" t="s">
        <v>143</v>
      </c>
      <c r="D80" s="292"/>
      <c r="E80" s="68"/>
      <c r="F80" s="293" t="str">
        <f>IF(ISBLANK(D80),"",IF(ISBLANK(E80),"Please Specify Qty.",'Calculation Sheet - BOM '!$L53*E80))</f>
        <v/>
      </c>
    </row>
    <row r="81" spans="1:6" ht="6" customHeight="1" x14ac:dyDescent="0.35">
      <c r="A81" s="296"/>
      <c r="B81" s="296"/>
      <c r="C81" s="296"/>
      <c r="D81" s="296"/>
      <c r="E81" s="296"/>
      <c r="F81" s="296"/>
    </row>
    <row r="82" spans="1:6" ht="15.65" customHeight="1" x14ac:dyDescent="0.35">
      <c r="A82" s="768" t="s">
        <v>145</v>
      </c>
      <c r="B82" s="769"/>
      <c r="C82" s="303" t="s">
        <v>73</v>
      </c>
      <c r="D82" s="302"/>
      <c r="E82" s="302"/>
      <c r="F82" s="289" t="s">
        <v>124</v>
      </c>
    </row>
    <row r="83" spans="1:6" x14ac:dyDescent="0.35">
      <c r="A83" s="770"/>
      <c r="B83" s="771"/>
      <c r="C83" s="290" t="s">
        <v>146</v>
      </c>
      <c r="D83" s="325" t="s">
        <v>644</v>
      </c>
      <c r="E83" s="326">
        <v>1</v>
      </c>
      <c r="F83" s="293">
        <f>IF(ISBLANK(D83),"",IF(ISBLANK(E83),"Please Specify Qty.",'Calculation Sheet - BOM '!$L59*E83))</f>
        <v>61.6</v>
      </c>
    </row>
    <row r="84" spans="1:6" x14ac:dyDescent="0.35">
      <c r="A84" s="770"/>
      <c r="B84" s="771"/>
      <c r="C84" s="304" t="s">
        <v>147</v>
      </c>
      <c r="D84" s="292" t="s">
        <v>644</v>
      </c>
      <c r="E84" s="68"/>
      <c r="F84" s="293" t="str">
        <f>IF(ISBLANK(D84),"",IF(ISBLANK(E84),"Please Specify Qty.",'Calculation Sheet - BOM '!$L60*E84))</f>
        <v>Please Specify Qty.</v>
      </c>
    </row>
    <row r="85" spans="1:6" x14ac:dyDescent="0.35">
      <c r="A85" s="770"/>
      <c r="B85" s="771"/>
      <c r="C85" s="304" t="s">
        <v>148</v>
      </c>
      <c r="D85" s="292"/>
      <c r="E85" s="68"/>
      <c r="F85" s="293" t="str">
        <f>IF(ISBLANK(D85),"",IF(ISBLANK(E85),"Please Specify Qty.",'Calculation Sheet - BOM '!$L61*E85))</f>
        <v/>
      </c>
    </row>
    <row r="86" spans="1:6" x14ac:dyDescent="0.35">
      <c r="A86" s="770"/>
      <c r="B86" s="771"/>
      <c r="C86" s="304" t="s">
        <v>149</v>
      </c>
      <c r="D86" s="292"/>
      <c r="E86" s="68"/>
      <c r="F86" s="293" t="str">
        <f>IF(ISBLANK(D86),"",IF(ISBLANK(E86),"Please Specify Qty.",'Calculation Sheet - BOM '!$L62*E86))</f>
        <v/>
      </c>
    </row>
    <row r="87" spans="1:6" x14ac:dyDescent="0.35">
      <c r="A87" s="770"/>
      <c r="B87" s="771"/>
      <c r="C87" s="290" t="s">
        <v>150</v>
      </c>
      <c r="D87" s="325" t="s">
        <v>187</v>
      </c>
      <c r="E87" s="326">
        <v>1</v>
      </c>
      <c r="F87" s="293">
        <f>IF(ISBLANK(D87),"",IF(ISBLANK(E87),"Please Specify Qty.",'Calculation Sheet - BOM '!$L63*E87))</f>
        <v>88.116666666666674</v>
      </c>
    </row>
    <row r="88" spans="1:6" x14ac:dyDescent="0.35">
      <c r="A88" s="770"/>
      <c r="B88" s="771"/>
      <c r="C88" s="304" t="s">
        <v>151</v>
      </c>
      <c r="D88" s="292"/>
      <c r="E88" s="68"/>
      <c r="F88" s="293" t="str">
        <f>IF(ISBLANK(D88),"",IF(ISBLANK(E88),"Please Specify Qty.",'Calculation Sheet - BOM '!$L64*E88))</f>
        <v/>
      </c>
    </row>
    <row r="89" spans="1:6" x14ac:dyDescent="0.35">
      <c r="A89" s="770"/>
      <c r="B89" s="771"/>
      <c r="C89" s="304" t="s">
        <v>152</v>
      </c>
      <c r="D89" s="292"/>
      <c r="E89" s="68"/>
      <c r="F89" s="293" t="str">
        <f>IF(ISBLANK(D89),"",IF(ISBLANK(E89),"Please Specify Qty.",'Calculation Sheet - BOM '!$L65*E89))</f>
        <v/>
      </c>
    </row>
    <row r="90" spans="1:6" x14ac:dyDescent="0.35">
      <c r="A90" s="770"/>
      <c r="B90" s="771"/>
      <c r="C90" s="290" t="s">
        <v>153</v>
      </c>
      <c r="D90" s="292" t="s">
        <v>188</v>
      </c>
      <c r="E90" s="68">
        <v>1</v>
      </c>
      <c r="F90" s="293">
        <f>IF(ISBLANK(D90),"",IF(ISBLANK(E90),"Please Specify Qty.",'Calculation Sheet - BOM '!$L66*E90))</f>
        <v>13.933333333333334</v>
      </c>
    </row>
    <row r="91" spans="1:6" x14ac:dyDescent="0.35">
      <c r="A91" s="770"/>
      <c r="B91" s="771"/>
      <c r="C91" s="290" t="s">
        <v>154</v>
      </c>
      <c r="D91" s="292"/>
      <c r="E91" s="68"/>
      <c r="F91" s="293" t="str">
        <f>IF(ISBLANK(D91),"",IF(ISBLANK(E91),"Please Specify Qty.",'Calculation Sheet - BOM '!$L67*E91))</f>
        <v/>
      </c>
    </row>
    <row r="92" spans="1:6" x14ac:dyDescent="0.35">
      <c r="A92" s="770"/>
      <c r="B92" s="771"/>
      <c r="C92" s="290" t="s">
        <v>155</v>
      </c>
      <c r="D92" s="325" t="s">
        <v>189</v>
      </c>
      <c r="E92" s="326">
        <v>1</v>
      </c>
      <c r="F92" s="293">
        <f>IF(ISBLANK(D92),"",IF(ISBLANK(E92),"Please Specify Qty.",'Calculation Sheet - BOM '!$L68*E92))</f>
        <v>41.333333333333329</v>
      </c>
    </row>
    <row r="93" spans="1:6" x14ac:dyDescent="0.35">
      <c r="A93" s="770"/>
      <c r="B93" s="771"/>
      <c r="C93" s="290" t="s">
        <v>156</v>
      </c>
      <c r="D93" s="292" t="s">
        <v>704</v>
      </c>
      <c r="E93" s="68">
        <v>1</v>
      </c>
      <c r="F93" s="293">
        <f>IF(ISBLANK(D93),"",IF(ISBLANK(E93),"Please Specify Qty.",'Calculation Sheet - BOM '!$L69*E93))</f>
        <v>45.82</v>
      </c>
    </row>
    <row r="94" spans="1:6" x14ac:dyDescent="0.35">
      <c r="A94" s="770"/>
      <c r="B94" s="771"/>
      <c r="C94" s="290" t="s">
        <v>157</v>
      </c>
      <c r="D94" s="292"/>
      <c r="E94" s="68"/>
      <c r="F94" s="293">
        <f>+'Calculation Sheet - BOM '!$L$70</f>
        <v>0</v>
      </c>
    </row>
    <row r="95" spans="1:6" x14ac:dyDescent="0.35">
      <c r="A95" s="770"/>
      <c r="B95" s="771"/>
      <c r="C95" s="290" t="s">
        <v>158</v>
      </c>
      <c r="D95" s="292"/>
      <c r="E95" s="68"/>
      <c r="F95" s="293" t="str">
        <f>IF(ISBLANK(D95),"",IF(ISBLANK(E95),"Please Specify Qty.",'Calculation Sheet - BOM '!$L71*E95))</f>
        <v/>
      </c>
    </row>
    <row r="96" spans="1:6" x14ac:dyDescent="0.35">
      <c r="A96" s="770"/>
      <c r="B96" s="771"/>
      <c r="C96" s="290" t="s">
        <v>159</v>
      </c>
      <c r="D96" s="292"/>
      <c r="E96" s="68"/>
      <c r="F96" s="293" t="str">
        <f>IF(ISBLANK(D96),"",IF(ISBLANK(E96),"Please Specify Qty.",'Calculation Sheet - BOM '!$L72*E96))</f>
        <v/>
      </c>
    </row>
    <row r="97" spans="1:8" x14ac:dyDescent="0.35">
      <c r="A97" s="770"/>
      <c r="B97" s="771"/>
      <c r="C97" s="290" t="s">
        <v>160</v>
      </c>
      <c r="D97" s="292"/>
      <c r="E97" s="68"/>
      <c r="F97" s="293" t="str">
        <f>IF(ISBLANK(D97),"",IF(ISBLANK(E97),"Please Specify Qty.",'Calculation Sheet - BOM '!$L73*E97))</f>
        <v/>
      </c>
    </row>
    <row r="98" spans="1:8" x14ac:dyDescent="0.35">
      <c r="A98" s="770"/>
      <c r="B98" s="771"/>
      <c r="C98" s="290" t="s">
        <v>161</v>
      </c>
      <c r="D98" s="292"/>
      <c r="E98" s="68"/>
      <c r="F98" s="293" t="str">
        <f>IF(ISBLANK(D98),"",IF(ISBLANK(E98),"Please Specify Qty.",'Calculation Sheet - BOM '!$L74*E98))</f>
        <v/>
      </c>
    </row>
    <row r="99" spans="1:8" x14ac:dyDescent="0.35">
      <c r="A99" s="770"/>
      <c r="B99" s="771"/>
      <c r="C99" s="290" t="s">
        <v>163</v>
      </c>
      <c r="D99" s="292"/>
      <c r="E99" s="68"/>
      <c r="F99" s="293" t="str">
        <f>IF(ISBLANK(D99),"",IF(ISBLANK(E99),"Please Specify Qty.",'Calculation Sheet - BOM '!$L75*E99))</f>
        <v/>
      </c>
    </row>
    <row r="100" spans="1:8" x14ac:dyDescent="0.35">
      <c r="A100" s="770"/>
      <c r="B100" s="771"/>
      <c r="C100" s="290" t="s">
        <v>165</v>
      </c>
      <c r="D100" s="292" t="s">
        <v>165</v>
      </c>
      <c r="E100" s="68"/>
      <c r="F100" s="293" t="str">
        <f>IF(ISBLANK(D100),"",IF(ISBLANK(E100),"Please Specify Qty.",'Calculation Sheet - BOM '!$L76*E100))</f>
        <v>Please Specify Qty.</v>
      </c>
    </row>
    <row r="101" spans="1:8" x14ac:dyDescent="0.35">
      <c r="A101" s="770"/>
      <c r="B101" s="771"/>
      <c r="C101" s="290" t="s">
        <v>166</v>
      </c>
      <c r="D101" s="325" t="s">
        <v>167</v>
      </c>
      <c r="E101" s="68"/>
      <c r="F101" s="293" t="str">
        <f>IF(ISBLANK(D101),"",IF(ISBLANK(E101),"Please Specify Qty.",'Calculation Sheet - BOM '!$L77*E101))</f>
        <v>Please Specify Qty.</v>
      </c>
    </row>
    <row r="102" spans="1:8" x14ac:dyDescent="0.35">
      <c r="A102" s="770"/>
      <c r="B102" s="771"/>
      <c r="C102" s="290" t="s">
        <v>168</v>
      </c>
      <c r="D102" s="292"/>
      <c r="E102" s="68"/>
      <c r="F102" s="293" t="str">
        <f>IF(ISBLANK(D102),"",IF(ISBLANK(E102),"Please Specify Qty.",'Calculation Sheet - BOM '!$L78*E102))</f>
        <v/>
      </c>
    </row>
    <row r="103" spans="1:8" x14ac:dyDescent="0.35">
      <c r="A103" s="770"/>
      <c r="B103" s="771"/>
      <c r="C103" s="290" t="s">
        <v>995</v>
      </c>
      <c r="D103" s="292"/>
      <c r="E103" s="68"/>
      <c r="F103" s="293">
        <f>IF(E103=" "," ",(E103*'Cost Sheet'!$N$227))</f>
        <v>0</v>
      </c>
    </row>
    <row r="104" spans="1:8" x14ac:dyDescent="0.35">
      <c r="A104" s="770"/>
      <c r="B104" s="771"/>
      <c r="C104" s="290" t="s">
        <v>169</v>
      </c>
      <c r="D104" s="292"/>
      <c r="E104" s="68"/>
      <c r="F104" s="293" t="str">
        <f>IF(ISBLANK(D104),"",IF(ISBLANK(E104),"Please Specify Qty.",'Calculation Sheet - BOM '!$L79*E104))</f>
        <v/>
      </c>
      <c r="H104" s="553"/>
    </row>
    <row r="105" spans="1:8" x14ac:dyDescent="0.35">
      <c r="A105" s="770"/>
      <c r="B105" s="771"/>
      <c r="C105" s="290" t="s">
        <v>170</v>
      </c>
      <c r="D105" s="292"/>
      <c r="E105" s="68"/>
      <c r="F105" s="293" t="str">
        <f>IF(ISBLANK(D105),"",IF(ISBLANK(E105),"Please Specify Qty.",'Calculation Sheet - BOM '!$L80*E105))</f>
        <v/>
      </c>
    </row>
    <row r="106" spans="1:8" x14ac:dyDescent="0.35">
      <c r="A106" s="770"/>
      <c r="B106" s="771"/>
      <c r="C106" s="290" t="s">
        <v>171</v>
      </c>
      <c r="D106" s="186"/>
      <c r="E106" s="493">
        <f>IF($D$31="Freezer",(((D34+D35)*2*3)*'Calculation Sheet - BOM '!$L$2),0)</f>
        <v>0</v>
      </c>
      <c r="F106" s="293">
        <f>+'Calculation Sheet - BOM '!$I$81</f>
        <v>0</v>
      </c>
    </row>
    <row r="107" spans="1:8" x14ac:dyDescent="0.35">
      <c r="A107" s="772"/>
      <c r="B107" s="773"/>
      <c r="C107" s="290" t="s">
        <v>172</v>
      </c>
      <c r="D107" s="292"/>
      <c r="E107" s="68">
        <f>+IF($D$31="Freezer",22,0)</f>
        <v>0</v>
      </c>
      <c r="F107" s="293">
        <f>+'Calculation Sheet - BOM '!$I$82</f>
        <v>0</v>
      </c>
    </row>
    <row r="108" spans="1:8" ht="30" customHeight="1" x14ac:dyDescent="0.35">
      <c r="A108" s="778" t="s">
        <v>173</v>
      </c>
      <c r="B108" s="779"/>
      <c r="C108" s="273" t="s">
        <v>73</v>
      </c>
      <c r="D108" s="273" t="s">
        <v>42</v>
      </c>
      <c r="E108" s="272" t="s">
        <v>74</v>
      </c>
      <c r="F108" s="289" t="s">
        <v>174</v>
      </c>
    </row>
    <row r="109" spans="1:8" x14ac:dyDescent="0.35">
      <c r="A109" s="780"/>
      <c r="B109" s="781"/>
      <c r="C109" s="331" t="s">
        <v>175</v>
      </c>
      <c r="D109" s="331"/>
      <c r="E109" s="331"/>
      <c r="F109" s="293"/>
    </row>
    <row r="110" spans="1:8" x14ac:dyDescent="0.35">
      <c r="A110" s="780"/>
      <c r="B110" s="781"/>
      <c r="C110" s="331" t="s">
        <v>176</v>
      </c>
      <c r="D110" s="331"/>
      <c r="E110" s="331"/>
      <c r="F110" s="293">
        <v>0</v>
      </c>
    </row>
    <row r="111" spans="1:8" x14ac:dyDescent="0.35">
      <c r="A111" s="782"/>
      <c r="B111" s="783"/>
      <c r="C111" s="331" t="s">
        <v>177</v>
      </c>
      <c r="D111" s="331"/>
      <c r="E111" s="331"/>
      <c r="F111" s="293"/>
    </row>
    <row r="112" spans="1:8" x14ac:dyDescent="0.35">
      <c r="D112" s="246"/>
    </row>
    <row r="113" spans="1:8" x14ac:dyDescent="0.35">
      <c r="A113" s="774" t="s">
        <v>178</v>
      </c>
      <c r="B113" s="774"/>
      <c r="C113" s="790" t="s">
        <v>179</v>
      </c>
      <c r="D113" s="791"/>
      <c r="E113" s="305" t="s">
        <v>124</v>
      </c>
      <c r="F113" s="306">
        <f>(SUM(F42:F108,'Doors - Step 1'!I19)*$D$38)+SUM(F109:F111)</f>
        <v>1150.6807010363248</v>
      </c>
      <c r="H113" s="247">
        <f>11280/8</f>
        <v>1410</v>
      </c>
    </row>
    <row r="114" spans="1:8" x14ac:dyDescent="0.35">
      <c r="A114" s="774"/>
      <c r="B114" s="774"/>
      <c r="C114" s="792"/>
      <c r="D114" s="793"/>
      <c r="E114" s="305" t="s">
        <v>45</v>
      </c>
      <c r="F114" s="307">
        <v>0.3</v>
      </c>
    </row>
    <row r="115" spans="1:8" x14ac:dyDescent="0.35">
      <c r="A115" s="774"/>
      <c r="B115" s="774"/>
      <c r="C115" s="792"/>
      <c r="D115" s="793"/>
      <c r="E115" s="305" t="s">
        <v>46</v>
      </c>
      <c r="F115" s="306">
        <f>+IF(ISBLANK(F114),"",(F113*(1+F114)))</f>
        <v>1495.8849113472222</v>
      </c>
      <c r="H115" s="553"/>
    </row>
    <row r="116" spans="1:8" x14ac:dyDescent="0.35">
      <c r="C116" s="263"/>
      <c r="H116" s="553"/>
    </row>
    <row r="117" spans="1:8" x14ac:dyDescent="0.35">
      <c r="H117" s="553"/>
    </row>
    <row r="118" spans="1:8" x14ac:dyDescent="0.35">
      <c r="H118" s="553"/>
    </row>
    <row r="123" spans="1:8" x14ac:dyDescent="0.35">
      <c r="D123" s="246"/>
    </row>
    <row r="124" spans="1:8" x14ac:dyDescent="0.35">
      <c r="D124" s="246"/>
    </row>
    <row r="125" spans="1:8" x14ac:dyDescent="0.35">
      <c r="D125" s="246"/>
    </row>
    <row r="126" spans="1:8" x14ac:dyDescent="0.35">
      <c r="D126" s="246"/>
    </row>
    <row r="146" spans="3:6" x14ac:dyDescent="0.35">
      <c r="C146" s="281" t="s">
        <v>180</v>
      </c>
      <c r="D146" s="308" t="s">
        <v>181</v>
      </c>
      <c r="E146" s="308" t="s">
        <v>182</v>
      </c>
      <c r="F146" s="302" t="s">
        <v>183</v>
      </c>
    </row>
    <row r="147" spans="3:6" x14ac:dyDescent="0.35">
      <c r="C147" s="309"/>
      <c r="D147" s="310" t="s">
        <v>0</v>
      </c>
      <c r="E147" s="311">
        <v>1</v>
      </c>
      <c r="F147" s="312"/>
    </row>
    <row r="148" spans="3:6" x14ac:dyDescent="0.35">
      <c r="C148" s="309"/>
      <c r="D148" s="310" t="s">
        <v>0</v>
      </c>
      <c r="E148" s="311">
        <v>1</v>
      </c>
    </row>
    <row r="149" spans="3:6" x14ac:dyDescent="0.35">
      <c r="C149" s="291" t="s">
        <v>184</v>
      </c>
    </row>
  </sheetData>
  <mergeCells count="33">
    <mergeCell ref="S3:T3"/>
    <mergeCell ref="X3:Y3"/>
    <mergeCell ref="C5:D5"/>
    <mergeCell ref="C6:C8"/>
    <mergeCell ref="E6:E8"/>
    <mergeCell ref="F5:H5"/>
    <mergeCell ref="F6:H6"/>
    <mergeCell ref="F7:H7"/>
    <mergeCell ref="F8:H8"/>
    <mergeCell ref="A2:B11"/>
    <mergeCell ref="D15:F15"/>
    <mergeCell ref="C16:F26"/>
    <mergeCell ref="F47:F49"/>
    <mergeCell ref="A41:A80"/>
    <mergeCell ref="A15:B26"/>
    <mergeCell ref="F9:H9"/>
    <mergeCell ref="F10:H10"/>
    <mergeCell ref="F11:H11"/>
    <mergeCell ref="C29:F29"/>
    <mergeCell ref="G16:H26"/>
    <mergeCell ref="J29:K29"/>
    <mergeCell ref="A82:B107"/>
    <mergeCell ref="A113:B115"/>
    <mergeCell ref="E34:F34"/>
    <mergeCell ref="E35:F35"/>
    <mergeCell ref="B40:F40"/>
    <mergeCell ref="F50:F51"/>
    <mergeCell ref="A108:B111"/>
    <mergeCell ref="A30:B38"/>
    <mergeCell ref="E33:F33"/>
    <mergeCell ref="C113:D115"/>
    <mergeCell ref="B68:B76"/>
    <mergeCell ref="B77:B80"/>
  </mergeCells>
  <conditionalFormatting sqref="T4:T12">
    <cfRule type="containsText" dxfId="52" priority="4" operator="containsText" text="No">
      <formula>NOT(ISERROR(SEARCH("No",T4)))</formula>
    </cfRule>
    <cfRule type="containsText" dxfId="51" priority="5" operator="containsText" text="Yes">
      <formula>NOT(ISERROR(SEARCH("Yes",T4)))</formula>
    </cfRule>
  </conditionalFormatting>
  <conditionalFormatting sqref="T13">
    <cfRule type="cellIs" dxfId="50" priority="2" operator="lessThan">
      <formula>1</formula>
    </cfRule>
    <cfRule type="cellIs" dxfId="49" priority="3" operator="equal">
      <formula>1</formula>
    </cfRule>
  </conditionalFormatting>
  <conditionalFormatting sqref="B42:B59">
    <cfRule type="cellIs" dxfId="48" priority="1" operator="equal">
      <formula>"Not Required"</formula>
    </cfRule>
  </conditionalFormatting>
  <pageMargins left="0.7" right="0.7" top="0.75" bottom="0.75" header="0.3" footer="0.3"/>
  <pageSetup paperSize="5" fitToWidth="0" fitToHeight="0" orientation="landscape" horizontalDpi="360" verticalDpi="36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7">
        <x14:dataValidation type="list" allowBlank="1" showInputMessage="1" showErrorMessage="1" xr:uid="{18D0F76E-3FBD-4CD5-B6B9-D55464530297}">
          <x14:formula1>
            <xm:f>_xlfn.ANCHORARRAY('Door Table'!$J$3)</xm:f>
          </x14:formula1>
          <xm:sqref>D47</xm:sqref>
        </x14:dataValidation>
        <x14:dataValidation type="list" allowBlank="1" showInputMessage="1" showErrorMessage="1" xr:uid="{6A5BC0D3-5DD2-4573-BEDA-EEEC57D2D781}">
          <x14:formula1>
            <xm:f>_xlfn.ANCHORARRAY('Door Table'!$K$3)</xm:f>
          </x14:formula1>
          <xm:sqref>D48</xm:sqref>
        </x14:dataValidation>
        <x14:dataValidation type="list" allowBlank="1" showInputMessage="1" showErrorMessage="1" xr:uid="{FEDC5C34-0BD3-4353-88E8-3C8C9609BB5E}">
          <x14:formula1>
            <xm:f>_xlfn.ANCHORARRAY('Door Table'!$L$3)</xm:f>
          </x14:formula1>
          <xm:sqref>D49</xm:sqref>
        </x14:dataValidation>
        <x14:dataValidation type="list" allowBlank="1" showInputMessage="1" showErrorMessage="1" xr:uid="{6C3FF8AB-EF47-40D5-90F4-AC6B36F27BA7}">
          <x14:formula1>
            <xm:f>_xlfn.ANCHORARRAY('Door Table'!$M$3)</xm:f>
          </x14:formula1>
          <xm:sqref>D50</xm:sqref>
        </x14:dataValidation>
        <x14:dataValidation type="list" allowBlank="1" showInputMessage="1" showErrorMessage="1" xr:uid="{65B45212-92FE-4CAB-8F33-BEC6C7685A16}">
          <x14:formula1>
            <xm:f>_xlfn.ANCHORARRAY('Door Table'!$N$3)</xm:f>
          </x14:formula1>
          <xm:sqref>D51</xm:sqref>
        </x14:dataValidation>
        <x14:dataValidation type="list" allowBlank="1" showInputMessage="1" showErrorMessage="1" xr:uid="{1D7F33BE-E853-4A89-B9D7-7CD2F9656668}">
          <x14:formula1>
            <xm:f>_xlfn.ANCHORARRAY('Door Table'!$O$3)</xm:f>
          </x14:formula1>
          <xm:sqref>D52</xm:sqref>
        </x14:dataValidation>
        <x14:dataValidation type="list" allowBlank="1" showInputMessage="1" showErrorMessage="1" xr:uid="{89BA6D62-6367-4CA4-8EF9-E5938113BA0B}">
          <x14:formula1>
            <xm:f>_xlfn.ANCHORARRAY('Door Table'!$S$3)</xm:f>
          </x14:formula1>
          <xm:sqref>D56</xm:sqref>
        </x14:dataValidation>
        <x14:dataValidation type="list" allowBlank="1" showInputMessage="1" showErrorMessage="1" xr:uid="{192BA3AE-DFF1-49E4-BD5F-3B185F36E7AB}">
          <x14:formula1>
            <xm:f>_xlfn.ANCHORARRAY('Door Table'!$T$3)</xm:f>
          </x14:formula1>
          <xm:sqref>D57</xm:sqref>
        </x14:dataValidation>
        <x14:dataValidation type="list" allowBlank="1" showInputMessage="1" showErrorMessage="1" xr:uid="{49C7CD64-B54D-456F-B4B3-8BB18238ED33}">
          <x14:formula1>
            <xm:f>_xlfn.ANCHORARRAY('Door Table'!$D$134)</xm:f>
          </x14:formula1>
          <xm:sqref>D83</xm:sqref>
        </x14:dataValidation>
        <x14:dataValidation type="list" allowBlank="1" showInputMessage="1" showErrorMessage="1" xr:uid="{2720BB05-5DF6-485F-8CB0-7C4A4E7B4B99}">
          <x14:formula1>
            <xm:f>_xlfn.ANCHORARRAY('Door Table'!$G$134)</xm:f>
          </x14:formula1>
          <xm:sqref>D86</xm:sqref>
        </x14:dataValidation>
        <x14:dataValidation type="list" allowBlank="1" showInputMessage="1" showErrorMessage="1" xr:uid="{AA218BEE-9D2F-47C5-857A-9DCCD71769B3}">
          <x14:formula1>
            <xm:f>_xlfn.ANCHORARRAY('Door Table'!$I$134)</xm:f>
          </x14:formula1>
          <xm:sqref>D88</xm:sqref>
        </x14:dataValidation>
        <x14:dataValidation type="list" allowBlank="1" showInputMessage="1" showErrorMessage="1" xr:uid="{2D95BCBF-9B7B-4947-9F61-F2E79EB22A4F}">
          <x14:formula1>
            <xm:f>_xlfn.ANCHORARRAY('Door Table'!$J$134)</xm:f>
          </x14:formula1>
          <xm:sqref>D89</xm:sqref>
        </x14:dataValidation>
        <x14:dataValidation type="list" allowBlank="1" showInputMessage="1" showErrorMessage="1" xr:uid="{2E4DACD6-EF78-4851-BFD6-F5CFA44976D3}">
          <x14:formula1>
            <xm:f>_xlfn.ANCHORARRAY('Door Table'!$K$134)</xm:f>
          </x14:formula1>
          <xm:sqref>D90</xm:sqref>
        </x14:dataValidation>
        <x14:dataValidation type="list" allowBlank="1" showInputMessage="1" showErrorMessage="1" xr:uid="{49439B93-87FF-4292-8E8A-E934B685DFED}">
          <x14:formula1>
            <xm:f>_xlfn.ANCHORARRAY('Door Table'!$L$134)</xm:f>
          </x14:formula1>
          <xm:sqref>D91</xm:sqref>
        </x14:dataValidation>
        <x14:dataValidation type="list" allowBlank="1" showInputMessage="1" showErrorMessage="1" xr:uid="{A7B37615-1D85-4EFC-AA6A-45238F5C462C}">
          <x14:formula1>
            <xm:f>_xlfn.ANCHORARRAY('Door Table'!$P$134)</xm:f>
          </x14:formula1>
          <xm:sqref>D93</xm:sqref>
        </x14:dataValidation>
        <x14:dataValidation type="list" allowBlank="1" showInputMessage="1" showErrorMessage="1" xr:uid="{3A763E26-4BFF-44B0-AC2D-1B679C1CDEC2}">
          <x14:formula1>
            <xm:f>_xlfn.ANCHORARRAY('Door Table'!$V$134)</xm:f>
          </x14:formula1>
          <xm:sqref>D107</xm:sqref>
        </x14:dataValidation>
        <x14:dataValidation type="list" allowBlank="1" showInputMessage="1" showErrorMessage="1" xr:uid="{0E27C093-3B8E-46A7-B464-A18CDC6D9034}">
          <x14:formula1>
            <xm:f>'Calculation Sheet - BOM '!$W$3:$W$6</xm:f>
          </x14:formula1>
          <xm:sqref>T4</xm:sqref>
        </x14:dataValidation>
        <x14:dataValidation type="list" allowBlank="1" showInputMessage="1" showErrorMessage="1" xr:uid="{CFAF041B-DAD1-45EA-8DCA-E2D03A1D7096}">
          <x14:formula1>
            <xm:f>_xlfn.ANCHORARRAY('Door Table'!$U$3)</xm:f>
          </x14:formula1>
          <xm:sqref>D58</xm:sqref>
        </x14:dataValidation>
        <x14:dataValidation type="list" allowBlank="1" showInputMessage="1" showErrorMessage="1" xr:uid="{983244B2-49C5-491C-A6F1-9B4DE842F3BF}">
          <x14:formula1>
            <xm:f>_xlfn.ANCHORARRAY('Door Table'!$V$3)</xm:f>
          </x14:formula1>
          <xm:sqref>D59</xm:sqref>
        </x14:dataValidation>
        <x14:dataValidation type="list" allowBlank="1" showInputMessage="1" showErrorMessage="1" xr:uid="{B8B8CF81-7F18-432F-99C9-4C25467AEE35}">
          <x14:formula1>
            <xm:f>'Calculation Sheet - BOM '!$AG$3:$AG$4</xm:f>
          </x14:formula1>
          <xm:sqref>D65</xm:sqref>
        </x14:dataValidation>
        <x14:dataValidation type="list" allowBlank="1" showInputMessage="1" showErrorMessage="1" xr:uid="{F6221265-7817-490E-AA2E-8232F7FCFEDA}">
          <x14:formula1>
            <xm:f>'Door Table'!$A$205</xm:f>
          </x14:formula1>
          <xm:sqref>D95</xm:sqref>
        </x14:dataValidation>
        <x14:dataValidation type="list" allowBlank="1" showInputMessage="1" showErrorMessage="1" xr:uid="{F1E5B6BA-1E7B-4326-AA80-AB829955DCC1}">
          <x14:formula1>
            <xm:f>'Calculation Sheet - BOM '!$AH$3</xm:f>
          </x14:formula1>
          <xm:sqref>D94</xm:sqref>
        </x14:dataValidation>
        <x14:dataValidation type="list" allowBlank="1" showInputMessage="1" showErrorMessage="1" xr:uid="{57E4F1FB-B496-4019-9868-D8BCE18A270A}">
          <x14:formula1>
            <xm:f>'Cost Sheet'!$C$162:$C$164</xm:f>
          </x14:formula1>
          <xm:sqref>D105</xm:sqref>
        </x14:dataValidation>
        <x14:dataValidation type="list" allowBlank="1" showInputMessage="1" showErrorMessage="1" xr:uid="{EC65000A-DE65-45BD-8DD1-3162F13BDF94}">
          <x14:formula1>
            <xm:f>'Cost Sheet'!$C$86</xm:f>
          </x14:formula1>
          <xm:sqref>D96</xm:sqref>
        </x14:dataValidation>
        <x14:dataValidation type="list" allowBlank="1" showInputMessage="1" showErrorMessage="1" xr:uid="{04FAF5E2-1E9C-49AE-9016-34BD8F924C0F}">
          <x14:formula1>
            <xm:f>'Cost Sheet'!$C$87</xm:f>
          </x14:formula1>
          <xm:sqref>D97</xm:sqref>
        </x14:dataValidation>
        <x14:dataValidation type="list" allowBlank="1" showInputMessage="1" showErrorMessage="1" xr:uid="{5AC1DE49-2603-4548-8D7B-7224E7C499A1}">
          <x14:formula1>
            <xm:f>'Cost Sheet'!$C$93:$C$94</xm:f>
          </x14:formula1>
          <xm:sqref>D98</xm:sqref>
        </x14:dataValidation>
        <x14:dataValidation type="list" allowBlank="1" showInputMessage="1" showErrorMessage="1" xr:uid="{BDED2D79-8816-4B50-8E46-1CE032B0CFB4}">
          <x14:formula1>
            <xm:f>'Cost Sheet'!$C$101</xm:f>
          </x14:formula1>
          <xm:sqref>D99</xm:sqref>
        </x14:dataValidation>
        <x14:dataValidation type="list" allowBlank="1" showInputMessage="1" showErrorMessage="1" xr:uid="{72CB6F85-AB38-49CF-93E2-60E9B234EA38}">
          <x14:formula1>
            <xm:f>'Cost Sheet'!$C$150</xm:f>
          </x14:formula1>
          <xm:sqref>D100</xm:sqref>
        </x14:dataValidation>
        <x14:dataValidation type="list" allowBlank="1" showInputMessage="1" showErrorMessage="1" xr:uid="{6EBA661C-BDAF-40E8-AADA-9C8B28A2D798}">
          <x14:formula1>
            <xm:f>'Cost Sheet'!$C$151:$C$152</xm:f>
          </x14:formula1>
          <xm:sqref>D101</xm:sqref>
        </x14:dataValidation>
        <x14:dataValidation type="list" allowBlank="1" showInputMessage="1" showErrorMessage="1" xr:uid="{23DBA0E2-7A6C-48CD-A41C-CB9942645890}">
          <x14:formula1>
            <xm:f>'Cost Sheet'!$C$153</xm:f>
          </x14:formula1>
          <xm:sqref>D102</xm:sqref>
        </x14:dataValidation>
        <x14:dataValidation type="list" allowBlank="1" showInputMessage="1" showErrorMessage="1" xr:uid="{4615A9B8-8BEB-40DE-8CED-792162F333B5}">
          <x14:formula1>
            <xm:f>'Cost Sheet'!$C$154:$C$156</xm:f>
          </x14:formula1>
          <xm:sqref>D104</xm:sqref>
        </x14:dataValidation>
        <x14:dataValidation type="list" allowBlank="1" showInputMessage="1" showErrorMessage="1" xr:uid="{AD313D24-F27F-43D8-B7A5-0DCB3A51BEE2}">
          <x14:formula1>
            <xm:f>_xlfn.ANCHORARRAY('Door Table'!$H$134)</xm:f>
          </x14:formula1>
          <xm:sqref>D87</xm:sqref>
        </x14:dataValidation>
        <x14:dataValidation type="list" allowBlank="1" showInputMessage="1" showErrorMessage="1" xr:uid="{C9B6D70E-0C89-446E-83D2-D1BD2A74D55A}">
          <x14:formula1>
            <xm:f>_xlfn.ANCHORARRAY('Door Table'!$M$134)</xm:f>
          </x14:formula1>
          <xm:sqref>D92</xm:sqref>
        </x14:dataValidation>
        <x14:dataValidation type="list" allowBlank="1" showInputMessage="1" showErrorMessage="1" xr:uid="{4B9927DC-A303-40D1-93BD-E090876C3176}">
          <x14:formula1>
            <xm:f>_xlfn.ANCHORARRAY('Door Table'!$E$134)</xm:f>
          </x14:formula1>
          <xm:sqref>D84</xm:sqref>
        </x14:dataValidation>
        <x14:dataValidation type="list" allowBlank="1" showInputMessage="1" showErrorMessage="1" xr:uid="{D33B98B8-AEDC-4A09-B56F-7CE3127658CE}">
          <x14:formula1>
            <xm:f>_xlfn.ANCHORARRAY('Door Table'!$F$134)</xm:f>
          </x14:formula1>
          <xm:sqref>D85</xm:sqref>
        </x14:dataValidation>
        <x14:dataValidation type="list" allowBlank="1" showInputMessage="1" showErrorMessage="1" xr:uid="{8D6E2CC8-52B0-47B9-8118-F6132A74FDB3}">
          <x14:formula1>
            <xm:f>'Door Table'!$AB$143:$AB$146</xm:f>
          </x14:formula1>
          <xm:sqref>D77:D80</xm:sqref>
        </x14:dataValidation>
        <x14:dataValidation type="list" allowBlank="1" showInputMessage="1" showErrorMessage="1" xr:uid="{F1E41A5E-3C55-46B0-92A8-CDBFB41108C7}">
          <x14:formula1>
            <xm:f>'Cost Sheet'!$C$227</xm:f>
          </x14:formula1>
          <xm:sqref>D103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35BBB-4706-4115-85E6-32164ED7B4D1}">
  <sheetPr codeName="Sheet8">
    <tabColor rgb="FFFF0000"/>
  </sheetPr>
  <dimension ref="A1:AV238"/>
  <sheetViews>
    <sheetView zoomScale="115" zoomScaleNormal="115" workbookViewId="0">
      <pane xSplit="3" ySplit="2" topLeftCell="D136" activePane="bottomRight" state="frozen"/>
      <selection activeCell="M41" sqref="M41"/>
      <selection pane="topRight" activeCell="M41" sqref="M41"/>
      <selection pane="bottomLeft" activeCell="M41" sqref="M41"/>
      <selection pane="bottomRight" activeCell="D65" sqref="D65"/>
    </sheetView>
  </sheetViews>
  <sheetFormatPr defaultRowHeight="15.5" x14ac:dyDescent="0.35"/>
  <cols>
    <col min="1" max="1" width="19.5" bestFit="1" customWidth="1"/>
    <col min="2" max="2" width="18.33203125" style="63" customWidth="1"/>
    <col min="3" max="3" width="40" bestFit="1" customWidth="1"/>
    <col min="4" max="4" width="16" customWidth="1"/>
    <col min="5" max="5" width="14.75" style="63" bestFit="1" customWidth="1"/>
    <col min="6" max="7" width="8.75" style="63" customWidth="1"/>
    <col min="8" max="8" width="9.08203125" style="63" customWidth="1"/>
    <col min="9" max="9" width="9.33203125" style="63" bestFit="1" customWidth="1"/>
    <col min="10" max="11" width="9.08203125" style="63" bestFit="1" customWidth="1"/>
    <col min="12" max="12" width="14.58203125" style="63" bestFit="1" customWidth="1"/>
    <col min="13" max="16" width="18.33203125" customWidth="1"/>
    <col min="17" max="17" width="2" customWidth="1"/>
    <col min="18" max="19" width="18.33203125" customWidth="1"/>
    <col min="20" max="20" width="2.58203125" customWidth="1"/>
    <col min="21" max="23" width="18.33203125" customWidth="1"/>
    <col min="24" max="24" width="2.83203125" customWidth="1"/>
    <col min="25" max="28" width="18.33203125" customWidth="1"/>
    <col min="30" max="30" width="18" bestFit="1" customWidth="1"/>
    <col min="31" max="32" width="11.08203125" customWidth="1"/>
    <col min="33" max="33" width="4.08203125" customWidth="1"/>
    <col min="34" max="35" width="11.08203125" customWidth="1"/>
    <col min="36" max="36" width="4.08203125" customWidth="1"/>
    <col min="37" max="38" width="11.08203125" customWidth="1"/>
    <col min="39" max="39" width="3.33203125" customWidth="1"/>
    <col min="40" max="40" width="21.08203125" bestFit="1" customWidth="1"/>
    <col min="45" max="45" width="18.33203125" style="63" customWidth="1"/>
    <col min="46" max="46" width="19.08203125" style="63" bestFit="1" customWidth="1"/>
    <col min="47" max="48" width="18.33203125" style="63" customWidth="1"/>
    <col min="49" max="49" width="13.58203125" customWidth="1"/>
    <col min="50" max="50" width="16.58203125" customWidth="1"/>
  </cols>
  <sheetData>
    <row r="1" spans="1:38" ht="18.649999999999999" customHeight="1" thickBot="1" x14ac:dyDescent="0.4">
      <c r="A1" s="141" t="s">
        <v>553</v>
      </c>
      <c r="B1" s="566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957" t="s">
        <v>554</v>
      </c>
      <c r="P1" s="957"/>
      <c r="Q1" s="315"/>
      <c r="R1" s="957" t="s">
        <v>527</v>
      </c>
      <c r="S1" s="957"/>
      <c r="T1" s="315"/>
      <c r="U1" s="957" t="s">
        <v>555</v>
      </c>
      <c r="V1" s="957"/>
      <c r="W1" s="140"/>
      <c r="X1" s="15"/>
      <c r="Y1" s="453" t="s">
        <v>556</v>
      </c>
      <c r="Z1" s="454">
        <v>1.45</v>
      </c>
      <c r="AA1" s="15"/>
      <c r="AB1" s="105"/>
    </row>
    <row r="2" spans="1:38" ht="62.5" thickBot="1" x14ac:dyDescent="0.4">
      <c r="A2" s="118" t="s">
        <v>557</v>
      </c>
      <c r="B2" s="118" t="s">
        <v>433</v>
      </c>
      <c r="C2" s="119" t="s">
        <v>558</v>
      </c>
      <c r="D2" s="1010" t="s">
        <v>559</v>
      </c>
      <c r="E2" s="118" t="s">
        <v>413</v>
      </c>
      <c r="F2" s="110" t="s">
        <v>560</v>
      </c>
      <c r="G2" s="111" t="s">
        <v>561</v>
      </c>
      <c r="H2" s="111" t="s">
        <v>562</v>
      </c>
      <c r="I2" s="111" t="s">
        <v>563</v>
      </c>
      <c r="J2" s="110" t="s">
        <v>564</v>
      </c>
      <c r="K2" s="110" t="s">
        <v>565</v>
      </c>
      <c r="L2" s="111" t="s">
        <v>566</v>
      </c>
      <c r="M2" s="111" t="s">
        <v>567</v>
      </c>
      <c r="N2" s="138" t="s">
        <v>568</v>
      </c>
      <c r="O2" s="111" t="s">
        <v>316</v>
      </c>
      <c r="P2" s="138" t="s">
        <v>569</v>
      </c>
      <c r="Q2" s="316"/>
      <c r="R2" s="111" t="s">
        <v>316</v>
      </c>
      <c r="S2" s="138" t="s">
        <v>569</v>
      </c>
      <c r="T2" s="316"/>
      <c r="U2" s="111" t="s">
        <v>316</v>
      </c>
      <c r="V2" s="138" t="s">
        <v>569</v>
      </c>
      <c r="W2" s="110" t="s">
        <v>570</v>
      </c>
      <c r="X2" s="15"/>
      <c r="Y2" s="451" t="s">
        <v>571</v>
      </c>
      <c r="Z2" s="452" t="s">
        <v>572</v>
      </c>
      <c r="AA2" s="120" t="s">
        <v>573</v>
      </c>
      <c r="AB2" s="110" t="s">
        <v>574</v>
      </c>
      <c r="AE2" s="959" t="s">
        <v>575</v>
      </c>
      <c r="AF2" s="960"/>
      <c r="AG2" s="960"/>
      <c r="AH2" s="960"/>
      <c r="AI2" s="960"/>
      <c r="AJ2" s="960"/>
      <c r="AK2" s="960"/>
      <c r="AL2" s="961"/>
    </row>
    <row r="3" spans="1:38" x14ac:dyDescent="0.35">
      <c r="A3" s="49" t="s">
        <v>576</v>
      </c>
      <c r="B3" s="121" t="s">
        <v>577</v>
      </c>
      <c r="C3" s="567" t="s">
        <v>51</v>
      </c>
      <c r="D3" s="1012" t="s">
        <v>1067</v>
      </c>
      <c r="E3" s="1009" t="s">
        <v>578</v>
      </c>
      <c r="F3" s="121" t="s">
        <v>579</v>
      </c>
      <c r="G3" s="122">
        <v>1.22</v>
      </c>
      <c r="H3" s="122">
        <v>44000</v>
      </c>
      <c r="I3" s="122">
        <v>4</v>
      </c>
      <c r="J3" s="121">
        <v>0.90600000000000003</v>
      </c>
      <c r="K3" s="121">
        <f>ROUNDDOWN(((H3/J3)/I3),0)</f>
        <v>12141</v>
      </c>
      <c r="L3" s="123">
        <v>39600</v>
      </c>
      <c r="M3" s="123">
        <f>+L3*$Z$1</f>
        <v>57420</v>
      </c>
      <c r="N3" s="142">
        <f>+W3</f>
        <v>1.1823573017049667</v>
      </c>
      <c r="O3" s="143">
        <f>+$AF$11</f>
        <v>0</v>
      </c>
      <c r="P3" s="139">
        <f>IF(N3="Cost Required - Purchasing",N3,N3/(1-O3))</f>
        <v>1.1823573017049667</v>
      </c>
      <c r="Q3" s="317"/>
      <c r="R3" s="143">
        <f>+$AI$11</f>
        <v>0</v>
      </c>
      <c r="S3" s="139">
        <f>IF(N3="Cost Required - Purchasing",N3,N3/(1-R3))</f>
        <v>1.1823573017049667</v>
      </c>
      <c r="T3" s="317"/>
      <c r="U3" s="143">
        <f>+$AL$11</f>
        <v>0</v>
      </c>
      <c r="V3" s="139">
        <f>IF(N3="Cost Required - Purchasing",N3,N3/(1-U3))</f>
        <v>1.1823573017049667</v>
      </c>
      <c r="W3" s="124">
        <f t="shared" ref="W3:W17" si="0">+M3/(K3*I3)</f>
        <v>1.1823573017049667</v>
      </c>
      <c r="X3" s="15"/>
      <c r="Y3" s="125">
        <f t="shared" ref="Y3:Y16" si="1">+M3</f>
        <v>57420</v>
      </c>
      <c r="Z3" s="126"/>
      <c r="AA3" s="127"/>
      <c r="AB3" s="128">
        <f>+IFERROR(((Y3-Z3)/Z3),0%)</f>
        <v>0</v>
      </c>
      <c r="AE3" s="958" t="s">
        <v>580</v>
      </c>
      <c r="AF3" s="958"/>
      <c r="AH3" s="958" t="s">
        <v>581</v>
      </c>
      <c r="AI3" s="958"/>
      <c r="AK3" s="958" t="s">
        <v>582</v>
      </c>
      <c r="AL3" s="958"/>
    </row>
    <row r="4" spans="1:38" x14ac:dyDescent="0.35">
      <c r="A4" s="49"/>
      <c r="B4" s="121" t="s">
        <v>577</v>
      </c>
      <c r="C4" s="567" t="s">
        <v>1007</v>
      </c>
      <c r="D4" s="1013"/>
      <c r="E4" s="1009" t="s">
        <v>578</v>
      </c>
      <c r="F4" s="121" t="s">
        <v>579</v>
      </c>
      <c r="G4" s="122">
        <v>1.22</v>
      </c>
      <c r="H4" s="122">
        <v>44000</v>
      </c>
      <c r="I4" s="122">
        <v>4</v>
      </c>
      <c r="J4" s="121">
        <v>0.90600000000000003</v>
      </c>
      <c r="K4" s="121">
        <f>ROUNDDOWN(((H4/J4)/I4),0)</f>
        <v>12141</v>
      </c>
      <c r="L4" s="123">
        <v>39600</v>
      </c>
      <c r="M4" s="123">
        <f>+L4*$Z$1</f>
        <v>57420</v>
      </c>
      <c r="N4" s="142">
        <v>1.45</v>
      </c>
      <c r="O4" s="143">
        <f>+$AF$11</f>
        <v>0</v>
      </c>
      <c r="P4" s="139">
        <f>IF(N4="Cost Required - Purchasing",N4,N4/(1-O4))</f>
        <v>1.45</v>
      </c>
      <c r="Q4" s="317"/>
      <c r="R4" s="143">
        <f>+$AI$11</f>
        <v>0</v>
      </c>
      <c r="S4" s="139">
        <f>IF(N4="Cost Required - Purchasing",N4,N4/(1-R4))</f>
        <v>1.45</v>
      </c>
      <c r="T4" s="317"/>
      <c r="U4" s="143">
        <f>+$AL$11</f>
        <v>0</v>
      </c>
      <c r="V4" s="139">
        <f>IF(N4="Cost Required - Purchasing",N4,N4/(1-U4))</f>
        <v>1.45</v>
      </c>
      <c r="W4" s="124">
        <f t="shared" ref="W4" si="2">+M4/(K4*I4)</f>
        <v>1.1823573017049667</v>
      </c>
      <c r="X4" s="15"/>
      <c r="Y4" s="125">
        <f t="shared" ref="Y4" si="3">+M4</f>
        <v>57420</v>
      </c>
      <c r="Z4" s="126"/>
      <c r="AA4" s="127"/>
      <c r="AB4" s="128">
        <f>+IFERROR(((Y4-Z4)/Z4),0%)</f>
        <v>0</v>
      </c>
      <c r="AE4" s="958" t="s">
        <v>580</v>
      </c>
      <c r="AF4" s="958"/>
      <c r="AH4" s="958" t="s">
        <v>581</v>
      </c>
      <c r="AI4" s="958"/>
      <c r="AK4" s="958" t="s">
        <v>582</v>
      </c>
      <c r="AL4" s="958"/>
    </row>
    <row r="5" spans="1:38" x14ac:dyDescent="0.35">
      <c r="A5" s="49" t="s">
        <v>576</v>
      </c>
      <c r="B5" s="121" t="s">
        <v>577</v>
      </c>
      <c r="C5" s="567" t="s">
        <v>370</v>
      </c>
      <c r="D5" s="1013"/>
      <c r="E5" s="1009" t="s">
        <v>578</v>
      </c>
      <c r="F5" s="121" t="s">
        <v>579</v>
      </c>
      <c r="G5" s="122">
        <v>1.1299999999999999</v>
      </c>
      <c r="H5" s="122">
        <v>44000</v>
      </c>
      <c r="I5" s="122">
        <v>4</v>
      </c>
      <c r="J5" s="121">
        <v>0.90600000000000003</v>
      </c>
      <c r="K5" s="121">
        <f t="shared" ref="K5:K17" si="4">ROUNDDOWN(((H5/J5)/I5),0)</f>
        <v>12141</v>
      </c>
      <c r="L5" s="123">
        <v>37400</v>
      </c>
      <c r="M5" s="123">
        <f>+L5*$Z$1</f>
        <v>54230</v>
      </c>
      <c r="N5" s="142">
        <f t="shared" ref="N5:N16" si="5">W5</f>
        <v>1.1166707849435795</v>
      </c>
      <c r="O5" s="143">
        <f t="shared" ref="O5:O88" si="6">+$AF$11</f>
        <v>0</v>
      </c>
      <c r="P5" s="139">
        <f t="shared" ref="P5:P88" si="7">IF(N5="Cost Required - Purchasing",N5,N5/(1-O5))</f>
        <v>1.1166707849435795</v>
      </c>
      <c r="Q5" s="317"/>
      <c r="R5" s="143">
        <f t="shared" ref="R5:R87" si="8">+$AI$11</f>
        <v>0</v>
      </c>
      <c r="S5" s="139">
        <f t="shared" ref="S5:S87" si="9">IF(N5="Cost Required - Purchasing",N5,N5/(1-R5))</f>
        <v>1.1166707849435795</v>
      </c>
      <c r="T5" s="317"/>
      <c r="U5" s="143">
        <f t="shared" ref="U5:U87" si="10">+$AL$11</f>
        <v>0</v>
      </c>
      <c r="V5" s="139">
        <f t="shared" ref="V5:V87" si="11">IF(N5="Cost Required - Purchasing",N5,N5/(1-U5))</f>
        <v>1.1166707849435795</v>
      </c>
      <c r="W5" s="124">
        <f t="shared" si="0"/>
        <v>1.1166707849435795</v>
      </c>
      <c r="X5" s="15"/>
      <c r="Y5" s="125">
        <f t="shared" si="1"/>
        <v>54230</v>
      </c>
      <c r="Z5" s="126"/>
      <c r="AA5" s="127"/>
      <c r="AB5" s="128">
        <f t="shared" ref="AB5:AB131" si="12">+IFERROR(((Y5-Z5)/Z5),0%)</f>
        <v>0</v>
      </c>
      <c r="AE5" s="11" t="s">
        <v>583</v>
      </c>
      <c r="AF5" s="314">
        <v>0</v>
      </c>
      <c r="AH5" s="11" t="s">
        <v>583</v>
      </c>
      <c r="AI5" s="314">
        <v>0</v>
      </c>
      <c r="AK5" s="11" t="s">
        <v>583</v>
      </c>
      <c r="AL5" s="314">
        <v>0</v>
      </c>
    </row>
    <row r="6" spans="1:38" x14ac:dyDescent="0.35">
      <c r="A6" s="49" t="s">
        <v>584</v>
      </c>
      <c r="B6" s="121" t="s">
        <v>577</v>
      </c>
      <c r="C6" s="567" t="s">
        <v>516</v>
      </c>
      <c r="D6" s="1013"/>
      <c r="E6" s="1009" t="s">
        <v>585</v>
      </c>
      <c r="F6" s="121" t="s">
        <v>579</v>
      </c>
      <c r="G6" s="122">
        <v>3</v>
      </c>
      <c r="H6" s="122">
        <v>4000</v>
      </c>
      <c r="I6" s="122">
        <v>4</v>
      </c>
      <c r="J6" s="121">
        <v>1.008</v>
      </c>
      <c r="K6" s="121">
        <f t="shared" si="4"/>
        <v>992</v>
      </c>
      <c r="L6" s="122"/>
      <c r="M6" s="123">
        <f>+G6*H6</f>
        <v>12000</v>
      </c>
      <c r="N6" s="142">
        <f t="shared" si="5"/>
        <v>3.024193548387097</v>
      </c>
      <c r="O6" s="143">
        <f t="shared" si="6"/>
        <v>0</v>
      </c>
      <c r="P6" s="139">
        <f t="shared" si="7"/>
        <v>3.024193548387097</v>
      </c>
      <c r="Q6" s="317"/>
      <c r="R6" s="143">
        <f t="shared" si="8"/>
        <v>0</v>
      </c>
      <c r="S6" s="139">
        <f t="shared" si="9"/>
        <v>3.024193548387097</v>
      </c>
      <c r="T6" s="317"/>
      <c r="U6" s="143">
        <f t="shared" si="10"/>
        <v>0</v>
      </c>
      <c r="V6" s="139">
        <f t="shared" si="11"/>
        <v>3.024193548387097</v>
      </c>
      <c r="W6" s="124">
        <f t="shared" si="0"/>
        <v>3.024193548387097</v>
      </c>
      <c r="X6" s="15"/>
      <c r="Y6" s="125">
        <f t="shared" si="1"/>
        <v>12000</v>
      </c>
      <c r="Z6" s="126"/>
      <c r="AA6" s="127"/>
      <c r="AB6" s="128">
        <f t="shared" si="12"/>
        <v>0</v>
      </c>
      <c r="AE6" s="11" t="s">
        <v>586</v>
      </c>
      <c r="AF6" s="314">
        <v>0</v>
      </c>
      <c r="AH6" s="11" t="s">
        <v>586</v>
      </c>
      <c r="AI6" s="314">
        <v>0</v>
      </c>
      <c r="AK6" s="11" t="s">
        <v>586</v>
      </c>
      <c r="AL6" s="314">
        <v>0</v>
      </c>
    </row>
    <row r="7" spans="1:38" x14ac:dyDescent="0.35">
      <c r="A7" s="49" t="s">
        <v>970</v>
      </c>
      <c r="B7" s="121" t="s">
        <v>577</v>
      </c>
      <c r="C7" s="567" t="s">
        <v>971</v>
      </c>
      <c r="D7" s="1013"/>
      <c r="E7" s="1009" t="s">
        <v>585</v>
      </c>
      <c r="F7" s="121" t="s">
        <v>579</v>
      </c>
      <c r="G7" s="122">
        <v>2.59</v>
      </c>
      <c r="H7" s="122">
        <v>5000</v>
      </c>
      <c r="I7" s="122">
        <v>4</v>
      </c>
      <c r="J7" s="121">
        <v>1.008</v>
      </c>
      <c r="K7" s="121">
        <f t="shared" si="4"/>
        <v>1240</v>
      </c>
      <c r="L7" s="122"/>
      <c r="M7" s="123">
        <f>12950+90</f>
        <v>13040</v>
      </c>
      <c r="N7" s="142">
        <f t="shared" si="5"/>
        <v>2.629032258064516</v>
      </c>
      <c r="O7" s="143"/>
      <c r="P7" s="139"/>
      <c r="Q7" s="317"/>
      <c r="R7" s="143"/>
      <c r="S7" s="139"/>
      <c r="T7" s="317"/>
      <c r="U7" s="143"/>
      <c r="V7" s="139"/>
      <c r="W7" s="124">
        <f t="shared" si="0"/>
        <v>2.629032258064516</v>
      </c>
      <c r="X7" s="15"/>
      <c r="Y7" s="125"/>
      <c r="Z7" s="126"/>
      <c r="AA7" s="127"/>
      <c r="AB7" s="128"/>
      <c r="AE7" s="11"/>
      <c r="AF7" s="314"/>
      <c r="AH7" s="11"/>
      <c r="AI7" s="314"/>
      <c r="AK7" s="11"/>
      <c r="AL7" s="314"/>
    </row>
    <row r="8" spans="1:38" x14ac:dyDescent="0.35">
      <c r="A8" s="49" t="s">
        <v>593</v>
      </c>
      <c r="B8" s="121" t="s">
        <v>577</v>
      </c>
      <c r="C8" s="567" t="s">
        <v>972</v>
      </c>
      <c r="D8" s="1013"/>
      <c r="E8" s="1009" t="s">
        <v>585</v>
      </c>
      <c r="F8" s="121"/>
      <c r="G8" s="122">
        <v>2.35</v>
      </c>
      <c r="H8" s="122">
        <v>1428</v>
      </c>
      <c r="I8" s="122">
        <v>4</v>
      </c>
      <c r="J8" s="121">
        <v>1.008</v>
      </c>
      <c r="K8" s="121">
        <f t="shared" si="4"/>
        <v>354</v>
      </c>
      <c r="L8" s="122"/>
      <c r="M8" s="123">
        <v>3405.8</v>
      </c>
      <c r="N8" s="142">
        <f t="shared" si="5"/>
        <v>2.4052259887005651</v>
      </c>
      <c r="O8" s="143"/>
      <c r="P8" s="139"/>
      <c r="Q8" s="317"/>
      <c r="R8" s="143"/>
      <c r="S8" s="139"/>
      <c r="T8" s="317"/>
      <c r="U8" s="143"/>
      <c r="V8" s="139"/>
      <c r="W8" s="124">
        <f t="shared" si="0"/>
        <v>2.4052259887005651</v>
      </c>
      <c r="X8" s="15"/>
      <c r="Y8" s="125"/>
      <c r="Z8" s="126"/>
      <c r="AA8" s="127"/>
      <c r="AB8" s="128"/>
      <c r="AE8" s="11"/>
      <c r="AF8" s="314"/>
      <c r="AH8" s="11"/>
      <c r="AI8" s="314"/>
      <c r="AK8" s="11"/>
      <c r="AL8" s="314"/>
    </row>
    <row r="9" spans="1:38" x14ac:dyDescent="0.35">
      <c r="A9" s="49" t="s">
        <v>588</v>
      </c>
      <c r="B9" s="121" t="s">
        <v>577</v>
      </c>
      <c r="C9" s="567" t="s">
        <v>595</v>
      </c>
      <c r="D9" s="1013"/>
      <c r="E9" s="1009" t="s">
        <v>585</v>
      </c>
      <c r="F9" s="121" t="s">
        <v>579</v>
      </c>
      <c r="G9" s="122">
        <v>2.0499999999999998</v>
      </c>
      <c r="H9" s="122">
        <v>4000</v>
      </c>
      <c r="I9" s="122">
        <v>4</v>
      </c>
      <c r="J9" s="121">
        <v>2.016</v>
      </c>
      <c r="K9" s="121">
        <f>ROUNDDOWN(((H9/J9)/I9),0)</f>
        <v>496</v>
      </c>
      <c r="L9" s="122"/>
      <c r="M9" s="123">
        <v>12000</v>
      </c>
      <c r="N9" s="142">
        <f>W9</f>
        <v>6.0483870967741939</v>
      </c>
      <c r="O9" s="143">
        <f t="shared" si="6"/>
        <v>0</v>
      </c>
      <c r="P9" s="139">
        <f>IF(N9="Cost Required - Purchasing",N9,N9/(1-O9))</f>
        <v>6.0483870967741939</v>
      </c>
      <c r="Q9" s="317"/>
      <c r="R9" s="143">
        <f t="shared" si="8"/>
        <v>0</v>
      </c>
      <c r="S9" s="139">
        <f>IF(N9="Cost Required - Purchasing",N9,N9/(1-R9))</f>
        <v>6.0483870967741939</v>
      </c>
      <c r="T9" s="317"/>
      <c r="U9" s="143">
        <f t="shared" si="10"/>
        <v>0</v>
      </c>
      <c r="V9" s="139">
        <f>IF(N9="Cost Required - Purchasing",N9,N9/(1-U9))</f>
        <v>6.0483870967741939</v>
      </c>
      <c r="W9" s="124">
        <f>+M9/(K9*I9)</f>
        <v>6.0483870967741939</v>
      </c>
      <c r="X9" s="15"/>
      <c r="Y9" s="125">
        <f>+M9</f>
        <v>12000</v>
      </c>
      <c r="Z9" s="126"/>
      <c r="AA9" s="127"/>
      <c r="AB9" s="128">
        <f>+IFERROR(((Y9-Z9)/Z9),0%)</f>
        <v>0</v>
      </c>
    </row>
    <row r="10" spans="1:38" x14ac:dyDescent="0.35">
      <c r="A10" s="49" t="s">
        <v>587</v>
      </c>
      <c r="B10" s="121" t="s">
        <v>577</v>
      </c>
      <c r="C10" s="567" t="s">
        <v>518</v>
      </c>
      <c r="D10" s="1013"/>
      <c r="E10" s="1009" t="s">
        <v>578</v>
      </c>
      <c r="F10" s="121" t="s">
        <v>579</v>
      </c>
      <c r="G10" s="439">
        <v>0.74</v>
      </c>
      <c r="H10" s="122">
        <v>10000</v>
      </c>
      <c r="I10" s="122">
        <v>4</v>
      </c>
      <c r="J10" s="121">
        <v>2.1560000000000001</v>
      </c>
      <c r="K10" s="121">
        <f t="shared" si="4"/>
        <v>1159</v>
      </c>
      <c r="L10" s="122"/>
      <c r="M10" s="123">
        <f>+G10*H10</f>
        <v>7400</v>
      </c>
      <c r="N10" s="142">
        <f t="shared" si="5"/>
        <v>1.5962036238136323</v>
      </c>
      <c r="O10" s="143">
        <f t="shared" si="6"/>
        <v>0</v>
      </c>
      <c r="P10" s="139">
        <f t="shared" si="7"/>
        <v>1.5962036238136323</v>
      </c>
      <c r="Q10" s="317"/>
      <c r="R10" s="143">
        <f t="shared" si="8"/>
        <v>0</v>
      </c>
      <c r="S10" s="139">
        <f t="shared" si="9"/>
        <v>1.5962036238136323</v>
      </c>
      <c r="T10" s="317"/>
      <c r="U10" s="143">
        <f t="shared" si="10"/>
        <v>0</v>
      </c>
      <c r="V10" s="139">
        <f t="shared" si="11"/>
        <v>1.5962036238136323</v>
      </c>
      <c r="W10" s="124">
        <f t="shared" si="0"/>
        <v>1.5962036238136323</v>
      </c>
      <c r="X10" s="15"/>
      <c r="Y10" s="125">
        <f t="shared" si="1"/>
        <v>7400</v>
      </c>
      <c r="Z10" s="126"/>
      <c r="AA10" s="127"/>
      <c r="AB10" s="128">
        <f t="shared" si="12"/>
        <v>0</v>
      </c>
      <c r="AE10" s="11"/>
      <c r="AF10" s="314"/>
      <c r="AH10" s="11"/>
      <c r="AI10" s="314"/>
      <c r="AK10" s="11"/>
      <c r="AL10" s="314"/>
    </row>
    <row r="11" spans="1:38" x14ac:dyDescent="0.35">
      <c r="A11" s="49" t="s">
        <v>587</v>
      </c>
      <c r="B11" s="121" t="s">
        <v>577</v>
      </c>
      <c r="C11" s="567" t="s">
        <v>519</v>
      </c>
      <c r="D11" s="1013"/>
      <c r="E11" s="1009" t="s">
        <v>578</v>
      </c>
      <c r="F11" s="121" t="s">
        <v>579</v>
      </c>
      <c r="G11" s="439">
        <v>0.86950000000000005</v>
      </c>
      <c r="H11" s="122">
        <v>2719</v>
      </c>
      <c r="I11" s="122">
        <v>4</v>
      </c>
      <c r="J11" s="121">
        <v>4.5309999999999997</v>
      </c>
      <c r="K11" s="121">
        <f t="shared" si="4"/>
        <v>150</v>
      </c>
      <c r="L11" s="122"/>
      <c r="M11" s="123">
        <f>+G11*H11</f>
        <v>2364.1705000000002</v>
      </c>
      <c r="N11" s="142">
        <f t="shared" si="5"/>
        <v>3.9402841666666668</v>
      </c>
      <c r="O11" s="143">
        <f t="shared" si="6"/>
        <v>0</v>
      </c>
      <c r="P11" s="139">
        <f t="shared" si="7"/>
        <v>3.9402841666666668</v>
      </c>
      <c r="Q11" s="317"/>
      <c r="R11" s="143">
        <f t="shared" si="8"/>
        <v>0</v>
      </c>
      <c r="S11" s="139">
        <f t="shared" si="9"/>
        <v>3.9402841666666668</v>
      </c>
      <c r="T11" s="317"/>
      <c r="U11" s="143">
        <f t="shared" si="10"/>
        <v>0</v>
      </c>
      <c r="V11" s="139">
        <f t="shared" si="11"/>
        <v>3.9402841666666668</v>
      </c>
      <c r="W11" s="124">
        <f t="shared" si="0"/>
        <v>3.9402841666666668</v>
      </c>
      <c r="X11" s="15"/>
      <c r="Y11" s="125">
        <f t="shared" si="1"/>
        <v>2364.1705000000002</v>
      </c>
      <c r="Z11" s="126"/>
      <c r="AA11" s="127"/>
      <c r="AB11" s="128">
        <f t="shared" si="12"/>
        <v>0</v>
      </c>
      <c r="AE11" s="11" t="s">
        <v>37</v>
      </c>
      <c r="AF11" s="314">
        <v>0</v>
      </c>
      <c r="AH11" s="11" t="s">
        <v>37</v>
      </c>
      <c r="AI11" s="314">
        <v>0</v>
      </c>
      <c r="AK11" s="11" t="s">
        <v>37</v>
      </c>
      <c r="AL11" s="314">
        <v>0</v>
      </c>
    </row>
    <row r="12" spans="1:38" x14ac:dyDescent="0.35">
      <c r="A12" s="49" t="s">
        <v>588</v>
      </c>
      <c r="B12" s="121" t="s">
        <v>577</v>
      </c>
      <c r="C12" s="567" t="s">
        <v>520</v>
      </c>
      <c r="D12" s="1013"/>
      <c r="E12" s="1009" t="s">
        <v>578</v>
      </c>
      <c r="F12" s="121" t="s">
        <v>579</v>
      </c>
      <c r="G12" s="122">
        <v>0.86950000000000005</v>
      </c>
      <c r="H12" s="122">
        <v>1594</v>
      </c>
      <c r="I12" s="122">
        <v>4</v>
      </c>
      <c r="J12" s="121">
        <v>2.6560000000000001</v>
      </c>
      <c r="K12" s="121">
        <f t="shared" si="4"/>
        <v>150</v>
      </c>
      <c r="L12" s="122"/>
      <c r="M12" s="123">
        <f>+G12*H12</f>
        <v>1385.9830000000002</v>
      </c>
      <c r="N12" s="142">
        <f t="shared" si="5"/>
        <v>2.3099716666666668</v>
      </c>
      <c r="O12" s="143">
        <f t="shared" si="6"/>
        <v>0</v>
      </c>
      <c r="P12" s="139">
        <f t="shared" si="7"/>
        <v>2.3099716666666668</v>
      </c>
      <c r="Q12" s="317"/>
      <c r="R12" s="143">
        <f t="shared" si="8"/>
        <v>0</v>
      </c>
      <c r="S12" s="139">
        <f t="shared" si="9"/>
        <v>2.3099716666666668</v>
      </c>
      <c r="T12" s="317"/>
      <c r="U12" s="143">
        <f t="shared" si="10"/>
        <v>0</v>
      </c>
      <c r="V12" s="139">
        <f t="shared" si="11"/>
        <v>2.3099716666666668</v>
      </c>
      <c r="W12" s="124">
        <f t="shared" si="0"/>
        <v>2.3099716666666668</v>
      </c>
      <c r="X12" s="15"/>
      <c r="Y12" s="125">
        <f t="shared" si="1"/>
        <v>1385.9830000000002</v>
      </c>
      <c r="Z12" s="126"/>
      <c r="AA12" s="127"/>
      <c r="AB12" s="128">
        <f t="shared" si="12"/>
        <v>0</v>
      </c>
    </row>
    <row r="13" spans="1:38" x14ac:dyDescent="0.35">
      <c r="A13" s="130" t="s">
        <v>589</v>
      </c>
      <c r="B13" s="146" t="s">
        <v>577</v>
      </c>
      <c r="C13" s="1008" t="s">
        <v>590</v>
      </c>
      <c r="D13" s="1013"/>
      <c r="E13" s="1009"/>
      <c r="F13" s="121" t="s">
        <v>591</v>
      </c>
      <c r="G13" s="122"/>
      <c r="H13" s="122"/>
      <c r="I13" s="122"/>
      <c r="J13" s="121"/>
      <c r="K13" s="121">
        <v>240</v>
      </c>
      <c r="L13" s="122"/>
      <c r="M13" s="123">
        <v>170</v>
      </c>
      <c r="N13" s="142"/>
      <c r="O13" s="143"/>
      <c r="P13" s="139"/>
      <c r="Q13" s="317"/>
      <c r="R13" s="143"/>
      <c r="S13" s="139"/>
      <c r="T13" s="317"/>
      <c r="U13" s="143"/>
      <c r="V13" s="139"/>
      <c r="W13" s="124"/>
      <c r="X13" s="15"/>
      <c r="Y13" s="125"/>
      <c r="Z13" s="126"/>
      <c r="AA13" s="127"/>
      <c r="AB13" s="128"/>
    </row>
    <row r="14" spans="1:38" x14ac:dyDescent="0.35">
      <c r="A14" s="130" t="s">
        <v>589</v>
      </c>
      <c r="B14" s="146" t="s">
        <v>577</v>
      </c>
      <c r="C14" s="1008" t="s">
        <v>592</v>
      </c>
      <c r="D14" s="1013"/>
      <c r="E14" s="1009"/>
      <c r="F14" s="121" t="s">
        <v>591</v>
      </c>
      <c r="G14" s="122"/>
      <c r="H14" s="122"/>
      <c r="I14" s="122"/>
      <c r="J14" s="121"/>
      <c r="K14" s="121">
        <v>240</v>
      </c>
      <c r="L14" s="122"/>
      <c r="M14" s="123">
        <v>205</v>
      </c>
      <c r="N14" s="142"/>
      <c r="O14" s="143"/>
      <c r="P14" s="139"/>
      <c r="Q14" s="317"/>
      <c r="R14" s="143"/>
      <c r="S14" s="139"/>
      <c r="T14" s="317"/>
      <c r="U14" s="143"/>
      <c r="V14" s="139"/>
      <c r="W14" s="124"/>
      <c r="X14" s="15"/>
      <c r="Y14" s="125"/>
      <c r="Z14" s="126"/>
      <c r="AA14" s="127"/>
      <c r="AB14" s="128"/>
    </row>
    <row r="15" spans="1:38" x14ac:dyDescent="0.35">
      <c r="A15" s="49" t="s">
        <v>593</v>
      </c>
      <c r="B15" s="121" t="s">
        <v>577</v>
      </c>
      <c r="C15" s="567" t="s">
        <v>521</v>
      </c>
      <c r="D15" s="1013"/>
      <c r="E15" s="1009" t="s">
        <v>86</v>
      </c>
      <c r="F15" s="121" t="s">
        <v>579</v>
      </c>
      <c r="G15" s="122">
        <v>2.69</v>
      </c>
      <c r="H15" s="122">
        <v>1382</v>
      </c>
      <c r="I15" s="122">
        <v>4</v>
      </c>
      <c r="J15" s="121">
        <v>1.4379999999999999</v>
      </c>
      <c r="K15" s="121">
        <f t="shared" si="4"/>
        <v>240</v>
      </c>
      <c r="L15" s="122"/>
      <c r="M15" s="123">
        <f>+G15*H15</f>
        <v>3717.58</v>
      </c>
      <c r="N15" s="142">
        <f t="shared" si="5"/>
        <v>3.8724791666666665</v>
      </c>
      <c r="O15" s="143">
        <f t="shared" si="6"/>
        <v>0</v>
      </c>
      <c r="P15" s="139">
        <f t="shared" si="7"/>
        <v>3.8724791666666665</v>
      </c>
      <c r="Q15" s="317"/>
      <c r="R15" s="143">
        <f t="shared" si="8"/>
        <v>0</v>
      </c>
      <c r="S15" s="139">
        <f t="shared" si="9"/>
        <v>3.8724791666666665</v>
      </c>
      <c r="T15" s="317"/>
      <c r="U15" s="143">
        <f t="shared" si="10"/>
        <v>0</v>
      </c>
      <c r="V15" s="139">
        <f t="shared" si="11"/>
        <v>3.8724791666666665</v>
      </c>
      <c r="W15" s="124">
        <f t="shared" si="0"/>
        <v>3.8724791666666665</v>
      </c>
      <c r="X15" s="15"/>
      <c r="Y15" s="125">
        <f t="shared" si="1"/>
        <v>3717.58</v>
      </c>
      <c r="Z15" s="126"/>
      <c r="AA15" s="127"/>
      <c r="AB15" s="128">
        <f t="shared" si="12"/>
        <v>0</v>
      </c>
    </row>
    <row r="16" spans="1:38" x14ac:dyDescent="0.35">
      <c r="A16" s="49" t="s">
        <v>593</v>
      </c>
      <c r="B16" s="121" t="s">
        <v>577</v>
      </c>
      <c r="C16" s="567" t="s">
        <v>522</v>
      </c>
      <c r="D16" s="1013"/>
      <c r="E16" s="1009" t="s">
        <v>86</v>
      </c>
      <c r="F16" s="121" t="s">
        <v>579</v>
      </c>
      <c r="G16" s="122">
        <v>2.89</v>
      </c>
      <c r="H16" s="122">
        <v>611</v>
      </c>
      <c r="I16" s="122">
        <v>4</v>
      </c>
      <c r="J16" s="121">
        <v>1.0196000000000001</v>
      </c>
      <c r="K16" s="121">
        <f t="shared" si="4"/>
        <v>149</v>
      </c>
      <c r="L16" s="122"/>
      <c r="M16" s="123">
        <f>+G16*H16</f>
        <v>1765.79</v>
      </c>
      <c r="N16" s="142">
        <f t="shared" si="5"/>
        <v>2.9627348993288591</v>
      </c>
      <c r="O16" s="143">
        <f t="shared" si="6"/>
        <v>0</v>
      </c>
      <c r="P16" s="139">
        <f t="shared" si="7"/>
        <v>2.9627348993288591</v>
      </c>
      <c r="Q16" s="317"/>
      <c r="R16" s="143">
        <f t="shared" si="8"/>
        <v>0</v>
      </c>
      <c r="S16" s="139">
        <f t="shared" si="9"/>
        <v>2.9627348993288591</v>
      </c>
      <c r="T16" s="317"/>
      <c r="U16" s="143">
        <f t="shared" si="10"/>
        <v>0</v>
      </c>
      <c r="V16" s="139">
        <f t="shared" si="11"/>
        <v>2.9627348993288591</v>
      </c>
      <c r="W16" s="124">
        <f t="shared" si="0"/>
        <v>2.9627348993288591</v>
      </c>
      <c r="X16" s="15"/>
      <c r="Y16" s="125">
        <f t="shared" si="1"/>
        <v>1765.79</v>
      </c>
      <c r="Z16" s="126"/>
      <c r="AA16" s="127"/>
      <c r="AB16" s="128">
        <f t="shared" si="12"/>
        <v>0</v>
      </c>
    </row>
    <row r="17" spans="1:28" ht="16" thickBot="1" x14ac:dyDescent="0.4">
      <c r="A17" s="49" t="s">
        <v>593</v>
      </c>
      <c r="B17" s="121" t="s">
        <v>577</v>
      </c>
      <c r="C17" s="567" t="s">
        <v>594</v>
      </c>
      <c r="D17" s="1014"/>
      <c r="E17" s="1009" t="s">
        <v>86</v>
      </c>
      <c r="F17" s="121"/>
      <c r="G17" s="122">
        <v>2.89</v>
      </c>
      <c r="H17" s="122">
        <v>611</v>
      </c>
      <c r="I17" s="122">
        <v>4</v>
      </c>
      <c r="J17" s="121">
        <v>1.0196000000000001</v>
      </c>
      <c r="K17" s="121">
        <f t="shared" si="4"/>
        <v>149</v>
      </c>
      <c r="L17" s="122"/>
      <c r="M17" s="123">
        <f>+G17*H17</f>
        <v>1765.79</v>
      </c>
      <c r="N17" s="142">
        <f t="shared" ref="N17" si="13">W17</f>
        <v>2.9627348993288591</v>
      </c>
      <c r="O17" s="143">
        <f t="shared" si="6"/>
        <v>0</v>
      </c>
      <c r="P17" s="139">
        <f t="shared" ref="P17" si="14">IF(N17="Cost Required - Purchasing",N17,N17/(1-O17))</f>
        <v>2.9627348993288591</v>
      </c>
      <c r="Q17" s="317"/>
      <c r="R17" s="143">
        <f t="shared" si="8"/>
        <v>0</v>
      </c>
      <c r="S17" s="139">
        <f t="shared" ref="S17" si="15">IF(N17="Cost Required - Purchasing",N17,N17/(1-R17))</f>
        <v>2.9627348993288591</v>
      </c>
      <c r="T17" s="317"/>
      <c r="U17" s="143">
        <f t="shared" si="10"/>
        <v>0</v>
      </c>
      <c r="V17" s="139">
        <f t="shared" ref="V17" si="16">IF(N17="Cost Required - Purchasing",N17,N17/(1-U17))</f>
        <v>2.9627348993288591</v>
      </c>
      <c r="W17" s="124">
        <f t="shared" si="0"/>
        <v>2.9627348993288591</v>
      </c>
      <c r="X17" s="15"/>
      <c r="Y17" s="125">
        <f t="shared" ref="Y17" si="17">+M17</f>
        <v>1765.79</v>
      </c>
      <c r="Z17" s="126"/>
      <c r="AA17" s="127"/>
      <c r="AB17" s="128">
        <f t="shared" ref="AB17" si="18">+IFERROR(((Y17-Z17)/Z17),0%)</f>
        <v>0</v>
      </c>
    </row>
    <row r="18" spans="1:28" x14ac:dyDescent="0.35">
      <c r="A18" s="49" t="s">
        <v>596</v>
      </c>
      <c r="B18" s="121" t="s">
        <v>597</v>
      </c>
      <c r="C18" s="28" t="s">
        <v>598</v>
      </c>
      <c r="D18" s="1011"/>
      <c r="E18" s="49"/>
      <c r="F18" s="121" t="s">
        <v>599</v>
      </c>
      <c r="G18" s="122"/>
      <c r="H18" s="122"/>
      <c r="I18" s="122"/>
      <c r="J18" s="121"/>
      <c r="K18" s="121"/>
      <c r="L18" s="122"/>
      <c r="M18" s="123">
        <v>17.5</v>
      </c>
      <c r="N18" s="142">
        <f>+M18/8</f>
        <v>2.1875</v>
      </c>
      <c r="O18" s="143"/>
      <c r="P18" s="139"/>
      <c r="Q18" s="317"/>
      <c r="R18" s="143"/>
      <c r="S18" s="139"/>
      <c r="T18" s="317"/>
      <c r="U18" s="143"/>
      <c r="V18" s="139"/>
      <c r="W18" s="124"/>
      <c r="X18" s="15"/>
      <c r="Y18" s="125"/>
      <c r="Z18" s="126"/>
      <c r="AA18" s="127"/>
      <c r="AB18" s="128"/>
    </row>
    <row r="19" spans="1:28" x14ac:dyDescent="0.35">
      <c r="A19" s="49" t="s">
        <v>596</v>
      </c>
      <c r="B19" s="121" t="s">
        <v>597</v>
      </c>
      <c r="C19" s="28" t="s">
        <v>600</v>
      </c>
      <c r="D19" s="28"/>
      <c r="E19" s="49"/>
      <c r="F19" s="121" t="s">
        <v>601</v>
      </c>
      <c r="G19" s="122"/>
      <c r="H19" s="122"/>
      <c r="I19" s="122"/>
      <c r="J19" s="121"/>
      <c r="K19" s="121"/>
      <c r="L19" s="122"/>
      <c r="M19" s="123">
        <v>6.16</v>
      </c>
      <c r="N19" s="142">
        <f>+M19/100*12</f>
        <v>0.73920000000000008</v>
      </c>
      <c r="O19" s="143"/>
      <c r="P19" s="139"/>
      <c r="Q19" s="317"/>
      <c r="R19" s="143"/>
      <c r="S19" s="139"/>
      <c r="T19" s="317"/>
      <c r="U19" s="143"/>
      <c r="V19" s="139"/>
      <c r="W19" s="124"/>
      <c r="X19" s="15"/>
      <c r="Y19" s="125"/>
      <c r="Z19" s="126"/>
      <c r="AA19" s="127"/>
      <c r="AB19" s="128"/>
    </row>
    <row r="20" spans="1:28" x14ac:dyDescent="0.35">
      <c r="A20" s="49" t="s">
        <v>596</v>
      </c>
      <c r="B20" s="121" t="s">
        <v>597</v>
      </c>
      <c r="C20" s="28" t="s">
        <v>602</v>
      </c>
      <c r="D20" s="28"/>
      <c r="E20" s="49"/>
      <c r="F20" s="121" t="s">
        <v>601</v>
      </c>
      <c r="G20" s="122"/>
      <c r="H20" s="122"/>
      <c r="I20" s="122"/>
      <c r="J20" s="121"/>
      <c r="K20" s="121"/>
      <c r="L20" s="122"/>
      <c r="M20" s="123">
        <v>2.4</v>
      </c>
      <c r="N20" s="142">
        <f>+M20/10</f>
        <v>0.24</v>
      </c>
      <c r="O20" s="143"/>
      <c r="P20" s="139"/>
      <c r="Q20" s="317"/>
      <c r="R20" s="143"/>
      <c r="S20" s="139"/>
      <c r="T20" s="317"/>
      <c r="U20" s="143"/>
      <c r="V20" s="139"/>
      <c r="W20" s="124"/>
      <c r="X20" s="15"/>
      <c r="Y20" s="125"/>
      <c r="Z20" s="126"/>
      <c r="AA20" s="127"/>
      <c r="AB20" s="128"/>
    </row>
    <row r="21" spans="1:28" ht="31" x14ac:dyDescent="0.35">
      <c r="A21" s="49" t="s">
        <v>603</v>
      </c>
      <c r="B21" s="121" t="s">
        <v>604</v>
      </c>
      <c r="C21" s="152" t="s">
        <v>605</v>
      </c>
      <c r="D21" s="28"/>
      <c r="E21" s="49"/>
      <c r="F21" s="121" t="s">
        <v>601</v>
      </c>
      <c r="G21" s="49"/>
      <c r="H21" s="49"/>
      <c r="I21" s="49"/>
      <c r="J21" s="49"/>
      <c r="K21" s="49"/>
      <c r="L21" s="49"/>
      <c r="M21" s="131">
        <v>11.36</v>
      </c>
      <c r="N21" s="142">
        <f>M21</f>
        <v>11.36</v>
      </c>
      <c r="O21" s="143">
        <f t="shared" si="6"/>
        <v>0</v>
      </c>
      <c r="P21" s="139">
        <f t="shared" si="7"/>
        <v>11.36</v>
      </c>
      <c r="Q21" s="317"/>
      <c r="R21" s="143">
        <f t="shared" si="8"/>
        <v>0</v>
      </c>
      <c r="S21" s="139">
        <f t="shared" si="9"/>
        <v>11.36</v>
      </c>
      <c r="T21" s="317"/>
      <c r="U21" s="143">
        <f t="shared" si="10"/>
        <v>0</v>
      </c>
      <c r="V21" s="139">
        <f t="shared" si="11"/>
        <v>11.36</v>
      </c>
      <c r="W21" s="49"/>
      <c r="X21" s="15"/>
      <c r="Y21" s="125">
        <f>+M21</f>
        <v>11.36</v>
      </c>
      <c r="Z21" s="126"/>
      <c r="AA21" s="127"/>
      <c r="AB21" s="128">
        <f>+IFERROR(((Y21-Z21)/Z21),0%)</f>
        <v>0</v>
      </c>
    </row>
    <row r="22" spans="1:28" ht="31" x14ac:dyDescent="0.35">
      <c r="A22" s="49" t="s">
        <v>603</v>
      </c>
      <c r="B22" s="121" t="s">
        <v>604</v>
      </c>
      <c r="C22" s="152" t="s">
        <v>606</v>
      </c>
      <c r="D22" s="28"/>
      <c r="E22" s="49"/>
      <c r="F22" s="121" t="s">
        <v>601</v>
      </c>
      <c r="G22" s="49"/>
      <c r="H22" s="49"/>
      <c r="I22" s="49"/>
      <c r="J22" s="49"/>
      <c r="K22" s="49"/>
      <c r="L22" s="49"/>
      <c r="M22" s="131">
        <v>11.36</v>
      </c>
      <c r="N22" s="142">
        <f>M22</f>
        <v>11.36</v>
      </c>
      <c r="O22" s="143">
        <f t="shared" si="6"/>
        <v>0</v>
      </c>
      <c r="P22" s="139">
        <f t="shared" si="7"/>
        <v>11.36</v>
      </c>
      <c r="Q22" s="317"/>
      <c r="R22" s="143">
        <f t="shared" si="8"/>
        <v>0</v>
      </c>
      <c r="S22" s="139">
        <f t="shared" si="9"/>
        <v>11.36</v>
      </c>
      <c r="T22" s="317"/>
      <c r="U22" s="143">
        <f t="shared" si="10"/>
        <v>0</v>
      </c>
      <c r="V22" s="139">
        <f t="shared" si="11"/>
        <v>11.36</v>
      </c>
      <c r="W22" s="49"/>
      <c r="X22" s="15"/>
      <c r="Y22" s="125">
        <f>+M22</f>
        <v>11.36</v>
      </c>
      <c r="Z22" s="126"/>
      <c r="AA22" s="127"/>
      <c r="AB22" s="128">
        <f>+IFERROR(((Y22-Z22)/Z22),0%)</f>
        <v>0</v>
      </c>
    </row>
    <row r="23" spans="1:28" x14ac:dyDescent="0.35">
      <c r="A23" s="49"/>
      <c r="B23" s="121" t="s">
        <v>607</v>
      </c>
      <c r="C23" s="28" t="s">
        <v>608</v>
      </c>
      <c r="D23" s="28"/>
      <c r="E23" s="49"/>
      <c r="F23" s="121" t="s">
        <v>609</v>
      </c>
      <c r="G23" s="49"/>
      <c r="H23" s="49"/>
      <c r="I23" s="49"/>
      <c r="J23" s="49"/>
      <c r="K23" s="49"/>
      <c r="L23" s="49"/>
      <c r="M23" s="131">
        <v>53.15</v>
      </c>
      <c r="N23" s="142">
        <f>M23</f>
        <v>53.15</v>
      </c>
      <c r="O23" s="143">
        <f t="shared" si="6"/>
        <v>0</v>
      </c>
      <c r="P23" s="139">
        <f t="shared" si="7"/>
        <v>53.15</v>
      </c>
      <c r="Q23" s="317"/>
      <c r="R23" s="143">
        <f t="shared" si="8"/>
        <v>0</v>
      </c>
      <c r="S23" s="139">
        <f t="shared" si="9"/>
        <v>53.15</v>
      </c>
      <c r="T23" s="317"/>
      <c r="U23" s="143">
        <f t="shared" si="10"/>
        <v>0</v>
      </c>
      <c r="V23" s="139">
        <f t="shared" si="11"/>
        <v>53.15</v>
      </c>
      <c r="W23" s="49"/>
      <c r="X23" s="15"/>
      <c r="Y23" s="125">
        <f>+M23</f>
        <v>53.15</v>
      </c>
      <c r="Z23" s="126"/>
      <c r="AA23" s="127"/>
      <c r="AB23" s="128">
        <f>+IFERROR(((Y23-Z23)/Z23),0%)</f>
        <v>0</v>
      </c>
    </row>
    <row r="24" spans="1:28" x14ac:dyDescent="0.35">
      <c r="A24" s="49"/>
      <c r="B24" s="121" t="s">
        <v>607</v>
      </c>
      <c r="C24" s="176" t="s">
        <v>610</v>
      </c>
      <c r="D24" s="28"/>
      <c r="E24" s="49"/>
      <c r="F24" s="121" t="s">
        <v>611</v>
      </c>
      <c r="G24" s="49"/>
      <c r="H24" s="49"/>
      <c r="I24" s="49"/>
      <c r="J24" s="49"/>
      <c r="K24" s="49"/>
      <c r="L24" s="49"/>
      <c r="M24" s="131">
        <f>+M23/12</f>
        <v>4.4291666666666663</v>
      </c>
      <c r="N24" s="142">
        <f>M24</f>
        <v>4.4291666666666663</v>
      </c>
      <c r="O24" s="143">
        <f t="shared" si="6"/>
        <v>0</v>
      </c>
      <c r="P24" s="139">
        <f t="shared" si="7"/>
        <v>4.4291666666666663</v>
      </c>
      <c r="Q24" s="317"/>
      <c r="R24" s="143">
        <f t="shared" si="8"/>
        <v>0</v>
      </c>
      <c r="S24" s="139">
        <f t="shared" si="9"/>
        <v>4.4291666666666663</v>
      </c>
      <c r="T24" s="317"/>
      <c r="U24" s="143">
        <f t="shared" si="10"/>
        <v>0</v>
      </c>
      <c r="V24" s="139">
        <f t="shared" si="11"/>
        <v>4.4291666666666663</v>
      </c>
      <c r="W24" s="49"/>
      <c r="X24" s="15"/>
      <c r="Y24" s="125"/>
      <c r="Z24" s="126"/>
      <c r="AA24" s="127"/>
      <c r="AB24" s="128"/>
    </row>
    <row r="25" spans="1:28" x14ac:dyDescent="0.35">
      <c r="A25" s="49"/>
      <c r="B25" s="121" t="s">
        <v>612</v>
      </c>
      <c r="C25" s="176" t="s">
        <v>613</v>
      </c>
      <c r="D25" s="28"/>
      <c r="E25" s="49"/>
      <c r="F25" s="121" t="s">
        <v>611</v>
      </c>
      <c r="G25" s="49"/>
      <c r="H25" s="49"/>
      <c r="I25" s="49"/>
      <c r="J25" s="49"/>
      <c r="K25" s="49"/>
      <c r="L25" s="49"/>
      <c r="M25" s="131">
        <v>1.05</v>
      </c>
      <c r="N25" s="142">
        <f>M25</f>
        <v>1.05</v>
      </c>
      <c r="O25" s="143">
        <f t="shared" si="6"/>
        <v>0</v>
      </c>
      <c r="P25" s="139">
        <f t="shared" si="7"/>
        <v>1.05</v>
      </c>
      <c r="Q25" s="317"/>
      <c r="R25" s="143">
        <f t="shared" si="8"/>
        <v>0</v>
      </c>
      <c r="S25" s="139">
        <f t="shared" si="9"/>
        <v>1.05</v>
      </c>
      <c r="T25" s="317"/>
      <c r="U25" s="143">
        <f t="shared" si="10"/>
        <v>0</v>
      </c>
      <c r="V25" s="139">
        <f t="shared" ref="V25" si="19">IF(N25="Cost Required - Purchasing",N25,N25/(1-U25))</f>
        <v>1.05</v>
      </c>
      <c r="W25" s="49"/>
      <c r="X25" s="15"/>
      <c r="Y25" s="125"/>
      <c r="Z25" s="126"/>
      <c r="AA25" s="127"/>
      <c r="AB25" s="128"/>
    </row>
    <row r="26" spans="1:28" x14ac:dyDescent="0.35">
      <c r="A26" s="49" t="s">
        <v>587</v>
      </c>
      <c r="B26" s="121" t="s">
        <v>413</v>
      </c>
      <c r="C26" s="129" t="s">
        <v>614</v>
      </c>
      <c r="D26" s="129"/>
      <c r="E26" s="130"/>
      <c r="F26" s="121" t="s">
        <v>579</v>
      </c>
      <c r="G26" s="122"/>
      <c r="H26" s="122"/>
      <c r="I26" s="122"/>
      <c r="J26" s="121"/>
      <c r="K26" s="121"/>
      <c r="L26" s="122"/>
      <c r="M26" s="123">
        <v>0.75</v>
      </c>
      <c r="N26" s="142">
        <f t="shared" ref="N26:N73" si="20">M26</f>
        <v>0.75</v>
      </c>
      <c r="O26" s="143">
        <f t="shared" si="6"/>
        <v>0</v>
      </c>
      <c r="P26" s="139">
        <f t="shared" si="7"/>
        <v>0.75</v>
      </c>
      <c r="Q26" s="317"/>
      <c r="R26" s="143">
        <f t="shared" si="8"/>
        <v>0</v>
      </c>
      <c r="S26" s="139">
        <f t="shared" si="9"/>
        <v>0.75</v>
      </c>
      <c r="T26" s="317"/>
      <c r="U26" s="143">
        <f t="shared" si="10"/>
        <v>0</v>
      </c>
      <c r="V26" s="139">
        <f t="shared" si="11"/>
        <v>0.75</v>
      </c>
      <c r="W26" s="121"/>
      <c r="X26" s="15"/>
      <c r="Y26" s="125"/>
      <c r="Z26" s="126"/>
      <c r="AA26" s="127"/>
      <c r="AB26" s="128"/>
    </row>
    <row r="27" spans="1:28" x14ac:dyDescent="0.35">
      <c r="A27" s="49"/>
      <c r="B27" s="121" t="s">
        <v>615</v>
      </c>
      <c r="C27" s="129" t="s">
        <v>616</v>
      </c>
      <c r="D27" s="129"/>
      <c r="E27" s="130"/>
      <c r="F27" s="121" t="s">
        <v>617</v>
      </c>
      <c r="G27" s="122"/>
      <c r="H27" s="122"/>
      <c r="I27" s="122"/>
      <c r="J27" s="121"/>
      <c r="K27" s="121"/>
      <c r="L27" s="122"/>
      <c r="M27" s="123">
        <f>+M81/(4*8)</f>
        <v>1.140625</v>
      </c>
      <c r="N27" s="142">
        <f t="shared" ref="N27" si="21">M27</f>
        <v>1.140625</v>
      </c>
      <c r="O27" s="143">
        <f t="shared" si="6"/>
        <v>0</v>
      </c>
      <c r="P27" s="139">
        <f t="shared" si="7"/>
        <v>1.140625</v>
      </c>
      <c r="Q27" s="317"/>
      <c r="R27" s="143">
        <f t="shared" si="8"/>
        <v>0</v>
      </c>
      <c r="S27" s="139">
        <f t="shared" si="9"/>
        <v>1.140625</v>
      </c>
      <c r="T27" s="317"/>
      <c r="U27" s="143">
        <f t="shared" si="10"/>
        <v>0</v>
      </c>
      <c r="V27" s="139">
        <f t="shared" si="11"/>
        <v>1.140625</v>
      </c>
      <c r="W27" s="121"/>
      <c r="X27" s="15"/>
      <c r="Y27" s="125"/>
      <c r="Z27" s="126"/>
      <c r="AA27" s="127"/>
      <c r="AB27" s="128"/>
    </row>
    <row r="28" spans="1:28" x14ac:dyDescent="0.35">
      <c r="A28" s="318" t="s">
        <v>618</v>
      </c>
      <c r="B28" s="319" t="s">
        <v>619</v>
      </c>
      <c r="C28" s="320" t="s">
        <v>620</v>
      </c>
      <c r="D28" s="28"/>
      <c r="E28" s="49"/>
      <c r="F28" s="121"/>
      <c r="G28" s="49"/>
      <c r="H28" s="49"/>
      <c r="I28" s="49"/>
      <c r="J28" s="49"/>
      <c r="K28" s="49"/>
      <c r="L28" s="49"/>
      <c r="M28" s="440">
        <v>2750</v>
      </c>
      <c r="N28" s="142">
        <f>M28</f>
        <v>2750</v>
      </c>
      <c r="O28" s="143">
        <f t="shared" si="6"/>
        <v>0</v>
      </c>
      <c r="P28" s="139">
        <f t="shared" ref="P28" si="22">IF(N28="Cost Required - Purchasing",N28,N28/(1-O28))</f>
        <v>2750</v>
      </c>
      <c r="Q28" s="317"/>
      <c r="R28" s="143">
        <f t="shared" si="8"/>
        <v>0</v>
      </c>
      <c r="S28" s="139">
        <f t="shared" ref="S28" si="23">IF(N28="Cost Required - Purchasing",N28,N28/(1-R28))</f>
        <v>2750</v>
      </c>
      <c r="T28" s="317"/>
      <c r="U28" s="143">
        <f t="shared" si="10"/>
        <v>0</v>
      </c>
      <c r="V28" s="139">
        <f t="shared" ref="V28" si="24">IF(N28="Cost Required - Purchasing",N28,N28/(1-U28))</f>
        <v>2750</v>
      </c>
      <c r="W28" s="49"/>
      <c r="X28" s="15"/>
      <c r="Y28" s="125"/>
      <c r="Z28" s="126"/>
      <c r="AA28" s="127"/>
      <c r="AB28" s="128"/>
    </row>
    <row r="29" spans="1:28" x14ac:dyDescent="0.35">
      <c r="A29" s="49" t="s">
        <v>621</v>
      </c>
      <c r="B29" s="121" t="s">
        <v>622</v>
      </c>
      <c r="C29" s="28" t="s">
        <v>623</v>
      </c>
      <c r="D29" s="28"/>
      <c r="E29" s="49"/>
      <c r="F29" s="121" t="s">
        <v>624</v>
      </c>
      <c r="G29" s="49"/>
      <c r="H29" s="49"/>
      <c r="I29" s="49"/>
      <c r="J29" s="49"/>
      <c r="K29" s="49"/>
      <c r="L29" s="49"/>
      <c r="M29" s="131">
        <v>1.6</v>
      </c>
      <c r="N29" s="142">
        <f>M29</f>
        <v>1.6</v>
      </c>
      <c r="O29" s="143">
        <f t="shared" si="6"/>
        <v>0</v>
      </c>
      <c r="P29" s="139">
        <f t="shared" si="7"/>
        <v>1.6</v>
      </c>
      <c r="Q29" s="317"/>
      <c r="R29" s="143">
        <f t="shared" si="8"/>
        <v>0</v>
      </c>
      <c r="S29" s="139">
        <f t="shared" si="9"/>
        <v>1.6</v>
      </c>
      <c r="T29" s="317"/>
      <c r="U29" s="143">
        <f t="shared" si="10"/>
        <v>0</v>
      </c>
      <c r="V29" s="139">
        <f t="shared" si="11"/>
        <v>1.6</v>
      </c>
      <c r="W29" s="49"/>
      <c r="X29" s="15"/>
      <c r="Y29" s="125">
        <f>+M29</f>
        <v>1.6</v>
      </c>
      <c r="Z29" s="126"/>
      <c r="AA29" s="127"/>
      <c r="AB29" s="128">
        <f>+IFERROR(((Y29-Z29)/Z29),0%)</f>
        <v>0</v>
      </c>
    </row>
    <row r="30" spans="1:28" x14ac:dyDescent="0.35">
      <c r="A30" s="49" t="s">
        <v>621</v>
      </c>
      <c r="B30" s="121" t="s">
        <v>625</v>
      </c>
      <c r="C30" s="28" t="s">
        <v>626</v>
      </c>
      <c r="D30" s="28"/>
      <c r="E30" s="49"/>
      <c r="F30" s="121" t="s">
        <v>624</v>
      </c>
      <c r="G30" s="49"/>
      <c r="H30" s="49"/>
      <c r="I30" s="49"/>
      <c r="J30" s="49"/>
      <c r="K30" s="49"/>
      <c r="L30" s="49"/>
      <c r="M30" s="131">
        <v>0.91</v>
      </c>
      <c r="N30" s="142">
        <f>M30</f>
        <v>0.91</v>
      </c>
      <c r="O30" s="143">
        <f t="shared" si="6"/>
        <v>0</v>
      </c>
      <c r="P30" s="139">
        <f t="shared" si="7"/>
        <v>0.91</v>
      </c>
      <c r="Q30" s="317"/>
      <c r="R30" s="143">
        <f t="shared" si="8"/>
        <v>0</v>
      </c>
      <c r="S30" s="139">
        <f t="shared" si="9"/>
        <v>0.91</v>
      </c>
      <c r="T30" s="317"/>
      <c r="U30" s="143">
        <f t="shared" si="10"/>
        <v>0</v>
      </c>
      <c r="V30" s="139">
        <f t="shared" si="11"/>
        <v>0.91</v>
      </c>
      <c r="W30" s="49"/>
      <c r="X30" s="15"/>
      <c r="Y30" s="125">
        <f>+M30</f>
        <v>0.91</v>
      </c>
      <c r="Z30" s="126"/>
      <c r="AA30" s="127"/>
      <c r="AB30" s="128">
        <f>+IFERROR(((Y30-Z30)/Z30),0%)</f>
        <v>0</v>
      </c>
    </row>
    <row r="31" spans="1:28" x14ac:dyDescent="0.35">
      <c r="A31" s="49" t="s">
        <v>627</v>
      </c>
      <c r="B31" s="121" t="s">
        <v>628</v>
      </c>
      <c r="C31" s="28" t="s">
        <v>629</v>
      </c>
      <c r="D31" s="28"/>
      <c r="E31" s="49"/>
      <c r="F31" s="121" t="s">
        <v>624</v>
      </c>
      <c r="G31" s="49"/>
      <c r="H31" s="49"/>
      <c r="I31" s="49"/>
      <c r="J31" s="49"/>
      <c r="K31" s="49"/>
      <c r="L31" s="49"/>
      <c r="M31" s="131">
        <v>50</v>
      </c>
      <c r="N31" s="142">
        <f t="shared" si="20"/>
        <v>50</v>
      </c>
      <c r="O31" s="143">
        <f t="shared" si="6"/>
        <v>0</v>
      </c>
      <c r="P31" s="139">
        <f t="shared" si="7"/>
        <v>50</v>
      </c>
      <c r="Q31" s="317"/>
      <c r="R31" s="143">
        <f t="shared" si="8"/>
        <v>0</v>
      </c>
      <c r="S31" s="139">
        <f t="shared" si="9"/>
        <v>50</v>
      </c>
      <c r="T31" s="317"/>
      <c r="U31" s="143">
        <f t="shared" si="10"/>
        <v>0</v>
      </c>
      <c r="V31" s="139">
        <f t="shared" si="11"/>
        <v>50</v>
      </c>
      <c r="W31" s="49"/>
      <c r="X31" s="15"/>
      <c r="Y31" s="125">
        <f t="shared" ref="Y31:Y73" si="25">+M31</f>
        <v>50</v>
      </c>
      <c r="Z31" s="126"/>
      <c r="AA31" s="127"/>
      <c r="AB31" s="128">
        <f t="shared" ref="AB31:AB32" si="26">+IFERROR(((Y31-Z31)/Z31),0%)</f>
        <v>0</v>
      </c>
    </row>
    <row r="32" spans="1:28" x14ac:dyDescent="0.35">
      <c r="A32" s="49" t="s">
        <v>627</v>
      </c>
      <c r="B32" s="121" t="s">
        <v>628</v>
      </c>
      <c r="C32" s="28" t="s">
        <v>630</v>
      </c>
      <c r="D32" s="28"/>
      <c r="E32" s="49"/>
      <c r="F32" s="121" t="s">
        <v>624</v>
      </c>
      <c r="G32" s="49"/>
      <c r="H32" s="49"/>
      <c r="I32" s="49"/>
      <c r="J32" s="49"/>
      <c r="K32" s="49"/>
      <c r="L32" s="49"/>
      <c r="M32" s="131">
        <v>62</v>
      </c>
      <c r="N32" s="142">
        <f t="shared" si="20"/>
        <v>62</v>
      </c>
      <c r="O32" s="143">
        <f t="shared" si="6"/>
        <v>0</v>
      </c>
      <c r="P32" s="139">
        <f t="shared" si="7"/>
        <v>62</v>
      </c>
      <c r="Q32" s="317"/>
      <c r="R32" s="143">
        <f t="shared" si="8"/>
        <v>0</v>
      </c>
      <c r="S32" s="139">
        <f t="shared" si="9"/>
        <v>62</v>
      </c>
      <c r="T32" s="317"/>
      <c r="U32" s="143">
        <f t="shared" si="10"/>
        <v>0</v>
      </c>
      <c r="V32" s="139">
        <f t="shared" si="11"/>
        <v>62</v>
      </c>
      <c r="W32" s="49"/>
      <c r="X32" s="15"/>
      <c r="Y32" s="125">
        <f t="shared" si="25"/>
        <v>62</v>
      </c>
      <c r="Z32" s="126"/>
      <c r="AA32" s="127"/>
      <c r="AB32" s="128">
        <f t="shared" si="26"/>
        <v>0</v>
      </c>
    </row>
    <row r="33" spans="1:28" x14ac:dyDescent="0.35">
      <c r="A33" s="49" t="s">
        <v>627</v>
      </c>
      <c r="B33" s="121" t="s">
        <v>628</v>
      </c>
      <c r="C33" s="28" t="s">
        <v>631</v>
      </c>
      <c r="D33" s="28"/>
      <c r="E33" s="49"/>
      <c r="F33" s="121" t="s">
        <v>624</v>
      </c>
      <c r="G33" s="49"/>
      <c r="H33" s="49"/>
      <c r="I33" s="49"/>
      <c r="J33" s="49"/>
      <c r="K33" s="49"/>
      <c r="L33" s="49"/>
      <c r="M33" s="131">
        <v>55</v>
      </c>
      <c r="N33" s="142">
        <f t="shared" ref="N33" si="27">M33</f>
        <v>55</v>
      </c>
      <c r="O33" s="143">
        <f t="shared" si="6"/>
        <v>0</v>
      </c>
      <c r="P33" s="139">
        <f t="shared" ref="P33" si="28">IF(N33="Cost Required - Purchasing",N33,N33/(1-O33))</f>
        <v>55</v>
      </c>
      <c r="Q33" s="317"/>
      <c r="R33" s="143">
        <f t="shared" si="8"/>
        <v>0</v>
      </c>
      <c r="S33" s="139">
        <f t="shared" ref="S33" si="29">IF(N33="Cost Required - Purchasing",N33,N33/(1-R33))</f>
        <v>55</v>
      </c>
      <c r="T33" s="317"/>
      <c r="U33" s="143">
        <f t="shared" si="10"/>
        <v>0</v>
      </c>
      <c r="V33" s="139">
        <f t="shared" ref="V33" si="30">IF(N33="Cost Required - Purchasing",N33,N33/(1-U33))</f>
        <v>55</v>
      </c>
      <c r="W33" s="49"/>
      <c r="X33" s="15"/>
      <c r="Y33" s="125">
        <f t="shared" ref="Y33" si="31">+M33</f>
        <v>55</v>
      </c>
      <c r="Z33" s="126"/>
      <c r="AA33" s="127"/>
      <c r="AB33" s="128">
        <f t="shared" ref="AB33" si="32">+IFERROR(((Y33-Z33)/Z33),0%)</f>
        <v>0</v>
      </c>
    </row>
    <row r="34" spans="1:28" x14ac:dyDescent="0.35">
      <c r="A34" s="49" t="s">
        <v>627</v>
      </c>
      <c r="B34" s="121" t="s">
        <v>628</v>
      </c>
      <c r="C34" s="28" t="s">
        <v>632</v>
      </c>
      <c r="D34" s="28"/>
      <c r="E34" s="49"/>
      <c r="F34" s="121" t="s">
        <v>624</v>
      </c>
      <c r="G34" s="49"/>
      <c r="H34" s="49"/>
      <c r="I34" s="49"/>
      <c r="J34" s="49"/>
      <c r="K34" s="49"/>
      <c r="L34" s="49"/>
      <c r="M34" s="131">
        <v>72</v>
      </c>
      <c r="N34" s="142">
        <f t="shared" ref="N34" si="33">M34</f>
        <v>72</v>
      </c>
      <c r="O34" s="143">
        <f t="shared" si="6"/>
        <v>0</v>
      </c>
      <c r="P34" s="139">
        <f t="shared" ref="P34" si="34">IF(N34="Cost Required - Purchasing",N34,N34/(1-O34))</f>
        <v>72</v>
      </c>
      <c r="Q34" s="317"/>
      <c r="R34" s="143">
        <f t="shared" si="8"/>
        <v>0</v>
      </c>
      <c r="S34" s="139">
        <f t="shared" ref="S34" si="35">IF(N34="Cost Required - Purchasing",N34,N34/(1-R34))</f>
        <v>72</v>
      </c>
      <c r="T34" s="317"/>
      <c r="U34" s="143">
        <f t="shared" si="10"/>
        <v>0</v>
      </c>
      <c r="V34" s="139">
        <f t="shared" ref="V34" si="36">IF(N34="Cost Required - Purchasing",N34,N34/(1-U34))</f>
        <v>72</v>
      </c>
      <c r="W34" s="49"/>
      <c r="X34" s="15"/>
      <c r="Y34" s="125">
        <f t="shared" ref="Y34" si="37">+M34</f>
        <v>72</v>
      </c>
      <c r="Z34" s="126"/>
      <c r="AA34" s="127"/>
      <c r="AB34" s="128">
        <f t="shared" ref="AB34" si="38">+IFERROR(((Y34-Z34)/Z34),0%)</f>
        <v>0</v>
      </c>
    </row>
    <row r="35" spans="1:28" x14ac:dyDescent="0.35">
      <c r="A35" s="49" t="s">
        <v>633</v>
      </c>
      <c r="B35" s="121" t="s">
        <v>634</v>
      </c>
      <c r="C35" s="219" t="s">
        <v>635</v>
      </c>
      <c r="D35" s="129"/>
      <c r="E35" s="49"/>
      <c r="F35" s="121"/>
      <c r="G35" s="49"/>
      <c r="H35" s="49"/>
      <c r="I35" s="49"/>
      <c r="J35" s="49"/>
      <c r="K35" s="49"/>
      <c r="L35" s="49"/>
      <c r="M35" s="131">
        <v>345</v>
      </c>
      <c r="N35" s="142">
        <f t="shared" ref="N35" si="39">M35</f>
        <v>345</v>
      </c>
      <c r="O35" s="143">
        <f t="shared" si="6"/>
        <v>0</v>
      </c>
      <c r="P35" s="139">
        <f t="shared" si="7"/>
        <v>345</v>
      </c>
      <c r="Q35" s="317"/>
      <c r="R35" s="143">
        <f t="shared" si="8"/>
        <v>0</v>
      </c>
      <c r="S35" s="139">
        <f t="shared" si="9"/>
        <v>345</v>
      </c>
      <c r="T35" s="317"/>
      <c r="U35" s="143">
        <f t="shared" si="10"/>
        <v>0</v>
      </c>
      <c r="V35" s="139">
        <f t="shared" si="11"/>
        <v>345</v>
      </c>
      <c r="W35" s="49"/>
      <c r="X35" s="15"/>
      <c r="Y35" s="125">
        <f t="shared" si="25"/>
        <v>345</v>
      </c>
      <c r="Z35" s="126"/>
      <c r="AA35" s="127"/>
      <c r="AB35" s="128">
        <f t="shared" si="12"/>
        <v>0</v>
      </c>
    </row>
    <row r="36" spans="1:28" ht="31" x14ac:dyDescent="0.35">
      <c r="A36" s="49" t="s">
        <v>636</v>
      </c>
      <c r="B36" s="121" t="s">
        <v>489</v>
      </c>
      <c r="C36" s="121" t="s">
        <v>637</v>
      </c>
      <c r="D36" s="129"/>
      <c r="E36" s="49"/>
      <c r="F36" s="121"/>
      <c r="G36" s="49"/>
      <c r="H36" s="49"/>
      <c r="I36" s="49"/>
      <c r="J36" s="49"/>
      <c r="K36" s="49"/>
      <c r="L36" s="49"/>
      <c r="M36" s="123">
        <v>0.34</v>
      </c>
      <c r="N36" s="142">
        <f t="shared" si="20"/>
        <v>0.34</v>
      </c>
      <c r="O36" s="143">
        <f t="shared" si="6"/>
        <v>0</v>
      </c>
      <c r="P36" s="139">
        <f t="shared" si="7"/>
        <v>0.34</v>
      </c>
      <c r="Q36" s="317"/>
      <c r="R36" s="143">
        <f t="shared" si="8"/>
        <v>0</v>
      </c>
      <c r="S36" s="139">
        <f t="shared" si="9"/>
        <v>0.34</v>
      </c>
      <c r="T36" s="317"/>
      <c r="U36" s="143">
        <f t="shared" si="10"/>
        <v>0</v>
      </c>
      <c r="V36" s="139">
        <f t="shared" si="11"/>
        <v>0.34</v>
      </c>
      <c r="W36" s="49"/>
      <c r="X36" s="15"/>
      <c r="Y36" s="125">
        <f t="shared" si="25"/>
        <v>0.34</v>
      </c>
      <c r="Z36" s="126"/>
      <c r="AA36" s="127"/>
      <c r="AB36" s="128">
        <f t="shared" si="12"/>
        <v>0</v>
      </c>
    </row>
    <row r="37" spans="1:28" x14ac:dyDescent="0.35">
      <c r="A37" s="49" t="s">
        <v>638</v>
      </c>
      <c r="B37" s="121" t="s">
        <v>146</v>
      </c>
      <c r="C37" s="28" t="s">
        <v>547</v>
      </c>
      <c r="D37" s="28"/>
      <c r="E37" s="49"/>
      <c r="F37" s="121"/>
      <c r="G37" s="49"/>
      <c r="H37" s="49"/>
      <c r="I37" s="49"/>
      <c r="J37" s="49"/>
      <c r="K37" s="49"/>
      <c r="L37" s="49"/>
      <c r="M37" s="123">
        <v>69.89</v>
      </c>
      <c r="N37" s="142">
        <f t="shared" si="20"/>
        <v>69.89</v>
      </c>
      <c r="O37" s="143">
        <f t="shared" si="6"/>
        <v>0</v>
      </c>
      <c r="P37" s="139">
        <f t="shared" si="7"/>
        <v>69.89</v>
      </c>
      <c r="Q37" s="317"/>
      <c r="R37" s="143">
        <f t="shared" si="8"/>
        <v>0</v>
      </c>
      <c r="S37" s="139">
        <f t="shared" si="9"/>
        <v>69.89</v>
      </c>
      <c r="T37" s="317"/>
      <c r="U37" s="143">
        <f t="shared" si="10"/>
        <v>0</v>
      </c>
      <c r="V37" s="139">
        <f t="shared" si="11"/>
        <v>69.89</v>
      </c>
      <c r="W37" s="49"/>
      <c r="X37" s="15"/>
      <c r="Y37" s="125">
        <f t="shared" si="25"/>
        <v>69.89</v>
      </c>
      <c r="Z37" s="126"/>
      <c r="AA37" s="127"/>
      <c r="AB37" s="128">
        <f t="shared" si="12"/>
        <v>0</v>
      </c>
    </row>
    <row r="38" spans="1:28" x14ac:dyDescent="0.35">
      <c r="A38" s="49" t="s">
        <v>638</v>
      </c>
      <c r="B38" s="121" t="s">
        <v>146</v>
      </c>
      <c r="C38" s="28" t="s">
        <v>186</v>
      </c>
      <c r="D38" s="28"/>
      <c r="E38" s="49"/>
      <c r="F38" s="121" t="s">
        <v>639</v>
      </c>
      <c r="G38" s="49"/>
      <c r="H38" s="49"/>
      <c r="I38" s="49"/>
      <c r="J38" s="49"/>
      <c r="K38" s="49"/>
      <c r="L38" s="49"/>
      <c r="M38" s="131">
        <v>35.659999999999997</v>
      </c>
      <c r="N38" s="142">
        <f t="shared" ref="N38:N43" si="40">M38</f>
        <v>35.659999999999997</v>
      </c>
      <c r="O38" s="143">
        <f t="shared" si="6"/>
        <v>0</v>
      </c>
      <c r="P38" s="139">
        <f t="shared" si="7"/>
        <v>35.659999999999997</v>
      </c>
      <c r="Q38" s="317"/>
      <c r="R38" s="143">
        <f t="shared" si="8"/>
        <v>0</v>
      </c>
      <c r="S38" s="139">
        <f t="shared" si="9"/>
        <v>35.659999999999997</v>
      </c>
      <c r="T38" s="317"/>
      <c r="U38" s="143">
        <f t="shared" si="10"/>
        <v>0</v>
      </c>
      <c r="V38" s="139">
        <f t="shared" si="11"/>
        <v>35.659999999999997</v>
      </c>
      <c r="W38" s="49"/>
      <c r="X38" s="15"/>
      <c r="Y38" s="125">
        <f t="shared" ref="Y38:Y43" si="41">+M38</f>
        <v>35.659999999999997</v>
      </c>
      <c r="Z38" s="126"/>
      <c r="AA38" s="127"/>
      <c r="AB38" s="128">
        <f t="shared" ref="AB38:AB43" si="42">+IFERROR(((Y38-Z38)/Z38),0%)</f>
        <v>0</v>
      </c>
    </row>
    <row r="39" spans="1:28" x14ac:dyDescent="0.35">
      <c r="A39" s="49" t="s">
        <v>638</v>
      </c>
      <c r="B39" s="121" t="s">
        <v>146</v>
      </c>
      <c r="C39" s="28" t="s">
        <v>640</v>
      </c>
      <c r="D39" s="28"/>
      <c r="E39" s="49"/>
      <c r="F39" s="121" t="s">
        <v>639</v>
      </c>
      <c r="G39" s="49"/>
      <c r="H39" s="49"/>
      <c r="I39" s="49"/>
      <c r="J39" s="49"/>
      <c r="K39" s="49"/>
      <c r="L39" s="49"/>
      <c r="M39" s="131">
        <v>38.79</v>
      </c>
      <c r="N39" s="142">
        <f t="shared" si="40"/>
        <v>38.79</v>
      </c>
      <c r="O39" s="143">
        <f t="shared" si="6"/>
        <v>0</v>
      </c>
      <c r="P39" s="139">
        <f t="shared" si="7"/>
        <v>38.79</v>
      </c>
      <c r="Q39" s="317"/>
      <c r="R39" s="143">
        <f t="shared" si="8"/>
        <v>0</v>
      </c>
      <c r="S39" s="139">
        <f t="shared" si="9"/>
        <v>38.79</v>
      </c>
      <c r="T39" s="317"/>
      <c r="U39" s="143">
        <f t="shared" si="10"/>
        <v>0</v>
      </c>
      <c r="V39" s="139">
        <f t="shared" si="11"/>
        <v>38.79</v>
      </c>
      <c r="W39" s="49"/>
      <c r="X39" s="15"/>
      <c r="Y39" s="125">
        <f t="shared" si="41"/>
        <v>38.79</v>
      </c>
      <c r="Z39" s="126"/>
      <c r="AA39" s="127"/>
      <c r="AB39" s="128">
        <f t="shared" si="42"/>
        <v>0</v>
      </c>
    </row>
    <row r="40" spans="1:28" x14ac:dyDescent="0.35">
      <c r="A40" s="49" t="s">
        <v>638</v>
      </c>
      <c r="B40" s="121" t="s">
        <v>146</v>
      </c>
      <c r="C40" s="28" t="s">
        <v>641</v>
      </c>
      <c r="D40" s="28"/>
      <c r="E40" s="49"/>
      <c r="F40" s="121" t="s">
        <v>639</v>
      </c>
      <c r="G40" s="49"/>
      <c r="H40" s="49"/>
      <c r="I40" s="49"/>
      <c r="J40" s="49"/>
      <c r="K40" s="49"/>
      <c r="L40" s="49"/>
      <c r="M40" s="131">
        <v>20.87</v>
      </c>
      <c r="N40" s="142">
        <f t="shared" si="40"/>
        <v>20.87</v>
      </c>
      <c r="O40" s="143">
        <f t="shared" si="6"/>
        <v>0</v>
      </c>
      <c r="P40" s="139">
        <f t="shared" si="7"/>
        <v>20.87</v>
      </c>
      <c r="Q40" s="317"/>
      <c r="R40" s="143">
        <f t="shared" si="8"/>
        <v>0</v>
      </c>
      <c r="S40" s="139">
        <f t="shared" si="9"/>
        <v>20.87</v>
      </c>
      <c r="T40" s="317"/>
      <c r="U40" s="143">
        <f t="shared" si="10"/>
        <v>0</v>
      </c>
      <c r="V40" s="139">
        <f t="shared" si="11"/>
        <v>20.87</v>
      </c>
      <c r="W40" s="49"/>
      <c r="X40" s="15"/>
      <c r="Y40" s="125">
        <f t="shared" si="41"/>
        <v>20.87</v>
      </c>
      <c r="Z40" s="126"/>
      <c r="AA40" s="127"/>
      <c r="AB40" s="128">
        <f t="shared" si="42"/>
        <v>0</v>
      </c>
    </row>
    <row r="41" spans="1:28" x14ac:dyDescent="0.35">
      <c r="A41" s="49" t="s">
        <v>638</v>
      </c>
      <c r="B41" s="121" t="s">
        <v>146</v>
      </c>
      <c r="C41" s="28" t="s">
        <v>642</v>
      </c>
      <c r="D41" s="28"/>
      <c r="E41" s="49"/>
      <c r="F41" s="121" t="s">
        <v>639</v>
      </c>
      <c r="G41" s="49"/>
      <c r="H41" s="49"/>
      <c r="I41" s="49"/>
      <c r="J41" s="49"/>
      <c r="K41" s="49"/>
      <c r="L41" s="49"/>
      <c r="M41" s="131">
        <v>46.23</v>
      </c>
      <c r="N41" s="142">
        <f t="shared" si="40"/>
        <v>46.23</v>
      </c>
      <c r="O41" s="143">
        <f t="shared" si="6"/>
        <v>0</v>
      </c>
      <c r="P41" s="139">
        <f t="shared" si="7"/>
        <v>46.23</v>
      </c>
      <c r="Q41" s="317"/>
      <c r="R41" s="143">
        <f t="shared" si="8"/>
        <v>0</v>
      </c>
      <c r="S41" s="139">
        <f t="shared" si="9"/>
        <v>46.23</v>
      </c>
      <c r="T41" s="317"/>
      <c r="U41" s="143">
        <f t="shared" si="10"/>
        <v>0</v>
      </c>
      <c r="V41" s="139">
        <f t="shared" si="11"/>
        <v>46.23</v>
      </c>
      <c r="W41" s="49"/>
      <c r="X41" s="15"/>
      <c r="Y41" s="125">
        <f t="shared" si="41"/>
        <v>46.23</v>
      </c>
      <c r="Z41" s="126"/>
      <c r="AA41" s="127"/>
      <c r="AB41" s="128">
        <f t="shared" si="42"/>
        <v>0</v>
      </c>
    </row>
    <row r="42" spans="1:28" x14ac:dyDescent="0.35">
      <c r="A42" s="49" t="s">
        <v>638</v>
      </c>
      <c r="B42" s="121" t="s">
        <v>146</v>
      </c>
      <c r="C42" s="28" t="s">
        <v>643</v>
      </c>
      <c r="D42" s="28"/>
      <c r="E42" s="49"/>
      <c r="F42" s="121" t="s">
        <v>639</v>
      </c>
      <c r="G42" s="49"/>
      <c r="H42" s="49"/>
      <c r="I42" s="49"/>
      <c r="J42" s="49"/>
      <c r="K42" s="49"/>
      <c r="L42" s="49"/>
      <c r="M42" s="131">
        <v>48.28</v>
      </c>
      <c r="N42" s="142">
        <f t="shared" si="40"/>
        <v>48.28</v>
      </c>
      <c r="O42" s="143">
        <f t="shared" si="6"/>
        <v>0</v>
      </c>
      <c r="P42" s="139">
        <f t="shared" si="7"/>
        <v>48.28</v>
      </c>
      <c r="Q42" s="317"/>
      <c r="R42" s="143">
        <f t="shared" si="8"/>
        <v>0</v>
      </c>
      <c r="S42" s="139">
        <f t="shared" si="9"/>
        <v>48.28</v>
      </c>
      <c r="T42" s="317"/>
      <c r="U42" s="143">
        <f t="shared" si="10"/>
        <v>0</v>
      </c>
      <c r="V42" s="139">
        <f t="shared" si="11"/>
        <v>48.28</v>
      </c>
      <c r="W42" s="49"/>
      <c r="X42" s="15"/>
      <c r="Y42" s="125">
        <f t="shared" si="41"/>
        <v>48.28</v>
      </c>
      <c r="Z42" s="126"/>
      <c r="AA42" s="127"/>
      <c r="AB42" s="128">
        <f t="shared" si="42"/>
        <v>0</v>
      </c>
    </row>
    <row r="43" spans="1:28" x14ac:dyDescent="0.35">
      <c r="A43" s="49" t="s">
        <v>638</v>
      </c>
      <c r="B43" s="121" t="s">
        <v>146</v>
      </c>
      <c r="C43" s="28" t="s">
        <v>644</v>
      </c>
      <c r="D43" s="28"/>
      <c r="E43" s="49"/>
      <c r="F43" s="121" t="s">
        <v>639</v>
      </c>
      <c r="G43" s="49"/>
      <c r="H43" s="49"/>
      <c r="I43" s="49"/>
      <c r="J43" s="49"/>
      <c r="K43" s="49"/>
      <c r="L43" s="49"/>
      <c r="M43" s="131">
        <v>48.6</v>
      </c>
      <c r="N43" s="142">
        <f t="shared" si="40"/>
        <v>48.6</v>
      </c>
      <c r="O43" s="143">
        <f t="shared" si="6"/>
        <v>0</v>
      </c>
      <c r="P43" s="139">
        <f t="shared" si="7"/>
        <v>48.6</v>
      </c>
      <c r="Q43" s="317"/>
      <c r="R43" s="143">
        <f t="shared" si="8"/>
        <v>0</v>
      </c>
      <c r="S43" s="139">
        <f t="shared" si="9"/>
        <v>48.6</v>
      </c>
      <c r="T43" s="317"/>
      <c r="U43" s="143">
        <f t="shared" si="10"/>
        <v>0</v>
      </c>
      <c r="V43" s="139">
        <f t="shared" si="11"/>
        <v>48.6</v>
      </c>
      <c r="W43" s="49"/>
      <c r="X43" s="15"/>
      <c r="Y43" s="125">
        <f t="shared" si="41"/>
        <v>48.6</v>
      </c>
      <c r="Z43" s="126"/>
      <c r="AA43" s="127"/>
      <c r="AB43" s="128">
        <f t="shared" si="42"/>
        <v>0</v>
      </c>
    </row>
    <row r="44" spans="1:28" x14ac:dyDescent="0.35">
      <c r="A44" s="49" t="s">
        <v>638</v>
      </c>
      <c r="B44" s="121" t="s">
        <v>150</v>
      </c>
      <c r="C44" s="28" t="s">
        <v>585</v>
      </c>
      <c r="D44" s="28"/>
      <c r="E44" s="49"/>
      <c r="F44" s="121"/>
      <c r="G44" s="49"/>
      <c r="H44" s="49"/>
      <c r="I44" s="49"/>
      <c r="J44" s="49"/>
      <c r="K44" s="49"/>
      <c r="L44" s="49"/>
      <c r="M44" s="123">
        <v>146.85</v>
      </c>
      <c r="N44" s="142">
        <f t="shared" si="20"/>
        <v>146.85</v>
      </c>
      <c r="O44" s="143">
        <f t="shared" si="6"/>
        <v>0</v>
      </c>
      <c r="P44" s="139">
        <f t="shared" si="7"/>
        <v>146.85</v>
      </c>
      <c r="Q44" s="317"/>
      <c r="R44" s="143">
        <f t="shared" si="8"/>
        <v>0</v>
      </c>
      <c r="S44" s="139">
        <f t="shared" si="9"/>
        <v>146.85</v>
      </c>
      <c r="T44" s="317"/>
      <c r="U44" s="143">
        <f t="shared" si="10"/>
        <v>0</v>
      </c>
      <c r="V44" s="139">
        <f t="shared" si="11"/>
        <v>146.85</v>
      </c>
      <c r="W44" s="49"/>
      <c r="X44" s="15"/>
      <c r="Y44" s="125">
        <f t="shared" si="25"/>
        <v>146.85</v>
      </c>
      <c r="Z44" s="126"/>
      <c r="AA44" s="127"/>
      <c r="AB44" s="128">
        <f t="shared" si="12"/>
        <v>0</v>
      </c>
    </row>
    <row r="45" spans="1:28" x14ac:dyDescent="0.35">
      <c r="A45" s="49" t="s">
        <v>638</v>
      </c>
      <c r="B45" s="121" t="s">
        <v>150</v>
      </c>
      <c r="C45" s="28" t="s">
        <v>645</v>
      </c>
      <c r="D45" s="28"/>
      <c r="E45" s="49"/>
      <c r="F45" s="121"/>
      <c r="G45" s="49"/>
      <c r="H45" s="49"/>
      <c r="I45" s="49"/>
      <c r="J45" s="49"/>
      <c r="K45" s="49"/>
      <c r="L45" s="49"/>
      <c r="M45" s="440" t="s">
        <v>646</v>
      </c>
      <c r="N45" s="142" t="str">
        <f t="shared" si="20"/>
        <v>Alt. Part needed</v>
      </c>
      <c r="O45" s="143">
        <f t="shared" si="6"/>
        <v>0</v>
      </c>
      <c r="P45" s="139" t="e">
        <f t="shared" si="7"/>
        <v>#VALUE!</v>
      </c>
      <c r="Q45" s="317"/>
      <c r="R45" s="143">
        <f t="shared" si="8"/>
        <v>0</v>
      </c>
      <c r="S45" s="139" t="e">
        <f t="shared" si="9"/>
        <v>#VALUE!</v>
      </c>
      <c r="T45" s="317"/>
      <c r="U45" s="143">
        <f t="shared" si="10"/>
        <v>0</v>
      </c>
      <c r="V45" s="139" t="e">
        <f t="shared" si="11"/>
        <v>#VALUE!</v>
      </c>
      <c r="W45" s="49"/>
      <c r="X45" s="15"/>
      <c r="Y45" s="125" t="str">
        <f t="shared" si="25"/>
        <v>Alt. Part needed</v>
      </c>
      <c r="Z45" s="126"/>
      <c r="AA45" s="127"/>
      <c r="AB45" s="128">
        <f t="shared" si="12"/>
        <v>0</v>
      </c>
    </row>
    <row r="46" spans="1:28" x14ac:dyDescent="0.35">
      <c r="A46" s="49" t="s">
        <v>638</v>
      </c>
      <c r="B46" s="121" t="s">
        <v>150</v>
      </c>
      <c r="C46" s="28" t="s">
        <v>647</v>
      </c>
      <c r="D46" s="28"/>
      <c r="E46" s="49"/>
      <c r="F46" s="121" t="s">
        <v>639</v>
      </c>
      <c r="G46" s="49"/>
      <c r="H46" s="49"/>
      <c r="I46" s="49"/>
      <c r="J46" s="49"/>
      <c r="K46" s="49"/>
      <c r="L46" s="49"/>
      <c r="M46" s="123">
        <v>75</v>
      </c>
      <c r="N46" s="142">
        <f t="shared" si="20"/>
        <v>75</v>
      </c>
      <c r="O46" s="143">
        <f t="shared" si="6"/>
        <v>0</v>
      </c>
      <c r="P46" s="139">
        <f t="shared" si="7"/>
        <v>75</v>
      </c>
      <c r="Q46" s="317"/>
      <c r="R46" s="143">
        <f t="shared" si="8"/>
        <v>0</v>
      </c>
      <c r="S46" s="139">
        <f t="shared" si="9"/>
        <v>75</v>
      </c>
      <c r="T46" s="317"/>
      <c r="U46" s="143">
        <f t="shared" si="10"/>
        <v>0</v>
      </c>
      <c r="V46" s="139">
        <f t="shared" si="11"/>
        <v>75</v>
      </c>
      <c r="W46" s="49"/>
      <c r="X46" s="15"/>
      <c r="Y46" s="125">
        <f t="shared" si="25"/>
        <v>75</v>
      </c>
      <c r="Z46" s="126"/>
      <c r="AA46" s="127"/>
      <c r="AB46" s="128">
        <f t="shared" si="12"/>
        <v>0</v>
      </c>
    </row>
    <row r="47" spans="1:28" x14ac:dyDescent="0.35">
      <c r="A47" s="49" t="s">
        <v>638</v>
      </c>
      <c r="B47" s="121" t="s">
        <v>150</v>
      </c>
      <c r="C47" s="28" t="s">
        <v>187</v>
      </c>
      <c r="D47" s="28"/>
      <c r="E47" s="49"/>
      <c r="F47" s="121" t="s">
        <v>639</v>
      </c>
      <c r="G47" s="49"/>
      <c r="H47" s="49"/>
      <c r="I47" s="49"/>
      <c r="J47" s="49"/>
      <c r="K47" s="49"/>
      <c r="L47" s="49"/>
      <c r="M47" s="131">
        <v>62.33</v>
      </c>
      <c r="N47" s="142">
        <v>66.45</v>
      </c>
      <c r="O47" s="143">
        <f t="shared" si="6"/>
        <v>0</v>
      </c>
      <c r="P47" s="139">
        <f t="shared" si="7"/>
        <v>66.45</v>
      </c>
      <c r="Q47" s="317"/>
      <c r="R47" s="143">
        <f t="shared" si="8"/>
        <v>0</v>
      </c>
      <c r="S47" s="139">
        <f t="shared" si="9"/>
        <v>66.45</v>
      </c>
      <c r="T47" s="317"/>
      <c r="U47" s="143">
        <f t="shared" si="10"/>
        <v>0</v>
      </c>
      <c r="V47" s="139">
        <f t="shared" si="11"/>
        <v>66.45</v>
      </c>
      <c r="W47" s="49"/>
      <c r="X47" s="15"/>
      <c r="Y47" s="125">
        <f>+M47</f>
        <v>62.33</v>
      </c>
      <c r="Z47" s="126"/>
      <c r="AA47" s="127"/>
      <c r="AB47" s="128">
        <f>+IFERROR(((Y47-Z47)/Z47),0%)</f>
        <v>0</v>
      </c>
    </row>
    <row r="48" spans="1:28" x14ac:dyDescent="0.35">
      <c r="A48" s="49" t="s">
        <v>638</v>
      </c>
      <c r="B48" s="121" t="s">
        <v>150</v>
      </c>
      <c r="C48" s="28" t="s">
        <v>648</v>
      </c>
      <c r="D48" s="28"/>
      <c r="E48" s="49"/>
      <c r="F48" s="121" t="s">
        <v>639</v>
      </c>
      <c r="G48" s="49"/>
      <c r="H48" s="49"/>
      <c r="I48" s="49"/>
      <c r="J48" s="49"/>
      <c r="K48" s="49"/>
      <c r="L48" s="49"/>
      <c r="M48" s="131">
        <v>62.28</v>
      </c>
      <c r="N48" s="142">
        <f>M48</f>
        <v>62.28</v>
      </c>
      <c r="O48" s="143">
        <f t="shared" si="6"/>
        <v>0</v>
      </c>
      <c r="P48" s="139">
        <f t="shared" ref="P48" si="43">IF(N48="Cost Required - Purchasing",N48,N48/(1-O48))</f>
        <v>62.28</v>
      </c>
      <c r="Q48" s="317"/>
      <c r="R48" s="143">
        <f t="shared" si="8"/>
        <v>0</v>
      </c>
      <c r="S48" s="139">
        <f t="shared" ref="S48" si="44">IF(N48="Cost Required - Purchasing",N48,N48/(1-R48))</f>
        <v>62.28</v>
      </c>
      <c r="T48" s="317"/>
      <c r="U48" s="143">
        <f t="shared" si="10"/>
        <v>0</v>
      </c>
      <c r="V48" s="139">
        <f t="shared" ref="V48" si="45">IF(N48="Cost Required - Purchasing",N48,N48/(1-U48))</f>
        <v>62.28</v>
      </c>
      <c r="W48" s="49"/>
      <c r="X48" s="15"/>
      <c r="Y48" s="125">
        <f>+M48</f>
        <v>62.28</v>
      </c>
      <c r="Z48" s="126"/>
      <c r="AA48" s="127"/>
      <c r="AB48" s="128">
        <f>+IFERROR(((Y48-Z48)/Z48),0%)</f>
        <v>0</v>
      </c>
    </row>
    <row r="49" spans="1:28" x14ac:dyDescent="0.35">
      <c r="A49" s="49" t="s">
        <v>638</v>
      </c>
      <c r="B49" s="121" t="s">
        <v>150</v>
      </c>
      <c r="C49" s="28" t="s">
        <v>539</v>
      </c>
      <c r="D49" s="28"/>
      <c r="E49" s="49"/>
      <c r="F49" s="121" t="s">
        <v>639</v>
      </c>
      <c r="G49" s="49"/>
      <c r="H49" s="49"/>
      <c r="I49" s="49"/>
      <c r="J49" s="49"/>
      <c r="K49" s="49"/>
      <c r="L49" s="49"/>
      <c r="M49" s="131">
        <v>47.74</v>
      </c>
      <c r="N49" s="142">
        <f>M49</f>
        <v>47.74</v>
      </c>
      <c r="O49" s="143">
        <f t="shared" si="6"/>
        <v>0</v>
      </c>
      <c r="P49" s="139">
        <f t="shared" si="7"/>
        <v>47.74</v>
      </c>
      <c r="Q49" s="317"/>
      <c r="R49" s="143">
        <f t="shared" si="8"/>
        <v>0</v>
      </c>
      <c r="S49" s="139">
        <f t="shared" si="9"/>
        <v>47.74</v>
      </c>
      <c r="T49" s="317"/>
      <c r="U49" s="143">
        <f t="shared" si="10"/>
        <v>0</v>
      </c>
      <c r="V49" s="139">
        <f t="shared" si="11"/>
        <v>47.74</v>
      </c>
      <c r="W49" s="49"/>
      <c r="X49" s="15"/>
      <c r="Y49" s="125">
        <f>+M49</f>
        <v>47.74</v>
      </c>
      <c r="Z49" s="126"/>
      <c r="AA49" s="127"/>
      <c r="AB49" s="128">
        <f>+IFERROR(((Y49-Z49)/Z49),0%)</f>
        <v>0</v>
      </c>
    </row>
    <row r="50" spans="1:28" x14ac:dyDescent="0.35">
      <c r="A50" s="49" t="s">
        <v>638</v>
      </c>
      <c r="B50" s="121" t="s">
        <v>150</v>
      </c>
      <c r="C50" s="28" t="s">
        <v>649</v>
      </c>
      <c r="D50" s="28"/>
      <c r="E50" s="49"/>
      <c r="F50" s="121" t="s">
        <v>639</v>
      </c>
      <c r="G50" s="49"/>
      <c r="H50" s="49"/>
      <c r="I50" s="49"/>
      <c r="J50" s="49"/>
      <c r="K50" s="49"/>
      <c r="L50" s="49"/>
      <c r="M50" s="131">
        <v>57.15</v>
      </c>
      <c r="N50" s="142">
        <f>M50</f>
        <v>57.15</v>
      </c>
      <c r="O50" s="143">
        <f t="shared" si="6"/>
        <v>0</v>
      </c>
      <c r="P50" s="139">
        <f t="shared" si="7"/>
        <v>57.15</v>
      </c>
      <c r="Q50" s="317"/>
      <c r="R50" s="143">
        <f t="shared" si="8"/>
        <v>0</v>
      </c>
      <c r="S50" s="139">
        <f t="shared" si="9"/>
        <v>57.15</v>
      </c>
      <c r="T50" s="317"/>
      <c r="U50" s="143">
        <f t="shared" si="10"/>
        <v>0</v>
      </c>
      <c r="V50" s="139">
        <f t="shared" si="11"/>
        <v>57.15</v>
      </c>
      <c r="W50" s="49"/>
      <c r="X50" s="15"/>
      <c r="Y50" s="125">
        <f>+M50</f>
        <v>57.15</v>
      </c>
      <c r="Z50" s="126"/>
      <c r="AA50" s="127"/>
      <c r="AB50" s="128">
        <f>+IFERROR(((Y50-Z50)/Z50),0%)</f>
        <v>0</v>
      </c>
    </row>
    <row r="51" spans="1:28" x14ac:dyDescent="0.35">
      <c r="A51" s="49" t="s">
        <v>638</v>
      </c>
      <c r="B51" s="121" t="s">
        <v>153</v>
      </c>
      <c r="C51" s="28" t="s">
        <v>188</v>
      </c>
      <c r="D51" s="28"/>
      <c r="E51" s="49"/>
      <c r="F51" s="121" t="s">
        <v>639</v>
      </c>
      <c r="G51" s="49"/>
      <c r="H51" s="49"/>
      <c r="I51" s="49"/>
      <c r="J51" s="49"/>
      <c r="K51" s="49"/>
      <c r="L51" s="49"/>
      <c r="M51" s="123">
        <v>9.6</v>
      </c>
      <c r="N51" s="142">
        <f t="shared" si="20"/>
        <v>9.6</v>
      </c>
      <c r="O51" s="143">
        <f t="shared" si="6"/>
        <v>0</v>
      </c>
      <c r="P51" s="139">
        <f t="shared" si="7"/>
        <v>9.6</v>
      </c>
      <c r="Q51" s="317"/>
      <c r="R51" s="143">
        <f t="shared" si="8"/>
        <v>0</v>
      </c>
      <c r="S51" s="139">
        <f t="shared" si="9"/>
        <v>9.6</v>
      </c>
      <c r="T51" s="317"/>
      <c r="U51" s="143">
        <f t="shared" si="10"/>
        <v>0</v>
      </c>
      <c r="V51" s="139">
        <f t="shared" si="11"/>
        <v>9.6</v>
      </c>
      <c r="W51" s="49"/>
      <c r="X51" s="15"/>
      <c r="Y51" s="125">
        <f t="shared" si="25"/>
        <v>9.6</v>
      </c>
      <c r="Z51" s="126"/>
      <c r="AA51" s="127"/>
      <c r="AB51" s="128">
        <f t="shared" si="12"/>
        <v>0</v>
      </c>
    </row>
    <row r="52" spans="1:28" x14ac:dyDescent="0.35">
      <c r="A52" s="49" t="s">
        <v>638</v>
      </c>
      <c r="B52" s="121" t="s">
        <v>153</v>
      </c>
      <c r="C52" s="28" t="s">
        <v>650</v>
      </c>
      <c r="D52" s="28"/>
      <c r="E52" s="49"/>
      <c r="F52" s="121" t="s">
        <v>639</v>
      </c>
      <c r="G52" s="49"/>
      <c r="H52" s="49"/>
      <c r="I52" s="49"/>
      <c r="J52" s="49"/>
      <c r="K52" s="49"/>
      <c r="L52" s="49"/>
      <c r="M52" s="123">
        <v>20.73</v>
      </c>
      <c r="N52" s="142">
        <f t="shared" ref="N52" si="46">M52</f>
        <v>20.73</v>
      </c>
      <c r="O52" s="143">
        <f t="shared" si="6"/>
        <v>0</v>
      </c>
      <c r="P52" s="139">
        <f t="shared" ref="P52" si="47">IF(N52="Cost Required - Purchasing",N52,N52/(1-O52))</f>
        <v>20.73</v>
      </c>
      <c r="Q52" s="317"/>
      <c r="R52" s="143">
        <f t="shared" si="8"/>
        <v>0</v>
      </c>
      <c r="S52" s="139">
        <f t="shared" ref="S52" si="48">IF(N52="Cost Required - Purchasing",N52,N52/(1-R52))</f>
        <v>20.73</v>
      </c>
      <c r="T52" s="317"/>
      <c r="U52" s="143">
        <f t="shared" si="10"/>
        <v>0</v>
      </c>
      <c r="V52" s="139">
        <f t="shared" ref="V52" si="49">IF(N52="Cost Required - Purchasing",N52,N52/(1-U52))</f>
        <v>20.73</v>
      </c>
      <c r="W52" s="49"/>
      <c r="X52" s="15"/>
      <c r="Y52" s="125">
        <f t="shared" ref="Y52" si="50">+M52</f>
        <v>20.73</v>
      </c>
      <c r="Z52" s="126"/>
      <c r="AA52" s="127"/>
      <c r="AB52" s="128">
        <f t="shared" ref="AB52" si="51">+IFERROR(((Y52-Z52)/Z52),0%)</f>
        <v>0</v>
      </c>
    </row>
    <row r="53" spans="1:28" x14ac:dyDescent="0.35">
      <c r="A53" s="49" t="s">
        <v>651</v>
      </c>
      <c r="B53" s="121" t="s">
        <v>153</v>
      </c>
      <c r="C53" s="28" t="s">
        <v>652</v>
      </c>
      <c r="D53" s="28"/>
      <c r="E53" s="49"/>
      <c r="F53" s="121"/>
      <c r="G53" s="49"/>
      <c r="H53" s="49"/>
      <c r="I53" s="49"/>
      <c r="J53" s="49"/>
      <c r="K53" s="49"/>
      <c r="L53" s="49"/>
      <c r="M53" s="123">
        <v>80</v>
      </c>
      <c r="N53" s="142">
        <f t="shared" si="20"/>
        <v>80</v>
      </c>
      <c r="O53" s="143">
        <f t="shared" si="6"/>
        <v>0</v>
      </c>
      <c r="P53" s="139">
        <f t="shared" si="7"/>
        <v>80</v>
      </c>
      <c r="Q53" s="317"/>
      <c r="R53" s="143">
        <f t="shared" si="8"/>
        <v>0</v>
      </c>
      <c r="S53" s="139">
        <f t="shared" si="9"/>
        <v>80</v>
      </c>
      <c r="T53" s="317"/>
      <c r="U53" s="143">
        <f t="shared" si="10"/>
        <v>0</v>
      </c>
      <c r="V53" s="139">
        <f t="shared" si="11"/>
        <v>80</v>
      </c>
      <c r="W53" s="49"/>
      <c r="X53" s="15"/>
      <c r="Y53" s="125">
        <f t="shared" si="25"/>
        <v>80</v>
      </c>
      <c r="Z53" s="126"/>
      <c r="AA53" s="127"/>
      <c r="AB53" s="128">
        <f t="shared" si="12"/>
        <v>0</v>
      </c>
    </row>
    <row r="54" spans="1:28" x14ac:dyDescent="0.35">
      <c r="A54" s="49" t="s">
        <v>596</v>
      </c>
      <c r="B54" s="121" t="s">
        <v>153</v>
      </c>
      <c r="C54" s="28" t="s">
        <v>653</v>
      </c>
      <c r="D54" s="28"/>
      <c r="E54" s="49"/>
      <c r="F54" s="121"/>
      <c r="G54" s="49"/>
      <c r="H54" s="49"/>
      <c r="I54" s="49"/>
      <c r="J54" s="49"/>
      <c r="K54" s="49"/>
      <c r="L54" s="49"/>
      <c r="M54" s="123">
        <f>+M53+M51</f>
        <v>89.6</v>
      </c>
      <c r="N54" s="142">
        <f t="shared" si="20"/>
        <v>89.6</v>
      </c>
      <c r="O54" s="143"/>
      <c r="P54" s="139"/>
      <c r="Q54" s="317"/>
      <c r="R54" s="143"/>
      <c r="S54" s="139"/>
      <c r="T54" s="317"/>
      <c r="U54" s="143"/>
      <c r="V54" s="139"/>
      <c r="W54" s="49"/>
      <c r="X54" s="15"/>
      <c r="Y54" s="125"/>
      <c r="Z54" s="126"/>
      <c r="AA54" s="127"/>
      <c r="AB54" s="128"/>
    </row>
    <row r="55" spans="1:28" x14ac:dyDescent="0.35">
      <c r="A55" s="49" t="s">
        <v>651</v>
      </c>
      <c r="B55" s="121" t="s">
        <v>153</v>
      </c>
      <c r="C55" s="28" t="s">
        <v>654</v>
      </c>
      <c r="D55" s="28"/>
      <c r="E55" s="49"/>
      <c r="F55" s="121"/>
      <c r="G55" s="49"/>
      <c r="H55" s="49"/>
      <c r="I55" s="49"/>
      <c r="J55" s="49"/>
      <c r="K55" s="49"/>
      <c r="L55" s="49"/>
      <c r="M55" s="123">
        <v>95</v>
      </c>
      <c r="N55" s="142">
        <f t="shared" si="20"/>
        <v>95</v>
      </c>
      <c r="O55" s="143">
        <f t="shared" si="6"/>
        <v>0</v>
      </c>
      <c r="P55" s="139">
        <f t="shared" si="7"/>
        <v>95</v>
      </c>
      <c r="Q55" s="317"/>
      <c r="R55" s="143">
        <f t="shared" si="8"/>
        <v>0</v>
      </c>
      <c r="S55" s="139">
        <f t="shared" si="9"/>
        <v>95</v>
      </c>
      <c r="T55" s="317"/>
      <c r="U55" s="143">
        <f t="shared" si="10"/>
        <v>0</v>
      </c>
      <c r="V55" s="139">
        <f t="shared" si="11"/>
        <v>95</v>
      </c>
      <c r="W55" s="49"/>
      <c r="X55" s="15"/>
      <c r="Y55" s="125">
        <f t="shared" si="25"/>
        <v>95</v>
      </c>
      <c r="Z55" s="126"/>
      <c r="AA55" s="127"/>
      <c r="AB55" s="128">
        <f t="shared" si="12"/>
        <v>0</v>
      </c>
    </row>
    <row r="56" spans="1:28" x14ac:dyDescent="0.35">
      <c r="A56" s="49" t="s">
        <v>651</v>
      </c>
      <c r="B56" s="121" t="s">
        <v>153</v>
      </c>
      <c r="C56" s="28" t="s">
        <v>655</v>
      </c>
      <c r="D56" s="28"/>
      <c r="E56" s="49"/>
      <c r="F56" s="121"/>
      <c r="G56" s="49"/>
      <c r="H56" s="49"/>
      <c r="I56" s="49"/>
      <c r="J56" s="49"/>
      <c r="K56" s="49"/>
      <c r="L56" s="49"/>
      <c r="M56" s="123">
        <v>160</v>
      </c>
      <c r="N56" s="142">
        <f t="shared" si="20"/>
        <v>160</v>
      </c>
      <c r="O56" s="143">
        <f t="shared" si="6"/>
        <v>0</v>
      </c>
      <c r="P56" s="139">
        <f t="shared" si="7"/>
        <v>160</v>
      </c>
      <c r="Q56" s="317"/>
      <c r="R56" s="143">
        <f t="shared" si="8"/>
        <v>0</v>
      </c>
      <c r="S56" s="139">
        <f t="shared" si="9"/>
        <v>160</v>
      </c>
      <c r="T56" s="317"/>
      <c r="U56" s="143">
        <f t="shared" si="10"/>
        <v>0</v>
      </c>
      <c r="V56" s="139">
        <f t="shared" si="11"/>
        <v>160</v>
      </c>
      <c r="W56" s="49"/>
      <c r="X56" s="15"/>
      <c r="Y56" s="125">
        <f t="shared" si="25"/>
        <v>160</v>
      </c>
      <c r="Z56" s="126"/>
      <c r="AA56" s="127"/>
      <c r="AB56" s="128">
        <f t="shared" si="12"/>
        <v>0</v>
      </c>
    </row>
    <row r="57" spans="1:28" x14ac:dyDescent="0.35">
      <c r="A57" s="49" t="s">
        <v>638</v>
      </c>
      <c r="B57" s="121" t="s">
        <v>153</v>
      </c>
      <c r="C57" s="28" t="s">
        <v>656</v>
      </c>
      <c r="D57" s="28"/>
      <c r="E57" s="49"/>
      <c r="F57" s="121"/>
      <c r="G57" s="49"/>
      <c r="H57" s="49"/>
      <c r="I57" s="49"/>
      <c r="J57" s="49"/>
      <c r="K57" s="49"/>
      <c r="L57" s="49"/>
      <c r="M57" s="123">
        <v>26</v>
      </c>
      <c r="N57" s="142">
        <f t="shared" si="20"/>
        <v>26</v>
      </c>
      <c r="O57" s="143">
        <f t="shared" si="6"/>
        <v>0</v>
      </c>
      <c r="P57" s="139">
        <f t="shared" si="7"/>
        <v>26</v>
      </c>
      <c r="Q57" s="317"/>
      <c r="R57" s="143">
        <f t="shared" si="8"/>
        <v>0</v>
      </c>
      <c r="S57" s="139">
        <f t="shared" si="9"/>
        <v>26</v>
      </c>
      <c r="T57" s="317"/>
      <c r="U57" s="143">
        <f t="shared" si="10"/>
        <v>0</v>
      </c>
      <c r="V57" s="139">
        <f t="shared" si="11"/>
        <v>26</v>
      </c>
      <c r="W57" s="49"/>
      <c r="X57" s="15"/>
      <c r="Y57" s="125">
        <f t="shared" si="25"/>
        <v>26</v>
      </c>
      <c r="Z57" s="126"/>
      <c r="AA57" s="127"/>
      <c r="AB57" s="128">
        <f t="shared" si="12"/>
        <v>0</v>
      </c>
    </row>
    <row r="58" spans="1:28" x14ac:dyDescent="0.35">
      <c r="A58" s="49" t="s">
        <v>638</v>
      </c>
      <c r="B58" s="121" t="s">
        <v>657</v>
      </c>
      <c r="C58" s="28" t="s">
        <v>658</v>
      </c>
      <c r="D58" s="28"/>
      <c r="E58" s="49"/>
      <c r="F58" s="121" t="s">
        <v>639</v>
      </c>
      <c r="G58" s="49"/>
      <c r="H58" s="49"/>
      <c r="I58" s="49"/>
      <c r="J58" s="49"/>
      <c r="K58" s="49"/>
      <c r="L58" s="49"/>
      <c r="M58" s="131">
        <v>10.26</v>
      </c>
      <c r="N58" s="142">
        <f>M58</f>
        <v>10.26</v>
      </c>
      <c r="O58" s="143">
        <f t="shared" si="6"/>
        <v>0</v>
      </c>
      <c r="P58" s="139">
        <f t="shared" si="7"/>
        <v>10.26</v>
      </c>
      <c r="Q58" s="317"/>
      <c r="R58" s="143">
        <f t="shared" si="8"/>
        <v>0</v>
      </c>
      <c r="S58" s="139">
        <f t="shared" si="9"/>
        <v>10.26</v>
      </c>
      <c r="T58" s="317"/>
      <c r="U58" s="143">
        <f t="shared" si="10"/>
        <v>0</v>
      </c>
      <c r="V58" s="139">
        <f t="shared" si="11"/>
        <v>10.26</v>
      </c>
      <c r="W58" s="49"/>
      <c r="X58" s="15"/>
      <c r="Y58" s="125">
        <f>+M58</f>
        <v>10.26</v>
      </c>
      <c r="Z58" s="126"/>
      <c r="AA58" s="127"/>
      <c r="AB58" s="128">
        <f>+IFERROR(((Y58-Z58)/Z58),0%)</f>
        <v>0</v>
      </c>
    </row>
    <row r="59" spans="1:28" x14ac:dyDescent="0.35">
      <c r="A59" s="49" t="s">
        <v>638</v>
      </c>
      <c r="B59" s="121" t="s">
        <v>657</v>
      </c>
      <c r="C59" s="28" t="s">
        <v>659</v>
      </c>
      <c r="D59" s="28"/>
      <c r="E59" s="49"/>
      <c r="F59" s="121" t="s">
        <v>639</v>
      </c>
      <c r="G59" s="49"/>
      <c r="H59" s="49"/>
      <c r="I59" s="49"/>
      <c r="J59" s="49"/>
      <c r="K59" s="49"/>
      <c r="L59" s="49"/>
      <c r="M59" s="131">
        <v>10.31</v>
      </c>
      <c r="N59" s="142">
        <f>M59</f>
        <v>10.31</v>
      </c>
      <c r="O59" s="143">
        <f t="shared" si="6"/>
        <v>0</v>
      </c>
      <c r="P59" s="139">
        <f t="shared" si="7"/>
        <v>10.31</v>
      </c>
      <c r="Q59" s="317"/>
      <c r="R59" s="143">
        <f t="shared" si="8"/>
        <v>0</v>
      </c>
      <c r="S59" s="139">
        <f t="shared" si="9"/>
        <v>10.31</v>
      </c>
      <c r="T59" s="317"/>
      <c r="U59" s="143">
        <f t="shared" si="10"/>
        <v>0</v>
      </c>
      <c r="V59" s="139">
        <f t="shared" si="11"/>
        <v>10.31</v>
      </c>
      <c r="W59" s="49"/>
      <c r="X59" s="15"/>
      <c r="Y59" s="125">
        <f>+M59</f>
        <v>10.31</v>
      </c>
      <c r="Z59" s="126"/>
      <c r="AA59" s="127"/>
      <c r="AB59" s="128">
        <f>+IFERROR(((Y59-Z59)/Z59),0%)</f>
        <v>0</v>
      </c>
    </row>
    <row r="60" spans="1:28" ht="31" x14ac:dyDescent="0.35">
      <c r="A60" s="49"/>
      <c r="B60" s="121" t="s">
        <v>194</v>
      </c>
      <c r="C60" s="129" t="s">
        <v>194</v>
      </c>
      <c r="D60" s="129"/>
      <c r="E60" s="49"/>
      <c r="F60" s="121"/>
      <c r="G60" s="49"/>
      <c r="H60" s="49"/>
      <c r="I60" s="49"/>
      <c r="J60" s="49"/>
      <c r="K60" s="49"/>
      <c r="L60" s="49"/>
      <c r="M60" s="123" t="s">
        <v>660</v>
      </c>
      <c r="N60" s="142" t="str">
        <f t="shared" ref="N60" si="52">M60</f>
        <v>Cost Required - Purchasing</v>
      </c>
      <c r="O60" s="143">
        <f t="shared" si="6"/>
        <v>0</v>
      </c>
      <c r="P60" s="139" t="str">
        <f t="shared" si="7"/>
        <v>Cost Required - Purchasing</v>
      </c>
      <c r="Q60" s="317"/>
      <c r="R60" s="143">
        <f t="shared" si="8"/>
        <v>0</v>
      </c>
      <c r="S60" s="139" t="str">
        <f t="shared" si="9"/>
        <v>Cost Required - Purchasing</v>
      </c>
      <c r="T60" s="317"/>
      <c r="U60" s="143">
        <f t="shared" si="10"/>
        <v>0</v>
      </c>
      <c r="V60" s="139" t="str">
        <f t="shared" si="11"/>
        <v>Cost Required - Purchasing</v>
      </c>
      <c r="W60" s="49"/>
      <c r="X60" s="15"/>
      <c r="Y60" s="125" t="str">
        <f t="shared" si="25"/>
        <v>Cost Required - Purchasing</v>
      </c>
      <c r="Z60" s="126"/>
      <c r="AA60" s="127"/>
      <c r="AB60" s="128">
        <f t="shared" si="12"/>
        <v>0</v>
      </c>
    </row>
    <row r="61" spans="1:28" ht="31" x14ac:dyDescent="0.35">
      <c r="A61" s="49"/>
      <c r="B61" s="121" t="s">
        <v>194</v>
      </c>
      <c r="C61" s="129" t="s">
        <v>661</v>
      </c>
      <c r="D61" s="129"/>
      <c r="E61" s="49"/>
      <c r="F61" s="121"/>
      <c r="G61" s="49"/>
      <c r="H61" s="49"/>
      <c r="I61" s="49"/>
      <c r="J61" s="49"/>
      <c r="K61" s="49"/>
      <c r="L61" s="49"/>
      <c r="M61" s="123" t="s">
        <v>660</v>
      </c>
      <c r="N61" s="142" t="str">
        <f t="shared" ref="N61:N62" si="53">M61</f>
        <v>Cost Required - Purchasing</v>
      </c>
      <c r="O61" s="143">
        <f t="shared" si="6"/>
        <v>0</v>
      </c>
      <c r="P61" s="139" t="str">
        <f t="shared" ref="P61:P62" si="54">IF(N61="Cost Required - Purchasing",N61,N61/(1-O61))</f>
        <v>Cost Required - Purchasing</v>
      </c>
      <c r="Q61" s="317"/>
      <c r="R61" s="143">
        <f t="shared" si="8"/>
        <v>0</v>
      </c>
      <c r="S61" s="139" t="str">
        <f t="shared" ref="S61:S62" si="55">IF(N61="Cost Required - Purchasing",N61,N61/(1-R61))</f>
        <v>Cost Required - Purchasing</v>
      </c>
      <c r="T61" s="317"/>
      <c r="U61" s="143">
        <f t="shared" si="10"/>
        <v>0</v>
      </c>
      <c r="V61" s="139" t="str">
        <f t="shared" ref="V61:V62" si="56">IF(N61="Cost Required - Purchasing",N61,N61/(1-U61))</f>
        <v>Cost Required - Purchasing</v>
      </c>
      <c r="W61" s="49"/>
      <c r="X61" s="15"/>
      <c r="Y61" s="125"/>
      <c r="Z61" s="126"/>
      <c r="AA61" s="127"/>
      <c r="AB61" s="128"/>
    </row>
    <row r="62" spans="1:28" ht="31" x14ac:dyDescent="0.35">
      <c r="A62" s="49"/>
      <c r="B62" s="121" t="s">
        <v>194</v>
      </c>
      <c r="C62" s="129" t="s">
        <v>662</v>
      </c>
      <c r="D62" s="129"/>
      <c r="E62" s="49"/>
      <c r="F62" s="121"/>
      <c r="G62" s="49"/>
      <c r="H62" s="49"/>
      <c r="I62" s="49"/>
      <c r="J62" s="49"/>
      <c r="K62" s="49"/>
      <c r="L62" s="49"/>
      <c r="M62" s="123" t="s">
        <v>660</v>
      </c>
      <c r="N62" s="142" t="str">
        <f t="shared" si="53"/>
        <v>Cost Required - Purchasing</v>
      </c>
      <c r="O62" s="143">
        <f t="shared" si="6"/>
        <v>0</v>
      </c>
      <c r="P62" s="139" t="str">
        <f t="shared" si="54"/>
        <v>Cost Required - Purchasing</v>
      </c>
      <c r="Q62" s="317"/>
      <c r="R62" s="143">
        <f t="shared" si="8"/>
        <v>0</v>
      </c>
      <c r="S62" s="139" t="str">
        <f t="shared" si="55"/>
        <v>Cost Required - Purchasing</v>
      </c>
      <c r="T62" s="317"/>
      <c r="U62" s="143">
        <f t="shared" si="10"/>
        <v>0</v>
      </c>
      <c r="V62" s="139" t="str">
        <f t="shared" si="56"/>
        <v>Cost Required - Purchasing</v>
      </c>
      <c r="W62" s="49"/>
      <c r="X62" s="15"/>
      <c r="Y62" s="125"/>
      <c r="Z62" s="126"/>
      <c r="AA62" s="127"/>
      <c r="AB62" s="128"/>
    </row>
    <row r="63" spans="1:28" ht="31" x14ac:dyDescent="0.35">
      <c r="A63" s="1015" t="s">
        <v>663</v>
      </c>
      <c r="B63" s="487" t="s">
        <v>664</v>
      </c>
      <c r="C63" s="462" t="s">
        <v>665</v>
      </c>
      <c r="D63" s="28" t="s">
        <v>1068</v>
      </c>
      <c r="E63" s="49"/>
      <c r="F63" s="121" t="s">
        <v>579</v>
      </c>
      <c r="G63" s="49"/>
      <c r="H63" s="49"/>
      <c r="I63" s="49"/>
      <c r="J63" s="49"/>
      <c r="K63" s="49"/>
      <c r="L63" s="49"/>
      <c r="M63" s="131">
        <v>6125</v>
      </c>
      <c r="N63" s="142">
        <f t="shared" si="20"/>
        <v>6125</v>
      </c>
      <c r="O63" s="143">
        <f t="shared" si="6"/>
        <v>0</v>
      </c>
      <c r="P63" s="139">
        <f t="shared" si="7"/>
        <v>6125</v>
      </c>
      <c r="Q63" s="317"/>
      <c r="R63" s="143">
        <f t="shared" si="8"/>
        <v>0</v>
      </c>
      <c r="S63" s="139">
        <f t="shared" si="9"/>
        <v>6125</v>
      </c>
      <c r="T63" s="317"/>
      <c r="U63" s="143">
        <f t="shared" si="10"/>
        <v>0</v>
      </c>
      <c r="V63" s="139">
        <f t="shared" si="11"/>
        <v>6125</v>
      </c>
      <c r="W63" s="49"/>
      <c r="X63" s="15"/>
      <c r="Y63" s="125">
        <f t="shared" si="25"/>
        <v>6125</v>
      </c>
      <c r="Z63" s="126"/>
      <c r="AA63" s="127"/>
      <c r="AB63" s="128">
        <f t="shared" si="12"/>
        <v>0</v>
      </c>
    </row>
    <row r="64" spans="1:28" ht="31" x14ac:dyDescent="0.35">
      <c r="A64" s="1015" t="s">
        <v>663</v>
      </c>
      <c r="B64" s="487" t="s">
        <v>664</v>
      </c>
      <c r="C64" s="462" t="s">
        <v>666</v>
      </c>
      <c r="D64" s="28" t="s">
        <v>1068</v>
      </c>
      <c r="E64" s="49"/>
      <c r="F64" s="121" t="s">
        <v>579</v>
      </c>
      <c r="G64" s="49"/>
      <c r="H64" s="49"/>
      <c r="I64" s="49"/>
      <c r="J64" s="49"/>
      <c r="K64" s="49"/>
      <c r="L64" s="49"/>
      <c r="M64" s="131">
        <v>5512.5</v>
      </c>
      <c r="N64" s="142">
        <f t="shared" si="20"/>
        <v>5512.5</v>
      </c>
      <c r="O64" s="143">
        <f t="shared" si="6"/>
        <v>0</v>
      </c>
      <c r="P64" s="139">
        <f t="shared" si="7"/>
        <v>5512.5</v>
      </c>
      <c r="Q64" s="317"/>
      <c r="R64" s="143">
        <f t="shared" si="8"/>
        <v>0</v>
      </c>
      <c r="S64" s="139">
        <f t="shared" si="9"/>
        <v>5512.5</v>
      </c>
      <c r="T64" s="317"/>
      <c r="U64" s="143">
        <f t="shared" si="10"/>
        <v>0</v>
      </c>
      <c r="V64" s="139">
        <f t="shared" si="11"/>
        <v>5512.5</v>
      </c>
      <c r="W64" s="49"/>
      <c r="X64" s="15"/>
      <c r="Y64" s="125">
        <f t="shared" si="25"/>
        <v>5512.5</v>
      </c>
      <c r="Z64" s="126"/>
      <c r="AA64" s="127"/>
      <c r="AB64" s="128">
        <f t="shared" si="12"/>
        <v>0</v>
      </c>
    </row>
    <row r="65" spans="1:28" x14ac:dyDescent="0.35">
      <c r="A65" s="49" t="s">
        <v>667</v>
      </c>
      <c r="B65" s="121" t="s">
        <v>668</v>
      </c>
      <c r="C65" s="28" t="s">
        <v>669</v>
      </c>
      <c r="D65" s="28"/>
      <c r="E65" s="49"/>
      <c r="F65" s="121" t="s">
        <v>599</v>
      </c>
      <c r="G65" s="49"/>
      <c r="H65" s="49"/>
      <c r="I65" s="49"/>
      <c r="J65" s="49"/>
      <c r="K65" s="49"/>
      <c r="L65" s="49"/>
      <c r="M65" s="131">
        <v>1.6639999999999999</v>
      </c>
      <c r="N65" s="142">
        <f t="shared" si="20"/>
        <v>1.6639999999999999</v>
      </c>
      <c r="O65" s="143">
        <f t="shared" si="6"/>
        <v>0</v>
      </c>
      <c r="P65" s="139">
        <f t="shared" si="7"/>
        <v>1.6639999999999999</v>
      </c>
      <c r="Q65" s="317"/>
      <c r="R65" s="143">
        <f t="shared" si="8"/>
        <v>0</v>
      </c>
      <c r="S65" s="139">
        <f t="shared" si="9"/>
        <v>1.6639999999999999</v>
      </c>
      <c r="T65" s="317"/>
      <c r="U65" s="143">
        <f t="shared" si="10"/>
        <v>0</v>
      </c>
      <c r="V65" s="139">
        <f t="shared" si="11"/>
        <v>1.6639999999999999</v>
      </c>
      <c r="W65" s="49"/>
      <c r="X65" s="15"/>
      <c r="Y65" s="125">
        <f t="shared" si="25"/>
        <v>1.6639999999999999</v>
      </c>
      <c r="Z65" s="126"/>
      <c r="AA65" s="127"/>
      <c r="AB65" s="128">
        <f t="shared" si="12"/>
        <v>0</v>
      </c>
    </row>
    <row r="66" spans="1:28" x14ac:dyDescent="0.35">
      <c r="A66" s="49" t="s">
        <v>667</v>
      </c>
      <c r="B66" s="121" t="s">
        <v>668</v>
      </c>
      <c r="C66" s="28" t="s">
        <v>670</v>
      </c>
      <c r="D66" s="28"/>
      <c r="E66" s="49"/>
      <c r="F66" s="121" t="s">
        <v>599</v>
      </c>
      <c r="G66" s="49"/>
      <c r="H66" s="49"/>
      <c r="I66" s="49"/>
      <c r="J66" s="49"/>
      <c r="K66" s="49"/>
      <c r="L66" s="49"/>
      <c r="M66" s="131">
        <v>0.65</v>
      </c>
      <c r="N66" s="142">
        <f t="shared" si="20"/>
        <v>0.65</v>
      </c>
      <c r="O66" s="143">
        <f t="shared" si="6"/>
        <v>0</v>
      </c>
      <c r="P66" s="139">
        <f t="shared" si="7"/>
        <v>0.65</v>
      </c>
      <c r="Q66" s="317"/>
      <c r="R66" s="143">
        <f t="shared" si="8"/>
        <v>0</v>
      </c>
      <c r="S66" s="139">
        <f t="shared" si="9"/>
        <v>0.65</v>
      </c>
      <c r="T66" s="317"/>
      <c r="U66" s="143">
        <f t="shared" si="10"/>
        <v>0</v>
      </c>
      <c r="V66" s="139">
        <f t="shared" si="11"/>
        <v>0.65</v>
      </c>
      <c r="W66" s="49"/>
      <c r="X66" s="15"/>
      <c r="Y66" s="125">
        <f t="shared" si="25"/>
        <v>0.65</v>
      </c>
      <c r="Z66" s="126"/>
      <c r="AA66" s="127"/>
      <c r="AB66" s="128">
        <f t="shared" si="12"/>
        <v>0</v>
      </c>
    </row>
    <row r="67" spans="1:28" x14ac:dyDescent="0.35">
      <c r="A67" s="49" t="s">
        <v>667</v>
      </c>
      <c r="B67" s="121" t="s">
        <v>671</v>
      </c>
      <c r="C67" s="28" t="s">
        <v>672</v>
      </c>
      <c r="D67" s="28"/>
      <c r="E67" s="49"/>
      <c r="F67" s="121" t="s">
        <v>599</v>
      </c>
      <c r="G67" s="49"/>
      <c r="H67" s="49"/>
      <c r="I67" s="49"/>
      <c r="J67" s="49"/>
      <c r="K67" s="49"/>
      <c r="L67" s="49"/>
      <c r="M67" s="131">
        <v>0.74</v>
      </c>
      <c r="N67" s="142">
        <f t="shared" si="20"/>
        <v>0.74</v>
      </c>
      <c r="O67" s="143">
        <f t="shared" si="6"/>
        <v>0</v>
      </c>
      <c r="P67" s="139">
        <f t="shared" si="7"/>
        <v>0.74</v>
      </c>
      <c r="Q67" s="317"/>
      <c r="R67" s="143">
        <f t="shared" si="8"/>
        <v>0</v>
      </c>
      <c r="S67" s="139">
        <f t="shared" si="9"/>
        <v>0.74</v>
      </c>
      <c r="T67" s="317"/>
      <c r="U67" s="143">
        <f t="shared" si="10"/>
        <v>0</v>
      </c>
      <c r="V67" s="139">
        <f t="shared" si="11"/>
        <v>0.74</v>
      </c>
      <c r="W67" s="49"/>
      <c r="X67" s="15"/>
      <c r="Y67" s="125">
        <f t="shared" si="25"/>
        <v>0.74</v>
      </c>
      <c r="Z67" s="126"/>
      <c r="AA67" s="127"/>
      <c r="AB67" s="128">
        <f t="shared" si="12"/>
        <v>0</v>
      </c>
    </row>
    <row r="68" spans="1:28" x14ac:dyDescent="0.35">
      <c r="A68" s="49" t="s">
        <v>667</v>
      </c>
      <c r="B68" s="121" t="s">
        <v>668</v>
      </c>
      <c r="C68" s="28" t="s">
        <v>673</v>
      </c>
      <c r="D68" s="28"/>
      <c r="E68" s="49"/>
      <c r="F68" s="121" t="s">
        <v>599</v>
      </c>
      <c r="G68" s="49"/>
      <c r="H68" s="49"/>
      <c r="I68" s="49"/>
      <c r="J68" s="49"/>
      <c r="K68" s="49"/>
      <c r="L68" s="49"/>
      <c r="M68" s="131">
        <v>1.05</v>
      </c>
      <c r="N68" s="142">
        <f t="shared" si="20"/>
        <v>1.05</v>
      </c>
      <c r="O68" s="143">
        <f t="shared" si="6"/>
        <v>0</v>
      </c>
      <c r="P68" s="139">
        <f t="shared" si="7"/>
        <v>1.05</v>
      </c>
      <c r="Q68" s="317"/>
      <c r="R68" s="143">
        <f t="shared" si="8"/>
        <v>0</v>
      </c>
      <c r="S68" s="139">
        <f t="shared" si="9"/>
        <v>1.05</v>
      </c>
      <c r="T68" s="317"/>
      <c r="U68" s="143">
        <f t="shared" si="10"/>
        <v>0</v>
      </c>
      <c r="V68" s="139">
        <f t="shared" si="11"/>
        <v>1.05</v>
      </c>
      <c r="W68" s="49"/>
      <c r="X68" s="15"/>
      <c r="Y68" s="125">
        <f t="shared" si="25"/>
        <v>1.05</v>
      </c>
      <c r="Z68" s="126"/>
      <c r="AA68" s="127"/>
      <c r="AB68" s="128">
        <f t="shared" si="12"/>
        <v>0</v>
      </c>
    </row>
    <row r="69" spans="1:28" x14ac:dyDescent="0.35">
      <c r="A69" s="49" t="s">
        <v>667</v>
      </c>
      <c r="B69" s="121" t="s">
        <v>668</v>
      </c>
      <c r="C69" s="28" t="s">
        <v>674</v>
      </c>
      <c r="D69" s="28"/>
      <c r="E69" s="49"/>
      <c r="F69" s="121" t="s">
        <v>599</v>
      </c>
      <c r="G69" s="49"/>
      <c r="H69" s="49"/>
      <c r="I69" s="49"/>
      <c r="J69" s="49"/>
      <c r="K69" s="49"/>
      <c r="L69" s="49"/>
      <c r="M69" s="131">
        <v>0.94</v>
      </c>
      <c r="N69" s="142">
        <f t="shared" si="20"/>
        <v>0.94</v>
      </c>
      <c r="O69" s="143">
        <f t="shared" si="6"/>
        <v>0</v>
      </c>
      <c r="P69" s="139">
        <f t="shared" si="7"/>
        <v>0.94</v>
      </c>
      <c r="Q69" s="317"/>
      <c r="R69" s="143">
        <f t="shared" si="8"/>
        <v>0</v>
      </c>
      <c r="S69" s="139">
        <f t="shared" si="9"/>
        <v>0.94</v>
      </c>
      <c r="T69" s="317"/>
      <c r="U69" s="143">
        <f t="shared" si="10"/>
        <v>0</v>
      </c>
      <c r="V69" s="139">
        <f t="shared" si="11"/>
        <v>0.94</v>
      </c>
      <c r="W69" s="49"/>
      <c r="X69" s="15"/>
      <c r="Y69" s="125">
        <f t="shared" si="25"/>
        <v>0.94</v>
      </c>
      <c r="Z69" s="126"/>
      <c r="AA69" s="127"/>
      <c r="AB69" s="128">
        <f t="shared" si="12"/>
        <v>0</v>
      </c>
    </row>
    <row r="70" spans="1:28" x14ac:dyDescent="0.35">
      <c r="A70" s="49" t="s">
        <v>667</v>
      </c>
      <c r="B70" s="121" t="s">
        <v>671</v>
      </c>
      <c r="C70" s="28" t="s">
        <v>675</v>
      </c>
      <c r="D70" s="28"/>
      <c r="E70" s="49"/>
      <c r="F70" s="121" t="s">
        <v>599</v>
      </c>
      <c r="G70" s="49"/>
      <c r="H70" s="49"/>
      <c r="I70" s="49"/>
      <c r="J70" s="49"/>
      <c r="K70" s="49"/>
      <c r="L70" s="49"/>
      <c r="M70" s="131">
        <v>0.8</v>
      </c>
      <c r="N70" s="142">
        <f t="shared" si="20"/>
        <v>0.8</v>
      </c>
      <c r="O70" s="143">
        <f t="shared" si="6"/>
        <v>0</v>
      </c>
      <c r="P70" s="139">
        <f t="shared" si="7"/>
        <v>0.8</v>
      </c>
      <c r="Q70" s="317"/>
      <c r="R70" s="143">
        <f t="shared" si="8"/>
        <v>0</v>
      </c>
      <c r="S70" s="139">
        <f t="shared" si="9"/>
        <v>0.8</v>
      </c>
      <c r="T70" s="317"/>
      <c r="U70" s="143">
        <f t="shared" si="10"/>
        <v>0</v>
      </c>
      <c r="V70" s="139">
        <f t="shared" si="11"/>
        <v>0.8</v>
      </c>
      <c r="W70" s="49"/>
      <c r="X70" s="15"/>
      <c r="Y70" s="125">
        <f t="shared" si="25"/>
        <v>0.8</v>
      </c>
      <c r="Z70" s="126"/>
      <c r="AA70" s="127"/>
      <c r="AB70" s="128">
        <f t="shared" si="12"/>
        <v>0</v>
      </c>
    </row>
    <row r="71" spans="1:28" x14ac:dyDescent="0.35">
      <c r="A71" s="49" t="s">
        <v>667</v>
      </c>
      <c r="B71" s="121" t="s">
        <v>668</v>
      </c>
      <c r="C71" s="28" t="s">
        <v>676</v>
      </c>
      <c r="D71" s="28"/>
      <c r="E71" s="49"/>
      <c r="F71" s="121" t="s">
        <v>599</v>
      </c>
      <c r="G71" s="49"/>
      <c r="H71" s="49"/>
      <c r="I71" s="49"/>
      <c r="J71" s="49"/>
      <c r="K71" s="49"/>
      <c r="L71" s="49"/>
      <c r="M71" s="131">
        <v>0.6</v>
      </c>
      <c r="N71" s="142">
        <f t="shared" si="20"/>
        <v>0.6</v>
      </c>
      <c r="O71" s="143">
        <f t="shared" si="6"/>
        <v>0</v>
      </c>
      <c r="P71" s="139">
        <f t="shared" si="7"/>
        <v>0.6</v>
      </c>
      <c r="Q71" s="317"/>
      <c r="R71" s="143">
        <f t="shared" si="8"/>
        <v>0</v>
      </c>
      <c r="S71" s="139">
        <f t="shared" si="9"/>
        <v>0.6</v>
      </c>
      <c r="T71" s="317"/>
      <c r="U71" s="143">
        <f t="shared" si="10"/>
        <v>0</v>
      </c>
      <c r="V71" s="139">
        <f t="shared" si="11"/>
        <v>0.6</v>
      </c>
      <c r="W71" s="49"/>
      <c r="X71" s="15"/>
      <c r="Y71" s="125">
        <f t="shared" si="25"/>
        <v>0.6</v>
      </c>
      <c r="Z71" s="126"/>
      <c r="AA71" s="127"/>
      <c r="AB71" s="128">
        <f t="shared" si="12"/>
        <v>0</v>
      </c>
    </row>
    <row r="72" spans="1:28" x14ac:dyDescent="0.35">
      <c r="A72" s="49" t="s">
        <v>667</v>
      </c>
      <c r="B72" s="487" t="s">
        <v>81</v>
      </c>
      <c r="C72" s="28" t="s">
        <v>677</v>
      </c>
      <c r="D72" s="28"/>
      <c r="E72" s="49"/>
      <c r="F72" s="121" t="s">
        <v>599</v>
      </c>
      <c r="G72" s="49"/>
      <c r="H72" s="49"/>
      <c r="I72" s="49"/>
      <c r="J72" s="49"/>
      <c r="K72" s="49"/>
      <c r="L72" s="49"/>
      <c r="M72" s="131">
        <v>0.94</v>
      </c>
      <c r="N72" s="142">
        <f t="shared" si="20"/>
        <v>0.94</v>
      </c>
      <c r="O72" s="143">
        <f t="shared" si="6"/>
        <v>0</v>
      </c>
      <c r="P72" s="139">
        <f t="shared" si="7"/>
        <v>0.94</v>
      </c>
      <c r="Q72" s="317"/>
      <c r="R72" s="143">
        <f t="shared" si="8"/>
        <v>0</v>
      </c>
      <c r="S72" s="139">
        <f t="shared" si="9"/>
        <v>0.94</v>
      </c>
      <c r="T72" s="317"/>
      <c r="U72" s="143">
        <f t="shared" si="10"/>
        <v>0</v>
      </c>
      <c r="V72" s="139">
        <f t="shared" si="11"/>
        <v>0.94</v>
      </c>
      <c r="W72" s="49"/>
      <c r="X72" s="15"/>
      <c r="Y72" s="125">
        <f t="shared" si="25"/>
        <v>0.94</v>
      </c>
      <c r="Z72" s="126"/>
      <c r="AA72" s="127"/>
      <c r="AB72" s="128">
        <f t="shared" si="12"/>
        <v>0</v>
      </c>
    </row>
    <row r="73" spans="1:28" x14ac:dyDescent="0.35">
      <c r="A73" s="49" t="s">
        <v>678</v>
      </c>
      <c r="B73" s="487" t="s">
        <v>679</v>
      </c>
      <c r="C73" s="28" t="s">
        <v>680</v>
      </c>
      <c r="D73" s="28">
        <v>3</v>
      </c>
      <c r="E73" s="49"/>
      <c r="F73" s="121" t="s">
        <v>599</v>
      </c>
      <c r="G73" s="49"/>
      <c r="H73" s="49"/>
      <c r="I73" s="49"/>
      <c r="J73" s="49"/>
      <c r="K73" s="49"/>
      <c r="L73" s="49"/>
      <c r="M73" s="131">
        <v>1.45</v>
      </c>
      <c r="N73" s="142">
        <f t="shared" si="20"/>
        <v>1.45</v>
      </c>
      <c r="O73" s="143">
        <f t="shared" si="6"/>
        <v>0</v>
      </c>
      <c r="P73" s="139">
        <f t="shared" si="7"/>
        <v>1.45</v>
      </c>
      <c r="Q73" s="317"/>
      <c r="R73" s="143">
        <f t="shared" si="8"/>
        <v>0</v>
      </c>
      <c r="S73" s="139">
        <f t="shared" si="9"/>
        <v>1.45</v>
      </c>
      <c r="T73" s="317"/>
      <c r="U73" s="143">
        <f t="shared" si="10"/>
        <v>0</v>
      </c>
      <c r="V73" s="139">
        <f t="shared" si="11"/>
        <v>1.45</v>
      </c>
      <c r="W73" s="49"/>
      <c r="X73" s="15"/>
      <c r="Y73" s="125">
        <f t="shared" si="25"/>
        <v>1.45</v>
      </c>
      <c r="Z73" s="126"/>
      <c r="AA73" s="127"/>
      <c r="AB73" s="128">
        <f t="shared" si="12"/>
        <v>0</v>
      </c>
    </row>
    <row r="74" spans="1:28" x14ac:dyDescent="0.35">
      <c r="A74" s="49" t="s">
        <v>678</v>
      </c>
      <c r="B74" s="487" t="s">
        <v>679</v>
      </c>
      <c r="C74" s="28" t="s">
        <v>681</v>
      </c>
      <c r="D74" s="28">
        <v>4</v>
      </c>
      <c r="E74" s="49"/>
      <c r="F74" s="121" t="s">
        <v>599</v>
      </c>
      <c r="G74" s="49"/>
      <c r="H74" s="49"/>
      <c r="I74" s="49"/>
      <c r="J74" s="49"/>
      <c r="K74" s="49"/>
      <c r="L74" s="49"/>
      <c r="M74" s="131">
        <v>1.83</v>
      </c>
      <c r="N74" s="142">
        <f t="shared" ref="N74:N103" si="57">M74</f>
        <v>1.83</v>
      </c>
      <c r="O74" s="143">
        <f t="shared" si="6"/>
        <v>0</v>
      </c>
      <c r="P74" s="139">
        <f t="shared" si="7"/>
        <v>1.83</v>
      </c>
      <c r="Q74" s="317"/>
      <c r="R74" s="143">
        <f t="shared" si="8"/>
        <v>0</v>
      </c>
      <c r="S74" s="139">
        <f t="shared" si="9"/>
        <v>1.83</v>
      </c>
      <c r="T74" s="317"/>
      <c r="U74" s="143">
        <f t="shared" si="10"/>
        <v>0</v>
      </c>
      <c r="V74" s="139">
        <f t="shared" si="11"/>
        <v>1.83</v>
      </c>
      <c r="W74" s="49"/>
      <c r="X74" s="15"/>
      <c r="Y74" s="125">
        <f t="shared" ref="Y74:Y103" si="58">+M74</f>
        <v>1.83</v>
      </c>
      <c r="Z74" s="126"/>
      <c r="AA74" s="127"/>
      <c r="AB74" s="128">
        <f t="shared" si="12"/>
        <v>0</v>
      </c>
    </row>
    <row r="75" spans="1:28" x14ac:dyDescent="0.35">
      <c r="A75" s="49" t="s">
        <v>678</v>
      </c>
      <c r="B75" s="487" t="s">
        <v>679</v>
      </c>
      <c r="C75" s="28" t="s">
        <v>682</v>
      </c>
      <c r="D75" s="28">
        <v>6</v>
      </c>
      <c r="E75" s="49"/>
      <c r="F75" s="121" t="s">
        <v>599</v>
      </c>
      <c r="G75" s="49"/>
      <c r="H75" s="49"/>
      <c r="I75" s="49"/>
      <c r="J75" s="49"/>
      <c r="K75" s="49"/>
      <c r="L75" s="49"/>
      <c r="M75" s="131">
        <v>2.4</v>
      </c>
      <c r="N75" s="142">
        <f t="shared" si="57"/>
        <v>2.4</v>
      </c>
      <c r="O75" s="143">
        <f t="shared" si="6"/>
        <v>0</v>
      </c>
      <c r="P75" s="139">
        <f t="shared" si="7"/>
        <v>2.4</v>
      </c>
      <c r="Q75" s="317"/>
      <c r="R75" s="143">
        <f t="shared" si="8"/>
        <v>0</v>
      </c>
      <c r="S75" s="139">
        <f t="shared" si="9"/>
        <v>2.4</v>
      </c>
      <c r="T75" s="317"/>
      <c r="U75" s="143">
        <f t="shared" si="10"/>
        <v>0</v>
      </c>
      <c r="V75" s="139">
        <f t="shared" si="11"/>
        <v>2.4</v>
      </c>
      <c r="W75" s="49"/>
      <c r="X75" s="15"/>
      <c r="Y75" s="125">
        <f t="shared" si="58"/>
        <v>2.4</v>
      </c>
      <c r="Z75" s="126"/>
      <c r="AA75" s="127"/>
      <c r="AB75" s="128">
        <f t="shared" si="12"/>
        <v>0</v>
      </c>
    </row>
    <row r="76" spans="1:28" x14ac:dyDescent="0.35">
      <c r="A76" s="49" t="s">
        <v>678</v>
      </c>
      <c r="B76" s="121" t="s">
        <v>679</v>
      </c>
      <c r="C76" s="28" t="s">
        <v>683</v>
      </c>
      <c r="D76" s="28"/>
      <c r="E76" s="49"/>
      <c r="F76" s="121" t="s">
        <v>599</v>
      </c>
      <c r="G76" s="49"/>
      <c r="H76" s="49"/>
      <c r="I76" s="49"/>
      <c r="J76" s="49"/>
      <c r="K76" s="49"/>
      <c r="L76" s="49"/>
      <c r="M76" s="131">
        <v>1.03</v>
      </c>
      <c r="N76" s="142">
        <f t="shared" ref="N76:N79" si="59">M76</f>
        <v>1.03</v>
      </c>
      <c r="O76" s="143">
        <f t="shared" si="6"/>
        <v>0</v>
      </c>
      <c r="P76" s="139">
        <f t="shared" ref="P76:P79" si="60">IF(N76="Cost Required - Purchasing",N76,N76/(1-O76))</f>
        <v>1.03</v>
      </c>
      <c r="Q76" s="317"/>
      <c r="R76" s="143">
        <f t="shared" si="8"/>
        <v>0</v>
      </c>
      <c r="S76" s="139">
        <f t="shared" ref="S76:S79" si="61">IF(N76="Cost Required - Purchasing",N76,N76/(1-R76))</f>
        <v>1.03</v>
      </c>
      <c r="T76" s="317"/>
      <c r="U76" s="143">
        <f t="shared" si="10"/>
        <v>0</v>
      </c>
      <c r="V76" s="139">
        <f t="shared" ref="V76:V79" si="62">IF(N76="Cost Required - Purchasing",N76,N76/(1-U76))</f>
        <v>1.03</v>
      </c>
      <c r="W76" s="49"/>
      <c r="X76" s="15"/>
      <c r="Y76" s="125">
        <f t="shared" ref="Y76:Y79" si="63">+M76</f>
        <v>1.03</v>
      </c>
      <c r="Z76" s="126"/>
      <c r="AA76" s="127"/>
      <c r="AB76" s="128">
        <f t="shared" ref="AB76:AB79" si="64">+IFERROR(((Y76-Z76)/Z76),0%)</f>
        <v>0</v>
      </c>
    </row>
    <row r="77" spans="1:28" x14ac:dyDescent="0.35">
      <c r="A77" s="49" t="s">
        <v>678</v>
      </c>
      <c r="B77" s="121" t="s">
        <v>679</v>
      </c>
      <c r="C77" s="28" t="s">
        <v>684</v>
      </c>
      <c r="D77" s="28"/>
      <c r="E77" s="49"/>
      <c r="F77" s="121" t="s">
        <v>599</v>
      </c>
      <c r="G77" s="49"/>
      <c r="H77" s="49"/>
      <c r="I77" s="49"/>
      <c r="J77" s="49"/>
      <c r="K77" s="49"/>
      <c r="L77" s="49"/>
      <c r="M77" s="131">
        <v>0.73</v>
      </c>
      <c r="N77" s="142">
        <f t="shared" si="59"/>
        <v>0.73</v>
      </c>
      <c r="O77" s="143">
        <f t="shared" si="6"/>
        <v>0</v>
      </c>
      <c r="P77" s="139">
        <f t="shared" si="60"/>
        <v>0.73</v>
      </c>
      <c r="Q77" s="317"/>
      <c r="R77" s="143">
        <f t="shared" si="8"/>
        <v>0</v>
      </c>
      <c r="S77" s="139">
        <f t="shared" si="61"/>
        <v>0.73</v>
      </c>
      <c r="T77" s="317"/>
      <c r="U77" s="143">
        <f t="shared" si="10"/>
        <v>0</v>
      </c>
      <c r="V77" s="139">
        <f t="shared" si="62"/>
        <v>0.73</v>
      </c>
      <c r="W77" s="49"/>
      <c r="X77" s="15"/>
      <c r="Y77" s="125">
        <f t="shared" si="63"/>
        <v>0.73</v>
      </c>
      <c r="Z77" s="126"/>
      <c r="AA77" s="127"/>
      <c r="AB77" s="128">
        <f t="shared" si="64"/>
        <v>0</v>
      </c>
    </row>
    <row r="78" spans="1:28" x14ac:dyDescent="0.35">
      <c r="A78" s="49" t="s">
        <v>685</v>
      </c>
      <c r="B78" s="121" t="s">
        <v>686</v>
      </c>
      <c r="C78" s="28" t="s">
        <v>687</v>
      </c>
      <c r="D78" s="28"/>
      <c r="E78" s="49"/>
      <c r="F78" s="121" t="s">
        <v>599</v>
      </c>
      <c r="G78" s="49"/>
      <c r="H78" s="49"/>
      <c r="I78" s="49"/>
      <c r="J78" s="49"/>
      <c r="K78" s="49"/>
      <c r="L78" s="49"/>
      <c r="M78" s="131">
        <v>9.5500000000000007</v>
      </c>
      <c r="N78" s="142">
        <f t="shared" si="59"/>
        <v>9.5500000000000007</v>
      </c>
      <c r="O78" s="143">
        <f t="shared" si="6"/>
        <v>0</v>
      </c>
      <c r="P78" s="139">
        <f t="shared" si="60"/>
        <v>9.5500000000000007</v>
      </c>
      <c r="Q78" s="317"/>
      <c r="R78" s="143">
        <f t="shared" si="8"/>
        <v>0</v>
      </c>
      <c r="S78" s="139">
        <f t="shared" si="61"/>
        <v>9.5500000000000007</v>
      </c>
      <c r="T78" s="317"/>
      <c r="U78" s="143">
        <f t="shared" si="10"/>
        <v>0</v>
      </c>
      <c r="V78" s="139">
        <f t="shared" si="62"/>
        <v>9.5500000000000007</v>
      </c>
      <c r="W78" s="49"/>
      <c r="X78" s="15"/>
      <c r="Y78" s="125">
        <f t="shared" si="63"/>
        <v>9.5500000000000007</v>
      </c>
      <c r="Z78" s="126"/>
      <c r="AA78" s="127"/>
      <c r="AB78" s="128">
        <f t="shared" si="64"/>
        <v>0</v>
      </c>
    </row>
    <row r="79" spans="1:28" x14ac:dyDescent="0.35">
      <c r="A79" s="49" t="s">
        <v>688</v>
      </c>
      <c r="B79" s="121" t="s">
        <v>689</v>
      </c>
      <c r="C79" s="28" t="s">
        <v>690</v>
      </c>
      <c r="D79" s="28"/>
      <c r="E79" s="49"/>
      <c r="F79" s="121" t="s">
        <v>599</v>
      </c>
      <c r="G79" s="49"/>
      <c r="H79" s="49"/>
      <c r="I79" s="49"/>
      <c r="J79" s="49"/>
      <c r="K79" s="49"/>
      <c r="L79" s="49"/>
      <c r="M79" s="131">
        <v>0.48</v>
      </c>
      <c r="N79" s="142">
        <f t="shared" si="59"/>
        <v>0.48</v>
      </c>
      <c r="O79" s="143">
        <f t="shared" si="6"/>
        <v>0</v>
      </c>
      <c r="P79" s="139">
        <f t="shared" si="60"/>
        <v>0.48</v>
      </c>
      <c r="Q79" s="317"/>
      <c r="R79" s="143">
        <f t="shared" si="8"/>
        <v>0</v>
      </c>
      <c r="S79" s="139">
        <f t="shared" si="61"/>
        <v>0.48</v>
      </c>
      <c r="T79" s="317"/>
      <c r="U79" s="143">
        <f t="shared" si="10"/>
        <v>0</v>
      </c>
      <c r="V79" s="139">
        <f t="shared" si="62"/>
        <v>0.48</v>
      </c>
      <c r="W79" s="49"/>
      <c r="X79" s="15"/>
      <c r="Y79" s="125">
        <f t="shared" si="63"/>
        <v>0.48</v>
      </c>
      <c r="Z79" s="126"/>
      <c r="AA79" s="127"/>
      <c r="AB79" s="128">
        <f t="shared" si="64"/>
        <v>0</v>
      </c>
    </row>
    <row r="80" spans="1:28" x14ac:dyDescent="0.35">
      <c r="A80" s="49" t="s">
        <v>691</v>
      </c>
      <c r="B80" s="121" t="s">
        <v>692</v>
      </c>
      <c r="C80" s="28" t="s">
        <v>693</v>
      </c>
      <c r="D80" s="28"/>
      <c r="E80" s="49"/>
      <c r="F80" s="121" t="s">
        <v>694</v>
      </c>
      <c r="G80" s="49"/>
      <c r="H80" s="49"/>
      <c r="I80" s="49"/>
      <c r="J80" s="49"/>
      <c r="K80" s="49"/>
      <c r="L80" s="49"/>
      <c r="M80" s="131">
        <v>3.92</v>
      </c>
      <c r="N80" s="142">
        <f t="shared" si="57"/>
        <v>3.92</v>
      </c>
      <c r="O80" s="143">
        <f t="shared" si="6"/>
        <v>0</v>
      </c>
      <c r="P80" s="139">
        <f t="shared" si="7"/>
        <v>3.92</v>
      </c>
      <c r="Q80" s="317"/>
      <c r="R80" s="143">
        <f t="shared" si="8"/>
        <v>0</v>
      </c>
      <c r="S80" s="139">
        <f t="shared" si="9"/>
        <v>3.92</v>
      </c>
      <c r="T80" s="317"/>
      <c r="U80" s="143">
        <f t="shared" si="10"/>
        <v>0</v>
      </c>
      <c r="V80" s="139">
        <f t="shared" si="11"/>
        <v>3.92</v>
      </c>
      <c r="W80" s="49"/>
      <c r="X80" s="15"/>
      <c r="Y80" s="125">
        <f t="shared" si="58"/>
        <v>3.92</v>
      </c>
      <c r="Z80" s="126"/>
      <c r="AA80" s="127"/>
      <c r="AB80" s="128">
        <f t="shared" si="12"/>
        <v>0</v>
      </c>
    </row>
    <row r="81" spans="1:33" x14ac:dyDescent="0.35">
      <c r="A81" s="49" t="s">
        <v>691</v>
      </c>
      <c r="B81" s="146" t="s">
        <v>692</v>
      </c>
      <c r="C81" s="28" t="s">
        <v>695</v>
      </c>
      <c r="D81" s="28" t="s">
        <v>696</v>
      </c>
      <c r="E81" s="49"/>
      <c r="F81" s="121" t="s">
        <v>697</v>
      </c>
      <c r="G81" s="49"/>
      <c r="H81" s="49"/>
      <c r="I81" s="49"/>
      <c r="J81" s="49"/>
      <c r="K81" s="49"/>
      <c r="L81" s="49"/>
      <c r="M81" s="131">
        <v>36.5</v>
      </c>
      <c r="N81" s="142">
        <f t="shared" si="57"/>
        <v>36.5</v>
      </c>
      <c r="O81" s="143">
        <f t="shared" si="6"/>
        <v>0</v>
      </c>
      <c r="P81" s="139">
        <f t="shared" si="7"/>
        <v>36.5</v>
      </c>
      <c r="Q81" s="317"/>
      <c r="R81" s="143">
        <f t="shared" si="8"/>
        <v>0</v>
      </c>
      <c r="S81" s="139">
        <f t="shared" si="9"/>
        <v>36.5</v>
      </c>
      <c r="T81" s="317"/>
      <c r="U81" s="143">
        <f t="shared" si="10"/>
        <v>0</v>
      </c>
      <c r="V81" s="139">
        <f t="shared" si="11"/>
        <v>36.5</v>
      </c>
      <c r="W81" s="49"/>
      <c r="X81" s="15"/>
      <c r="Y81" s="125">
        <f t="shared" si="58"/>
        <v>36.5</v>
      </c>
      <c r="Z81" s="126"/>
      <c r="AA81" s="127"/>
      <c r="AB81" s="128">
        <f t="shared" si="12"/>
        <v>0</v>
      </c>
    </row>
    <row r="82" spans="1:33" x14ac:dyDescent="0.35">
      <c r="A82" s="49" t="s">
        <v>691</v>
      </c>
      <c r="B82" s="146" t="s">
        <v>692</v>
      </c>
      <c r="C82" s="28" t="s">
        <v>698</v>
      </c>
      <c r="D82" s="28"/>
      <c r="E82" s="49"/>
      <c r="F82" s="121" t="s">
        <v>694</v>
      </c>
      <c r="G82" s="49"/>
      <c r="H82" s="49"/>
      <c r="I82" s="49"/>
      <c r="J82" s="49"/>
      <c r="K82" s="49"/>
      <c r="L82" s="49"/>
      <c r="M82" s="131">
        <v>1.1200000000000001</v>
      </c>
      <c r="N82" s="142">
        <f t="shared" ref="N82:N84" si="65">M82</f>
        <v>1.1200000000000001</v>
      </c>
      <c r="O82" s="143">
        <f t="shared" si="6"/>
        <v>0</v>
      </c>
      <c r="P82" s="139">
        <f t="shared" ref="P82:P84" si="66">IF(N82="Cost Required - Purchasing",N82,N82/(1-O82))</f>
        <v>1.1200000000000001</v>
      </c>
      <c r="Q82" s="317"/>
      <c r="R82" s="143">
        <f t="shared" si="8"/>
        <v>0</v>
      </c>
      <c r="S82" s="139">
        <f t="shared" ref="S82:S84" si="67">IF(N82="Cost Required - Purchasing",N82,N82/(1-R82))</f>
        <v>1.1200000000000001</v>
      </c>
      <c r="T82" s="317"/>
      <c r="U82" s="143">
        <f t="shared" si="10"/>
        <v>0</v>
      </c>
      <c r="V82" s="139">
        <f t="shared" ref="V82:V84" si="68">IF(N82="Cost Required - Purchasing",N82,N82/(1-U82))</f>
        <v>1.1200000000000001</v>
      </c>
      <c r="W82" s="49"/>
      <c r="X82" s="15"/>
      <c r="Y82" s="125">
        <f t="shared" ref="Y82:Y84" si="69">+M82</f>
        <v>1.1200000000000001</v>
      </c>
      <c r="Z82" s="126"/>
      <c r="AA82" s="127"/>
      <c r="AB82" s="128">
        <f t="shared" ref="AB82:AB84" si="70">+IFERROR(((Y82-Z82)/Z82),0%)</f>
        <v>0</v>
      </c>
    </row>
    <row r="83" spans="1:33" x14ac:dyDescent="0.35">
      <c r="A83" s="49" t="s">
        <v>691</v>
      </c>
      <c r="B83" s="146" t="s">
        <v>692</v>
      </c>
      <c r="C83" s="28" t="s">
        <v>699</v>
      </c>
      <c r="D83" s="28"/>
      <c r="E83" s="49"/>
      <c r="F83" s="121" t="s">
        <v>694</v>
      </c>
      <c r="G83" s="49"/>
      <c r="H83" s="49"/>
      <c r="I83" s="49"/>
      <c r="J83" s="49"/>
      <c r="K83" s="49"/>
      <c r="L83" s="49"/>
      <c r="M83" s="131">
        <v>5.8</v>
      </c>
      <c r="N83" s="142">
        <f t="shared" si="65"/>
        <v>5.8</v>
      </c>
      <c r="O83" s="143">
        <f t="shared" si="6"/>
        <v>0</v>
      </c>
      <c r="P83" s="139">
        <f t="shared" si="66"/>
        <v>5.8</v>
      </c>
      <c r="Q83" s="317"/>
      <c r="R83" s="143">
        <f t="shared" si="8"/>
        <v>0</v>
      </c>
      <c r="S83" s="139">
        <f t="shared" si="67"/>
        <v>5.8</v>
      </c>
      <c r="T83" s="317"/>
      <c r="U83" s="143">
        <f t="shared" si="10"/>
        <v>0</v>
      </c>
      <c r="V83" s="139">
        <f t="shared" si="68"/>
        <v>5.8</v>
      </c>
      <c r="W83" s="49"/>
      <c r="X83" s="15"/>
      <c r="Y83" s="125">
        <f t="shared" si="69"/>
        <v>5.8</v>
      </c>
      <c r="Z83" s="126"/>
      <c r="AA83" s="127"/>
      <c r="AB83" s="128">
        <f t="shared" si="70"/>
        <v>0</v>
      </c>
    </row>
    <row r="84" spans="1:33" x14ac:dyDescent="0.35">
      <c r="A84" s="49" t="s">
        <v>691</v>
      </c>
      <c r="B84" s="146" t="s">
        <v>692</v>
      </c>
      <c r="C84" s="28" t="s">
        <v>700</v>
      </c>
      <c r="D84" s="28"/>
      <c r="E84" s="49"/>
      <c r="F84" s="121" t="s">
        <v>697</v>
      </c>
      <c r="G84" s="49"/>
      <c r="H84" s="49"/>
      <c r="I84" s="49"/>
      <c r="J84" s="49"/>
      <c r="K84" s="49"/>
      <c r="L84" s="49"/>
      <c r="M84" s="131">
        <v>70</v>
      </c>
      <c r="N84" s="142">
        <f t="shared" si="65"/>
        <v>70</v>
      </c>
      <c r="O84" s="143">
        <f t="shared" si="6"/>
        <v>0</v>
      </c>
      <c r="P84" s="139">
        <f t="shared" si="66"/>
        <v>70</v>
      </c>
      <c r="Q84" s="317"/>
      <c r="R84" s="143">
        <f t="shared" si="8"/>
        <v>0</v>
      </c>
      <c r="S84" s="139">
        <f t="shared" si="67"/>
        <v>70</v>
      </c>
      <c r="T84" s="317"/>
      <c r="U84" s="143">
        <f t="shared" si="10"/>
        <v>0</v>
      </c>
      <c r="V84" s="139">
        <f t="shared" si="68"/>
        <v>70</v>
      </c>
      <c r="W84" s="49"/>
      <c r="X84" s="15"/>
      <c r="Y84" s="125">
        <f t="shared" si="69"/>
        <v>70</v>
      </c>
      <c r="Z84" s="126"/>
      <c r="AA84" s="127"/>
      <c r="AB84" s="128">
        <f t="shared" si="70"/>
        <v>0</v>
      </c>
    </row>
    <row r="85" spans="1:33" x14ac:dyDescent="0.35">
      <c r="A85" s="49" t="s">
        <v>701</v>
      </c>
      <c r="B85" s="121" t="s">
        <v>692</v>
      </c>
      <c r="C85" s="28" t="s">
        <v>702</v>
      </c>
      <c r="D85" s="28"/>
      <c r="E85" s="49"/>
      <c r="F85" s="121" t="s">
        <v>697</v>
      </c>
      <c r="G85" s="49"/>
      <c r="H85" s="49"/>
      <c r="I85" s="49"/>
      <c r="J85" s="49"/>
      <c r="K85" s="49"/>
      <c r="L85" s="49"/>
      <c r="M85" s="131">
        <v>22</v>
      </c>
      <c r="N85" s="142">
        <f t="shared" si="57"/>
        <v>22</v>
      </c>
      <c r="O85" s="143">
        <f t="shared" si="6"/>
        <v>0</v>
      </c>
      <c r="P85" s="139">
        <f t="shared" si="7"/>
        <v>22</v>
      </c>
      <c r="Q85" s="317"/>
      <c r="R85" s="143">
        <f t="shared" si="8"/>
        <v>0</v>
      </c>
      <c r="S85" s="139">
        <f t="shared" si="9"/>
        <v>22</v>
      </c>
      <c r="T85" s="317"/>
      <c r="U85" s="143">
        <f t="shared" si="10"/>
        <v>0</v>
      </c>
      <c r="V85" s="139">
        <f t="shared" si="11"/>
        <v>22</v>
      </c>
      <c r="W85" s="49"/>
      <c r="X85" s="15"/>
      <c r="Y85" s="125">
        <f t="shared" si="58"/>
        <v>22</v>
      </c>
      <c r="Z85" s="126"/>
      <c r="AA85" s="127"/>
      <c r="AB85" s="128">
        <f t="shared" si="12"/>
        <v>0</v>
      </c>
      <c r="AD85" s="3"/>
      <c r="AE85" s="3"/>
      <c r="AF85" s="3"/>
      <c r="AG85" s="3"/>
    </row>
    <row r="86" spans="1:33" x14ac:dyDescent="0.35">
      <c r="A86" s="49" t="s">
        <v>621</v>
      </c>
      <c r="B86" s="121" t="s">
        <v>159</v>
      </c>
      <c r="C86" s="28" t="s">
        <v>216</v>
      </c>
      <c r="D86" s="28"/>
      <c r="E86" s="49"/>
      <c r="F86" s="121" t="s">
        <v>703</v>
      </c>
      <c r="G86" s="49"/>
      <c r="H86" s="49"/>
      <c r="I86" s="49"/>
      <c r="J86" s="49"/>
      <c r="K86" s="49"/>
      <c r="L86" s="49"/>
      <c r="M86" s="131">
        <v>24</v>
      </c>
      <c r="N86" s="142">
        <f t="shared" si="57"/>
        <v>24</v>
      </c>
      <c r="O86" s="143">
        <f t="shared" si="6"/>
        <v>0</v>
      </c>
      <c r="P86" s="139">
        <f t="shared" si="7"/>
        <v>24</v>
      </c>
      <c r="Q86" s="317"/>
      <c r="R86" s="143">
        <f t="shared" si="8"/>
        <v>0</v>
      </c>
      <c r="S86" s="139">
        <f t="shared" si="9"/>
        <v>24</v>
      </c>
      <c r="T86" s="317"/>
      <c r="U86" s="143">
        <f t="shared" si="10"/>
        <v>0</v>
      </c>
      <c r="V86" s="139">
        <f t="shared" si="11"/>
        <v>24</v>
      </c>
      <c r="W86" s="49"/>
      <c r="X86" s="15"/>
      <c r="Y86" s="125">
        <f t="shared" si="58"/>
        <v>24</v>
      </c>
      <c r="Z86" s="126"/>
      <c r="AA86" s="127"/>
      <c r="AB86" s="128">
        <f t="shared" si="12"/>
        <v>0</v>
      </c>
      <c r="AD86" s="3"/>
      <c r="AE86" s="3"/>
      <c r="AF86" s="3"/>
      <c r="AG86" s="3"/>
    </row>
    <row r="87" spans="1:33" x14ac:dyDescent="0.35">
      <c r="A87" s="49" t="s">
        <v>638</v>
      </c>
      <c r="B87" s="121" t="s">
        <v>160</v>
      </c>
      <c r="C87" s="28" t="s">
        <v>220</v>
      </c>
      <c r="D87" s="28"/>
      <c r="E87" s="49"/>
      <c r="F87" s="121" t="s">
        <v>639</v>
      </c>
      <c r="G87" s="49"/>
      <c r="H87" s="49"/>
      <c r="I87" s="49"/>
      <c r="J87" s="49"/>
      <c r="K87" s="49"/>
      <c r="L87" s="49"/>
      <c r="M87" s="131">
        <v>5.68</v>
      </c>
      <c r="N87" s="142">
        <f>M87</f>
        <v>5.68</v>
      </c>
      <c r="O87" s="143">
        <f t="shared" si="6"/>
        <v>0</v>
      </c>
      <c r="P87" s="139">
        <f t="shared" si="7"/>
        <v>5.68</v>
      </c>
      <c r="Q87" s="317"/>
      <c r="R87" s="143">
        <f t="shared" si="8"/>
        <v>0</v>
      </c>
      <c r="S87" s="139">
        <f t="shared" si="9"/>
        <v>5.68</v>
      </c>
      <c r="T87" s="317"/>
      <c r="U87" s="143">
        <f t="shared" si="10"/>
        <v>0</v>
      </c>
      <c r="V87" s="139">
        <f t="shared" si="11"/>
        <v>5.68</v>
      </c>
      <c r="W87" s="49"/>
      <c r="X87" s="15"/>
      <c r="Y87" s="125">
        <f>+M87</f>
        <v>5.68</v>
      </c>
      <c r="Z87" s="126"/>
      <c r="AA87" s="127"/>
      <c r="AB87" s="128">
        <f>+IFERROR(((Y87-Z87)/Z87),0%)</f>
        <v>0</v>
      </c>
    </row>
    <row r="88" spans="1:33" x14ac:dyDescent="0.35">
      <c r="A88" s="49" t="s">
        <v>638</v>
      </c>
      <c r="B88" s="121" t="s">
        <v>156</v>
      </c>
      <c r="C88" s="28" t="s">
        <v>190</v>
      </c>
      <c r="D88" s="28"/>
      <c r="E88" s="49"/>
      <c r="F88" s="121" t="s">
        <v>639</v>
      </c>
      <c r="G88" s="49"/>
      <c r="H88" s="49"/>
      <c r="I88" s="49"/>
      <c r="J88" s="49"/>
      <c r="K88" s="49"/>
      <c r="L88" s="49"/>
      <c r="M88" s="131">
        <v>31.64</v>
      </c>
      <c r="N88" s="142">
        <v>32.81</v>
      </c>
      <c r="O88" s="143">
        <f t="shared" si="6"/>
        <v>0</v>
      </c>
      <c r="P88" s="139">
        <f t="shared" si="7"/>
        <v>32.81</v>
      </c>
      <c r="Q88" s="317"/>
      <c r="R88" s="143">
        <f t="shared" ref="R88:R119" si="71">+$AI$11</f>
        <v>0</v>
      </c>
      <c r="S88" s="139">
        <f t="shared" ref="S88:S193" si="72">IF(N88="Cost Required - Purchasing",N88,N88/(1-R88))</f>
        <v>32.81</v>
      </c>
      <c r="T88" s="317"/>
      <c r="U88" s="143">
        <f t="shared" ref="U88:U119" si="73">+$AL$11</f>
        <v>0</v>
      </c>
      <c r="V88" s="139">
        <f t="shared" ref="V88:V193" si="74">IF(N88="Cost Required - Purchasing",N88,N88/(1-U88))</f>
        <v>32.81</v>
      </c>
      <c r="W88" s="49"/>
      <c r="X88" s="15"/>
      <c r="Y88" s="125">
        <f t="shared" si="58"/>
        <v>31.64</v>
      </c>
      <c r="Z88" s="126"/>
      <c r="AA88" s="127"/>
      <c r="AB88" s="128">
        <f t="shared" si="12"/>
        <v>0</v>
      </c>
      <c r="AD88" s="3"/>
      <c r="AE88" s="3"/>
      <c r="AF88" s="3"/>
      <c r="AG88" s="3"/>
    </row>
    <row r="89" spans="1:33" x14ac:dyDescent="0.35">
      <c r="A89" s="49" t="s">
        <v>638</v>
      </c>
      <c r="B89" s="121" t="s">
        <v>156</v>
      </c>
      <c r="C89" s="28" t="s">
        <v>704</v>
      </c>
      <c r="D89" s="28"/>
      <c r="E89" s="49"/>
      <c r="F89" s="121" t="s">
        <v>639</v>
      </c>
      <c r="G89" s="49"/>
      <c r="H89" s="49"/>
      <c r="I89" s="49"/>
      <c r="J89" s="49"/>
      <c r="K89" s="49"/>
      <c r="L89" s="49"/>
      <c r="M89" s="131">
        <v>32.82</v>
      </c>
      <c r="N89" s="142">
        <v>32.82</v>
      </c>
      <c r="O89" s="143">
        <f t="shared" ref="O89:O120" si="75">+$AF$11</f>
        <v>0</v>
      </c>
      <c r="P89" s="139">
        <f t="shared" ref="P89:P195" si="76">IF(N89="Cost Required - Purchasing",N89,N89/(1-O89))</f>
        <v>32.82</v>
      </c>
      <c r="Q89" s="317"/>
      <c r="R89" s="143">
        <f t="shared" si="71"/>
        <v>0</v>
      </c>
      <c r="S89" s="139">
        <f t="shared" si="72"/>
        <v>32.82</v>
      </c>
      <c r="T89" s="317"/>
      <c r="U89" s="143">
        <f t="shared" si="73"/>
        <v>0</v>
      </c>
      <c r="V89" s="139">
        <f t="shared" si="74"/>
        <v>32.82</v>
      </c>
      <c r="W89" s="49"/>
      <c r="X89" s="15"/>
      <c r="Y89" s="125">
        <f t="shared" si="58"/>
        <v>32.82</v>
      </c>
      <c r="Z89" s="126"/>
      <c r="AA89" s="127"/>
      <c r="AB89" s="128">
        <f t="shared" si="12"/>
        <v>0</v>
      </c>
    </row>
    <row r="90" spans="1:33" x14ac:dyDescent="0.35">
      <c r="A90" s="49" t="s">
        <v>638</v>
      </c>
      <c r="B90" s="121" t="s">
        <v>156</v>
      </c>
      <c r="C90" s="28" t="s">
        <v>705</v>
      </c>
      <c r="D90" s="28"/>
      <c r="E90" s="49"/>
      <c r="F90" s="121" t="s">
        <v>639</v>
      </c>
      <c r="G90" s="49"/>
      <c r="H90" s="49"/>
      <c r="I90" s="49"/>
      <c r="J90" s="49"/>
      <c r="K90" s="49"/>
      <c r="L90" s="49"/>
      <c r="M90" s="131">
        <v>34.39</v>
      </c>
      <c r="N90" s="142">
        <v>34.39</v>
      </c>
      <c r="O90" s="143">
        <f t="shared" si="75"/>
        <v>0</v>
      </c>
      <c r="P90" s="139">
        <f t="shared" si="76"/>
        <v>34.39</v>
      </c>
      <c r="Q90" s="317"/>
      <c r="R90" s="143">
        <f t="shared" si="71"/>
        <v>0</v>
      </c>
      <c r="S90" s="139">
        <f t="shared" si="72"/>
        <v>34.39</v>
      </c>
      <c r="T90" s="317"/>
      <c r="U90" s="143">
        <f t="shared" si="73"/>
        <v>0</v>
      </c>
      <c r="V90" s="139">
        <f t="shared" si="74"/>
        <v>34.39</v>
      </c>
      <c r="W90" s="49"/>
      <c r="X90" s="15"/>
      <c r="Y90" s="125">
        <f t="shared" si="58"/>
        <v>34.39</v>
      </c>
      <c r="Z90" s="126"/>
      <c r="AA90" s="127"/>
      <c r="AB90" s="128">
        <f t="shared" si="12"/>
        <v>0</v>
      </c>
    </row>
    <row r="91" spans="1:33" x14ac:dyDescent="0.35">
      <c r="A91" s="49" t="s">
        <v>638</v>
      </c>
      <c r="B91" s="121" t="s">
        <v>156</v>
      </c>
      <c r="C91" s="28" t="s">
        <v>706</v>
      </c>
      <c r="D91" s="28"/>
      <c r="E91" s="49"/>
      <c r="F91" s="121" t="s">
        <v>639</v>
      </c>
      <c r="G91" s="49"/>
      <c r="H91" s="49"/>
      <c r="I91" s="49"/>
      <c r="J91" s="49"/>
      <c r="K91" s="49"/>
      <c r="L91" s="49"/>
      <c r="M91" s="131">
        <v>21.35</v>
      </c>
      <c r="N91" s="142">
        <f t="shared" si="57"/>
        <v>21.35</v>
      </c>
      <c r="O91" s="143">
        <f t="shared" si="75"/>
        <v>0</v>
      </c>
      <c r="P91" s="139">
        <f t="shared" si="76"/>
        <v>21.35</v>
      </c>
      <c r="Q91" s="317"/>
      <c r="R91" s="143">
        <f t="shared" si="71"/>
        <v>0</v>
      </c>
      <c r="S91" s="139">
        <f t="shared" si="72"/>
        <v>21.35</v>
      </c>
      <c r="T91" s="317"/>
      <c r="U91" s="143">
        <f t="shared" si="73"/>
        <v>0</v>
      </c>
      <c r="V91" s="139">
        <f t="shared" si="74"/>
        <v>21.35</v>
      </c>
      <c r="W91" s="49"/>
      <c r="X91" s="15"/>
      <c r="Y91" s="125">
        <f t="shared" si="58"/>
        <v>21.35</v>
      </c>
      <c r="Z91" s="126"/>
      <c r="AA91" s="127"/>
      <c r="AB91" s="128">
        <f t="shared" si="12"/>
        <v>0</v>
      </c>
    </row>
    <row r="92" spans="1:33" x14ac:dyDescent="0.35">
      <c r="A92" s="49" t="s">
        <v>638</v>
      </c>
      <c r="B92" s="121" t="s">
        <v>156</v>
      </c>
      <c r="C92" s="28" t="s">
        <v>707</v>
      </c>
      <c r="D92" s="28"/>
      <c r="E92" s="49"/>
      <c r="F92" s="121" t="s">
        <v>639</v>
      </c>
      <c r="G92" s="49"/>
      <c r="H92" s="49"/>
      <c r="I92" s="49"/>
      <c r="J92" s="49"/>
      <c r="K92" s="49"/>
      <c r="L92" s="49"/>
      <c r="M92" s="131">
        <v>21.52</v>
      </c>
      <c r="N92" s="142">
        <f t="shared" si="57"/>
        <v>21.52</v>
      </c>
      <c r="O92" s="143">
        <f t="shared" si="75"/>
        <v>0</v>
      </c>
      <c r="P92" s="139">
        <f t="shared" si="76"/>
        <v>21.52</v>
      </c>
      <c r="Q92" s="317"/>
      <c r="R92" s="143">
        <f t="shared" si="71"/>
        <v>0</v>
      </c>
      <c r="S92" s="139">
        <f t="shared" si="72"/>
        <v>21.52</v>
      </c>
      <c r="T92" s="317"/>
      <c r="U92" s="143">
        <f t="shared" si="73"/>
        <v>0</v>
      </c>
      <c r="V92" s="139">
        <f t="shared" si="74"/>
        <v>21.52</v>
      </c>
      <c r="W92" s="49"/>
      <c r="X92" s="15"/>
      <c r="Y92" s="125">
        <f t="shared" si="58"/>
        <v>21.52</v>
      </c>
      <c r="Z92" s="126"/>
      <c r="AA92" s="127"/>
      <c r="AB92" s="128">
        <f t="shared" si="12"/>
        <v>0</v>
      </c>
    </row>
    <row r="93" spans="1:33" x14ac:dyDescent="0.35">
      <c r="A93" s="49" t="s">
        <v>638</v>
      </c>
      <c r="B93" s="121" t="s">
        <v>161</v>
      </c>
      <c r="C93" s="28" t="s">
        <v>162</v>
      </c>
      <c r="D93" s="28"/>
      <c r="E93" s="49"/>
      <c r="F93" s="121" t="s">
        <v>639</v>
      </c>
      <c r="G93" s="49"/>
      <c r="H93" s="49"/>
      <c r="I93" s="49"/>
      <c r="J93" s="49"/>
      <c r="K93" s="49"/>
      <c r="L93" s="49"/>
      <c r="M93" s="131">
        <v>42.77</v>
      </c>
      <c r="N93" s="142">
        <f t="shared" si="57"/>
        <v>42.77</v>
      </c>
      <c r="O93" s="143">
        <f t="shared" si="75"/>
        <v>0</v>
      </c>
      <c r="P93" s="139">
        <f t="shared" si="76"/>
        <v>42.77</v>
      </c>
      <c r="Q93" s="317"/>
      <c r="R93" s="143">
        <f t="shared" si="71"/>
        <v>0</v>
      </c>
      <c r="S93" s="139">
        <f t="shared" si="72"/>
        <v>42.77</v>
      </c>
      <c r="T93" s="317"/>
      <c r="U93" s="143">
        <f t="shared" si="73"/>
        <v>0</v>
      </c>
      <c r="V93" s="139">
        <f t="shared" si="74"/>
        <v>42.77</v>
      </c>
      <c r="W93" s="49"/>
      <c r="X93" s="15"/>
      <c r="Y93" s="125">
        <f t="shared" si="58"/>
        <v>42.77</v>
      </c>
      <c r="Z93" s="126"/>
      <c r="AA93" s="127"/>
      <c r="AB93" s="128">
        <f t="shared" si="12"/>
        <v>0</v>
      </c>
    </row>
    <row r="94" spans="1:33" x14ac:dyDescent="0.35">
      <c r="A94" s="49" t="s">
        <v>638</v>
      </c>
      <c r="B94" s="121" t="s">
        <v>161</v>
      </c>
      <c r="C94" s="28" t="s">
        <v>708</v>
      </c>
      <c r="D94" s="28"/>
      <c r="E94" s="49"/>
      <c r="F94" s="121" t="s">
        <v>639</v>
      </c>
      <c r="G94" s="49"/>
      <c r="H94" s="49"/>
      <c r="I94" s="49"/>
      <c r="J94" s="49"/>
      <c r="K94" s="49"/>
      <c r="L94" s="49"/>
      <c r="M94" s="131">
        <v>57.42</v>
      </c>
      <c r="N94" s="142">
        <f t="shared" ref="N94" si="77">M94</f>
        <v>57.42</v>
      </c>
      <c r="O94" s="143">
        <f t="shared" si="75"/>
        <v>0</v>
      </c>
      <c r="P94" s="139">
        <f t="shared" ref="P94" si="78">IF(N94="Cost Required - Purchasing",N94,N94/(1-O94))</f>
        <v>57.42</v>
      </c>
      <c r="Q94" s="317"/>
      <c r="R94" s="143">
        <f t="shared" si="71"/>
        <v>0</v>
      </c>
      <c r="S94" s="139">
        <f t="shared" ref="S94" si="79">IF(N94="Cost Required - Purchasing",N94,N94/(1-R94))</f>
        <v>57.42</v>
      </c>
      <c r="T94" s="317"/>
      <c r="U94" s="143">
        <f t="shared" si="73"/>
        <v>0</v>
      </c>
      <c r="V94" s="139">
        <f t="shared" ref="V94" si="80">IF(N94="Cost Required - Purchasing",N94,N94/(1-U94))</f>
        <v>57.42</v>
      </c>
      <c r="W94" s="49"/>
      <c r="X94" s="15"/>
      <c r="Y94" s="125">
        <f t="shared" ref="Y94" si="81">+M94</f>
        <v>57.42</v>
      </c>
      <c r="Z94" s="126"/>
      <c r="AA94" s="127"/>
      <c r="AB94" s="128">
        <f t="shared" ref="AB94" si="82">+IFERROR(((Y94-Z94)/Z94),0%)</f>
        <v>0</v>
      </c>
    </row>
    <row r="95" spans="1:33" x14ac:dyDescent="0.35">
      <c r="A95" s="49" t="s">
        <v>638</v>
      </c>
      <c r="B95" s="121" t="s">
        <v>492</v>
      </c>
      <c r="C95" s="28" t="s">
        <v>709</v>
      </c>
      <c r="D95" s="28"/>
      <c r="E95" s="49"/>
      <c r="F95" s="121" t="s">
        <v>639</v>
      </c>
      <c r="G95" s="49"/>
      <c r="H95" s="49"/>
      <c r="I95" s="49"/>
      <c r="J95" s="49"/>
      <c r="K95" s="49"/>
      <c r="L95" s="49"/>
      <c r="M95" s="131">
        <v>35.26</v>
      </c>
      <c r="N95" s="142">
        <f t="shared" si="57"/>
        <v>35.26</v>
      </c>
      <c r="O95" s="143">
        <f t="shared" si="75"/>
        <v>0</v>
      </c>
      <c r="P95" s="139">
        <f t="shared" si="76"/>
        <v>35.26</v>
      </c>
      <c r="Q95" s="317"/>
      <c r="R95" s="143">
        <f t="shared" si="71"/>
        <v>0</v>
      </c>
      <c r="S95" s="139">
        <f t="shared" si="72"/>
        <v>35.26</v>
      </c>
      <c r="T95" s="317"/>
      <c r="U95" s="143">
        <f t="shared" si="73"/>
        <v>0</v>
      </c>
      <c r="V95" s="139">
        <f t="shared" si="74"/>
        <v>35.26</v>
      </c>
      <c r="W95" s="49"/>
      <c r="X95" s="15"/>
      <c r="Y95" s="125">
        <f t="shared" si="58"/>
        <v>35.26</v>
      </c>
      <c r="Z95" s="126"/>
      <c r="AA95" s="127"/>
      <c r="AB95" s="128">
        <f t="shared" si="12"/>
        <v>0</v>
      </c>
    </row>
    <row r="96" spans="1:33" x14ac:dyDescent="0.35">
      <c r="A96" s="49" t="s">
        <v>638</v>
      </c>
      <c r="B96" s="121" t="s">
        <v>492</v>
      </c>
      <c r="C96" s="28" t="s">
        <v>189</v>
      </c>
      <c r="D96" s="28"/>
      <c r="E96" s="49"/>
      <c r="F96" s="121" t="s">
        <v>639</v>
      </c>
      <c r="G96" s="49"/>
      <c r="H96" s="49"/>
      <c r="I96" s="49"/>
      <c r="J96" s="49"/>
      <c r="K96" s="49"/>
      <c r="L96" s="49"/>
      <c r="M96" s="131">
        <v>24</v>
      </c>
      <c r="N96" s="142">
        <f t="shared" si="57"/>
        <v>24</v>
      </c>
      <c r="O96" s="143">
        <f t="shared" si="75"/>
        <v>0</v>
      </c>
      <c r="P96" s="139">
        <f t="shared" si="76"/>
        <v>24</v>
      </c>
      <c r="Q96" s="317"/>
      <c r="R96" s="143">
        <f t="shared" si="71"/>
        <v>0</v>
      </c>
      <c r="S96" s="139">
        <f t="shared" si="72"/>
        <v>24</v>
      </c>
      <c r="T96" s="317"/>
      <c r="U96" s="143">
        <f t="shared" si="73"/>
        <v>0</v>
      </c>
      <c r="V96" s="139">
        <f t="shared" si="74"/>
        <v>24</v>
      </c>
      <c r="W96" s="49"/>
      <c r="X96" s="15"/>
      <c r="Y96" s="125">
        <f t="shared" si="58"/>
        <v>24</v>
      </c>
      <c r="Z96" s="126"/>
      <c r="AA96" s="127"/>
      <c r="AB96" s="128">
        <f t="shared" si="12"/>
        <v>0</v>
      </c>
    </row>
    <row r="97" spans="1:28" x14ac:dyDescent="0.35">
      <c r="A97" s="49" t="s">
        <v>638</v>
      </c>
      <c r="B97" s="121" t="s">
        <v>492</v>
      </c>
      <c r="C97" s="28" t="s">
        <v>710</v>
      </c>
      <c r="D97" s="28"/>
      <c r="E97" s="49"/>
      <c r="F97" s="121" t="s">
        <v>639</v>
      </c>
      <c r="G97" s="49"/>
      <c r="H97" s="49"/>
      <c r="I97" s="49"/>
      <c r="J97" s="49"/>
      <c r="K97" s="49"/>
      <c r="L97" s="49"/>
      <c r="M97" s="123">
        <v>221.02</v>
      </c>
      <c r="N97" s="142">
        <f t="shared" si="57"/>
        <v>221.02</v>
      </c>
      <c r="O97" s="143">
        <f t="shared" si="75"/>
        <v>0</v>
      </c>
      <c r="P97" s="139">
        <f t="shared" si="76"/>
        <v>221.02</v>
      </c>
      <c r="Q97" s="317"/>
      <c r="R97" s="143">
        <f t="shared" si="71"/>
        <v>0</v>
      </c>
      <c r="S97" s="139">
        <f t="shared" si="72"/>
        <v>221.02</v>
      </c>
      <c r="T97" s="317"/>
      <c r="U97" s="143">
        <f t="shared" si="73"/>
        <v>0</v>
      </c>
      <c r="V97" s="139">
        <f t="shared" si="74"/>
        <v>221.02</v>
      </c>
      <c r="W97" s="49"/>
      <c r="X97" s="15"/>
      <c r="Y97" s="125"/>
      <c r="Z97" s="126"/>
      <c r="AA97" s="127"/>
      <c r="AB97" s="128"/>
    </row>
    <row r="98" spans="1:28" x14ac:dyDescent="0.35">
      <c r="A98" s="49" t="s">
        <v>638</v>
      </c>
      <c r="B98" s="121" t="s">
        <v>154</v>
      </c>
      <c r="C98" s="28" t="s">
        <v>711</v>
      </c>
      <c r="D98" s="28"/>
      <c r="E98" s="49"/>
      <c r="F98" s="121" t="s">
        <v>639</v>
      </c>
      <c r="G98" s="49"/>
      <c r="H98" s="49"/>
      <c r="I98" s="49"/>
      <c r="J98" s="49"/>
      <c r="K98" s="49"/>
      <c r="L98" s="49"/>
      <c r="M98" s="131">
        <v>6.46</v>
      </c>
      <c r="N98" s="142">
        <f t="shared" si="57"/>
        <v>6.46</v>
      </c>
      <c r="O98" s="143">
        <f t="shared" si="75"/>
        <v>0</v>
      </c>
      <c r="P98" s="139">
        <f t="shared" si="76"/>
        <v>6.46</v>
      </c>
      <c r="Q98" s="317"/>
      <c r="R98" s="143">
        <f t="shared" si="71"/>
        <v>0</v>
      </c>
      <c r="S98" s="139">
        <f t="shared" si="72"/>
        <v>6.46</v>
      </c>
      <c r="T98" s="317"/>
      <c r="U98" s="143">
        <f t="shared" si="73"/>
        <v>0</v>
      </c>
      <c r="V98" s="139">
        <f t="shared" si="74"/>
        <v>6.46</v>
      </c>
      <c r="W98" s="49"/>
      <c r="X98" s="15"/>
      <c r="Y98" s="125">
        <f t="shared" si="58"/>
        <v>6.46</v>
      </c>
      <c r="Z98" s="126"/>
      <c r="AA98" s="127"/>
      <c r="AB98" s="128">
        <f t="shared" si="12"/>
        <v>0</v>
      </c>
    </row>
    <row r="99" spans="1:28" x14ac:dyDescent="0.35">
      <c r="A99" s="49" t="s">
        <v>638</v>
      </c>
      <c r="B99" s="121" t="s">
        <v>154</v>
      </c>
      <c r="C99" s="28" t="s">
        <v>712</v>
      </c>
      <c r="D99" s="28"/>
      <c r="E99" s="49"/>
      <c r="F99" s="121" t="s">
        <v>639</v>
      </c>
      <c r="G99" s="49"/>
      <c r="H99" s="49"/>
      <c r="I99" s="49"/>
      <c r="J99" s="49"/>
      <c r="K99" s="49"/>
      <c r="L99" s="49"/>
      <c r="M99" s="131">
        <v>7.8</v>
      </c>
      <c r="N99" s="142">
        <f t="shared" si="57"/>
        <v>7.8</v>
      </c>
      <c r="O99" s="143">
        <f t="shared" si="75"/>
        <v>0</v>
      </c>
      <c r="P99" s="139">
        <f t="shared" si="76"/>
        <v>7.8</v>
      </c>
      <c r="Q99" s="317"/>
      <c r="R99" s="143">
        <f t="shared" si="71"/>
        <v>0</v>
      </c>
      <c r="S99" s="139">
        <f t="shared" si="72"/>
        <v>7.8</v>
      </c>
      <c r="T99" s="317"/>
      <c r="U99" s="143">
        <f t="shared" si="73"/>
        <v>0</v>
      </c>
      <c r="V99" s="139">
        <f t="shared" si="74"/>
        <v>7.8</v>
      </c>
      <c r="W99" s="49"/>
      <c r="X99" s="15"/>
      <c r="Y99" s="125">
        <f t="shared" si="58"/>
        <v>7.8</v>
      </c>
      <c r="Z99" s="126"/>
      <c r="AA99" s="127"/>
      <c r="AB99" s="128">
        <f t="shared" si="12"/>
        <v>0</v>
      </c>
    </row>
    <row r="100" spans="1:28" x14ac:dyDescent="0.35">
      <c r="A100" s="49" t="s">
        <v>713</v>
      </c>
      <c r="B100" s="121" t="s">
        <v>714</v>
      </c>
      <c r="C100" s="28" t="s">
        <v>715</v>
      </c>
      <c r="D100" s="28"/>
      <c r="E100" s="49"/>
      <c r="F100" s="121" t="s">
        <v>639</v>
      </c>
      <c r="G100" s="49"/>
      <c r="H100" s="49"/>
      <c r="I100" s="49"/>
      <c r="J100" s="49"/>
      <c r="K100" s="49"/>
      <c r="L100" s="49"/>
      <c r="M100" s="131">
        <v>12</v>
      </c>
      <c r="N100" s="142">
        <f t="shared" si="57"/>
        <v>12</v>
      </c>
      <c r="O100" s="143">
        <f t="shared" si="75"/>
        <v>0</v>
      </c>
      <c r="P100" s="139">
        <f t="shared" si="76"/>
        <v>12</v>
      </c>
      <c r="Q100" s="317"/>
      <c r="R100" s="143">
        <f t="shared" si="71"/>
        <v>0</v>
      </c>
      <c r="S100" s="139">
        <f t="shared" si="72"/>
        <v>12</v>
      </c>
      <c r="T100" s="317"/>
      <c r="U100" s="143">
        <f t="shared" si="73"/>
        <v>0</v>
      </c>
      <c r="V100" s="139">
        <f t="shared" si="74"/>
        <v>12</v>
      </c>
      <c r="W100" s="49"/>
      <c r="X100" s="15"/>
      <c r="Y100" s="125">
        <f t="shared" si="58"/>
        <v>12</v>
      </c>
      <c r="Z100" s="126"/>
      <c r="AA100" s="127"/>
      <c r="AB100" s="128">
        <f t="shared" si="12"/>
        <v>0</v>
      </c>
    </row>
    <row r="101" spans="1:28" x14ac:dyDescent="0.35">
      <c r="A101" s="49" t="s">
        <v>716</v>
      </c>
      <c r="B101" s="121" t="s">
        <v>493</v>
      </c>
      <c r="C101" s="28" t="s">
        <v>164</v>
      </c>
      <c r="D101" s="28"/>
      <c r="E101" s="49"/>
      <c r="F101" s="121" t="s">
        <v>639</v>
      </c>
      <c r="G101" s="49"/>
      <c r="H101" s="49"/>
      <c r="I101" s="49"/>
      <c r="J101" s="49"/>
      <c r="K101" s="49"/>
      <c r="L101" s="49"/>
      <c r="M101" s="131">
        <v>8.9</v>
      </c>
      <c r="N101" s="142">
        <f t="shared" si="57"/>
        <v>8.9</v>
      </c>
      <c r="O101" s="143">
        <f t="shared" si="75"/>
        <v>0</v>
      </c>
      <c r="P101" s="139">
        <f t="shared" si="76"/>
        <v>8.9</v>
      </c>
      <c r="Q101" s="317"/>
      <c r="R101" s="143">
        <f t="shared" si="71"/>
        <v>0</v>
      </c>
      <c r="S101" s="139">
        <f t="shared" si="72"/>
        <v>8.9</v>
      </c>
      <c r="T101" s="317"/>
      <c r="U101" s="143">
        <f t="shared" si="73"/>
        <v>0</v>
      </c>
      <c r="V101" s="139">
        <f t="shared" si="74"/>
        <v>8.9</v>
      </c>
      <c r="W101" s="49"/>
      <c r="X101" s="15"/>
      <c r="Y101" s="125">
        <f t="shared" si="58"/>
        <v>8.9</v>
      </c>
      <c r="Z101" s="126"/>
      <c r="AA101" s="127"/>
      <c r="AB101" s="128">
        <f t="shared" si="12"/>
        <v>0</v>
      </c>
    </row>
    <row r="102" spans="1:28" x14ac:dyDescent="0.35">
      <c r="A102" s="49" t="s">
        <v>717</v>
      </c>
      <c r="B102" s="121" t="s">
        <v>494</v>
      </c>
      <c r="C102" s="28" t="s">
        <v>718</v>
      </c>
      <c r="D102" s="28"/>
      <c r="E102" s="49"/>
      <c r="F102" s="121" t="s">
        <v>719</v>
      </c>
      <c r="G102" s="49"/>
      <c r="H102" s="49"/>
      <c r="I102" s="49"/>
      <c r="J102" s="49"/>
      <c r="K102" s="49"/>
      <c r="L102" s="49"/>
      <c r="M102" s="131">
        <v>0.16</v>
      </c>
      <c r="N102" s="142">
        <f t="shared" si="57"/>
        <v>0.16</v>
      </c>
      <c r="O102" s="143">
        <f t="shared" si="75"/>
        <v>0</v>
      </c>
      <c r="P102" s="139">
        <f t="shared" si="76"/>
        <v>0.16</v>
      </c>
      <c r="Q102" s="317"/>
      <c r="R102" s="143">
        <f t="shared" si="71"/>
        <v>0</v>
      </c>
      <c r="S102" s="139">
        <f t="shared" si="72"/>
        <v>0.16</v>
      </c>
      <c r="T102" s="317"/>
      <c r="U102" s="143">
        <f t="shared" si="73"/>
        <v>0</v>
      </c>
      <c r="V102" s="139">
        <f t="shared" si="74"/>
        <v>0.16</v>
      </c>
      <c r="W102" s="49"/>
      <c r="X102" s="15"/>
      <c r="Y102" s="125">
        <f t="shared" si="58"/>
        <v>0.16</v>
      </c>
      <c r="Z102" s="126"/>
      <c r="AA102" s="127"/>
      <c r="AB102" s="128">
        <f t="shared" si="12"/>
        <v>0</v>
      </c>
    </row>
    <row r="103" spans="1:28" x14ac:dyDescent="0.35">
      <c r="A103" s="49" t="s">
        <v>717</v>
      </c>
      <c r="B103" s="121" t="s">
        <v>494</v>
      </c>
      <c r="C103" s="28" t="s">
        <v>720</v>
      </c>
      <c r="D103" s="28"/>
      <c r="E103" s="49"/>
      <c r="F103" s="121" t="s">
        <v>719</v>
      </c>
      <c r="G103" s="49"/>
      <c r="H103" s="49"/>
      <c r="I103" s="49"/>
      <c r="J103" s="49"/>
      <c r="K103" s="49"/>
      <c r="L103" s="49"/>
      <c r="M103" s="131">
        <v>0.2</v>
      </c>
      <c r="N103" s="142">
        <f t="shared" si="57"/>
        <v>0.2</v>
      </c>
      <c r="O103" s="143">
        <f t="shared" si="75"/>
        <v>0</v>
      </c>
      <c r="P103" s="139">
        <f t="shared" si="76"/>
        <v>0.2</v>
      </c>
      <c r="Q103" s="317"/>
      <c r="R103" s="143">
        <f t="shared" si="71"/>
        <v>0</v>
      </c>
      <c r="S103" s="139">
        <f t="shared" si="72"/>
        <v>0.2</v>
      </c>
      <c r="T103" s="317"/>
      <c r="U103" s="143">
        <f t="shared" si="73"/>
        <v>0</v>
      </c>
      <c r="V103" s="139">
        <f t="shared" si="74"/>
        <v>0.2</v>
      </c>
      <c r="W103" s="49"/>
      <c r="X103" s="15"/>
      <c r="Y103" s="125">
        <f t="shared" si="58"/>
        <v>0.2</v>
      </c>
      <c r="Z103" s="126"/>
      <c r="AA103" s="127"/>
      <c r="AB103" s="128">
        <f t="shared" si="12"/>
        <v>0</v>
      </c>
    </row>
    <row r="104" spans="1:28" x14ac:dyDescent="0.35">
      <c r="A104" s="49" t="s">
        <v>717</v>
      </c>
      <c r="B104" s="121" t="s">
        <v>494</v>
      </c>
      <c r="C104" s="28" t="s">
        <v>721</v>
      </c>
      <c r="D104" s="28"/>
      <c r="E104" s="49"/>
      <c r="F104" s="121" t="s">
        <v>719</v>
      </c>
      <c r="G104" s="49"/>
      <c r="H104" s="49"/>
      <c r="I104" s="49"/>
      <c r="J104" s="49"/>
      <c r="K104" s="49"/>
      <c r="L104" s="49"/>
      <c r="M104" s="131">
        <v>0.18</v>
      </c>
      <c r="N104" s="142">
        <f t="shared" ref="N104:N162" si="83">M104</f>
        <v>0.18</v>
      </c>
      <c r="O104" s="143">
        <f t="shared" si="75"/>
        <v>0</v>
      </c>
      <c r="P104" s="139">
        <f t="shared" si="76"/>
        <v>0.18</v>
      </c>
      <c r="Q104" s="317"/>
      <c r="R104" s="143">
        <f t="shared" si="71"/>
        <v>0</v>
      </c>
      <c r="S104" s="139">
        <f t="shared" si="72"/>
        <v>0.18</v>
      </c>
      <c r="T104" s="317"/>
      <c r="U104" s="143">
        <f t="shared" si="73"/>
        <v>0</v>
      </c>
      <c r="V104" s="139">
        <f t="shared" si="74"/>
        <v>0.18</v>
      </c>
      <c r="W104" s="49"/>
      <c r="X104" s="15"/>
      <c r="Y104" s="125">
        <f t="shared" ref="Y104:Y162" si="84">+M104</f>
        <v>0.18</v>
      </c>
      <c r="Z104" s="126"/>
      <c r="AA104" s="127"/>
      <c r="AB104" s="128">
        <f t="shared" si="12"/>
        <v>0</v>
      </c>
    </row>
    <row r="105" spans="1:28" x14ac:dyDescent="0.35">
      <c r="A105" s="49" t="s">
        <v>717</v>
      </c>
      <c r="B105" s="121" t="s">
        <v>494</v>
      </c>
      <c r="C105" s="28" t="s">
        <v>722</v>
      </c>
      <c r="D105" s="28"/>
      <c r="E105" s="49"/>
      <c r="F105" s="121" t="s">
        <v>719</v>
      </c>
      <c r="G105" s="49"/>
      <c r="H105" s="49"/>
      <c r="I105" s="49"/>
      <c r="J105" s="49"/>
      <c r="K105" s="49"/>
      <c r="L105" s="49"/>
      <c r="M105" s="131">
        <v>0.14000000000000001</v>
      </c>
      <c r="N105" s="142">
        <f t="shared" si="83"/>
        <v>0.14000000000000001</v>
      </c>
      <c r="O105" s="143">
        <f t="shared" si="75"/>
        <v>0</v>
      </c>
      <c r="P105" s="139">
        <f t="shared" si="76"/>
        <v>0.14000000000000001</v>
      </c>
      <c r="Q105" s="317"/>
      <c r="R105" s="143">
        <f t="shared" si="71"/>
        <v>0</v>
      </c>
      <c r="S105" s="139">
        <f t="shared" si="72"/>
        <v>0.14000000000000001</v>
      </c>
      <c r="T105" s="317"/>
      <c r="U105" s="143">
        <f t="shared" si="73"/>
        <v>0</v>
      </c>
      <c r="V105" s="139">
        <f t="shared" si="74"/>
        <v>0.14000000000000001</v>
      </c>
      <c r="W105" s="49"/>
      <c r="X105" s="15"/>
      <c r="Y105" s="125">
        <f t="shared" si="84"/>
        <v>0.14000000000000001</v>
      </c>
      <c r="Z105" s="126"/>
      <c r="AA105" s="127"/>
      <c r="AB105" s="128">
        <f t="shared" si="12"/>
        <v>0</v>
      </c>
    </row>
    <row r="106" spans="1:28" x14ac:dyDescent="0.35">
      <c r="A106" s="49" t="s">
        <v>717</v>
      </c>
      <c r="B106" s="121" t="s">
        <v>494</v>
      </c>
      <c r="C106" s="28" t="s">
        <v>723</v>
      </c>
      <c r="D106" s="28"/>
      <c r="E106" s="49"/>
      <c r="F106" s="121" t="s">
        <v>719</v>
      </c>
      <c r="G106" s="49"/>
      <c r="H106" s="49"/>
      <c r="I106" s="49"/>
      <c r="J106" s="49"/>
      <c r="K106" s="49"/>
      <c r="L106" s="49"/>
      <c r="M106" s="131">
        <v>0.15</v>
      </c>
      <c r="N106" s="142">
        <f t="shared" si="83"/>
        <v>0.15</v>
      </c>
      <c r="O106" s="143">
        <f t="shared" si="75"/>
        <v>0</v>
      </c>
      <c r="P106" s="139">
        <f t="shared" si="76"/>
        <v>0.15</v>
      </c>
      <c r="Q106" s="317"/>
      <c r="R106" s="143">
        <f t="shared" si="71"/>
        <v>0</v>
      </c>
      <c r="S106" s="139">
        <f t="shared" si="72"/>
        <v>0.15</v>
      </c>
      <c r="T106" s="317"/>
      <c r="U106" s="143">
        <f t="shared" si="73"/>
        <v>0</v>
      </c>
      <c r="V106" s="139">
        <f t="shared" si="74"/>
        <v>0.15</v>
      </c>
      <c r="W106" s="49"/>
      <c r="X106" s="15"/>
      <c r="Y106" s="125">
        <f t="shared" si="84"/>
        <v>0.15</v>
      </c>
      <c r="Z106" s="126"/>
      <c r="AA106" s="127"/>
      <c r="AB106" s="128">
        <f t="shared" si="12"/>
        <v>0</v>
      </c>
    </row>
    <row r="107" spans="1:28" x14ac:dyDescent="0.35">
      <c r="A107" s="49" t="s">
        <v>717</v>
      </c>
      <c r="B107" s="121" t="s">
        <v>494</v>
      </c>
      <c r="C107" s="28" t="s">
        <v>724</v>
      </c>
      <c r="D107" s="28"/>
      <c r="E107" s="49"/>
      <c r="F107" s="121" t="s">
        <v>719</v>
      </c>
      <c r="G107" s="49"/>
      <c r="H107" s="49"/>
      <c r="I107" s="49"/>
      <c r="J107" s="49"/>
      <c r="K107" s="49"/>
      <c r="L107" s="49"/>
      <c r="M107" s="131">
        <v>0.19</v>
      </c>
      <c r="N107" s="142">
        <f t="shared" si="83"/>
        <v>0.19</v>
      </c>
      <c r="O107" s="143">
        <f t="shared" si="75"/>
        <v>0</v>
      </c>
      <c r="P107" s="139">
        <f t="shared" si="76"/>
        <v>0.19</v>
      </c>
      <c r="Q107" s="317"/>
      <c r="R107" s="143">
        <f t="shared" si="71"/>
        <v>0</v>
      </c>
      <c r="S107" s="139">
        <f t="shared" si="72"/>
        <v>0.19</v>
      </c>
      <c r="T107" s="317"/>
      <c r="U107" s="143">
        <f t="shared" si="73"/>
        <v>0</v>
      </c>
      <c r="V107" s="139">
        <f t="shared" si="74"/>
        <v>0.19</v>
      </c>
      <c r="W107" s="49"/>
      <c r="X107" s="15"/>
      <c r="Y107" s="125">
        <f t="shared" si="84"/>
        <v>0.19</v>
      </c>
      <c r="Z107" s="126"/>
      <c r="AA107" s="127"/>
      <c r="AB107" s="128">
        <f t="shared" si="12"/>
        <v>0</v>
      </c>
    </row>
    <row r="108" spans="1:28" x14ac:dyDescent="0.35">
      <c r="A108" s="49" t="s">
        <v>717</v>
      </c>
      <c r="B108" s="121" t="s">
        <v>494</v>
      </c>
      <c r="C108" s="28" t="s">
        <v>725</v>
      </c>
      <c r="D108" s="28"/>
      <c r="E108" s="49"/>
      <c r="F108" s="121" t="s">
        <v>719</v>
      </c>
      <c r="G108" s="49"/>
      <c r="H108" s="49"/>
      <c r="I108" s="49"/>
      <c r="J108" s="49"/>
      <c r="K108" s="49"/>
      <c r="L108" s="49"/>
      <c r="M108" s="131">
        <v>0.17</v>
      </c>
      <c r="N108" s="142">
        <f t="shared" si="83"/>
        <v>0.17</v>
      </c>
      <c r="O108" s="143">
        <f t="shared" si="75"/>
        <v>0</v>
      </c>
      <c r="P108" s="139">
        <f t="shared" si="76"/>
        <v>0.17</v>
      </c>
      <c r="Q108" s="317"/>
      <c r="R108" s="143">
        <f t="shared" si="71"/>
        <v>0</v>
      </c>
      <c r="S108" s="139">
        <f t="shared" si="72"/>
        <v>0.17</v>
      </c>
      <c r="T108" s="317"/>
      <c r="U108" s="143">
        <f t="shared" si="73"/>
        <v>0</v>
      </c>
      <c r="V108" s="139">
        <f t="shared" si="74"/>
        <v>0.17</v>
      </c>
      <c r="W108" s="49"/>
      <c r="X108" s="15"/>
      <c r="Y108" s="125">
        <f t="shared" si="84"/>
        <v>0.17</v>
      </c>
      <c r="Z108" s="126"/>
      <c r="AA108" s="127"/>
      <c r="AB108" s="128">
        <f t="shared" si="12"/>
        <v>0</v>
      </c>
    </row>
    <row r="109" spans="1:28" x14ac:dyDescent="0.35">
      <c r="A109" s="49" t="s">
        <v>717</v>
      </c>
      <c r="B109" s="121" t="s">
        <v>494</v>
      </c>
      <c r="C109" s="28" t="s">
        <v>726</v>
      </c>
      <c r="D109" s="28"/>
      <c r="E109" s="49"/>
      <c r="F109" s="121" t="s">
        <v>719</v>
      </c>
      <c r="G109" s="49"/>
      <c r="H109" s="49"/>
      <c r="I109" s="49"/>
      <c r="J109" s="49"/>
      <c r="K109" s="49"/>
      <c r="L109" s="49"/>
      <c r="M109" s="131">
        <v>0.16</v>
      </c>
      <c r="N109" s="142">
        <f t="shared" si="83"/>
        <v>0.16</v>
      </c>
      <c r="O109" s="143">
        <f t="shared" si="75"/>
        <v>0</v>
      </c>
      <c r="P109" s="139">
        <f t="shared" si="76"/>
        <v>0.16</v>
      </c>
      <c r="Q109" s="317"/>
      <c r="R109" s="143">
        <f t="shared" si="71"/>
        <v>0</v>
      </c>
      <c r="S109" s="139">
        <f t="shared" si="72"/>
        <v>0.16</v>
      </c>
      <c r="T109" s="317"/>
      <c r="U109" s="143">
        <f t="shared" si="73"/>
        <v>0</v>
      </c>
      <c r="V109" s="139">
        <f t="shared" si="74"/>
        <v>0.16</v>
      </c>
      <c r="W109" s="49"/>
      <c r="X109" s="15"/>
      <c r="Y109" s="125">
        <f t="shared" si="84"/>
        <v>0.16</v>
      </c>
      <c r="Z109" s="126"/>
      <c r="AA109" s="127"/>
      <c r="AB109" s="128">
        <f t="shared" si="12"/>
        <v>0</v>
      </c>
    </row>
    <row r="110" spans="1:28" x14ac:dyDescent="0.35">
      <c r="A110" s="49" t="s">
        <v>717</v>
      </c>
      <c r="B110" s="121" t="s">
        <v>494</v>
      </c>
      <c r="C110" s="28" t="s">
        <v>727</v>
      </c>
      <c r="D110" s="28"/>
      <c r="E110" s="49"/>
      <c r="F110" s="121" t="s">
        <v>719</v>
      </c>
      <c r="G110" s="49"/>
      <c r="H110" s="49"/>
      <c r="I110" s="49"/>
      <c r="J110" s="49"/>
      <c r="K110" s="49"/>
      <c r="L110" s="49"/>
      <c r="M110" s="131">
        <v>0.19</v>
      </c>
      <c r="N110" s="142">
        <f t="shared" si="83"/>
        <v>0.19</v>
      </c>
      <c r="O110" s="143">
        <f t="shared" si="75"/>
        <v>0</v>
      </c>
      <c r="P110" s="139">
        <f t="shared" si="76"/>
        <v>0.19</v>
      </c>
      <c r="Q110" s="317"/>
      <c r="R110" s="143">
        <f t="shared" si="71"/>
        <v>0</v>
      </c>
      <c r="S110" s="139">
        <f t="shared" si="72"/>
        <v>0.19</v>
      </c>
      <c r="T110" s="317"/>
      <c r="U110" s="143">
        <f t="shared" si="73"/>
        <v>0</v>
      </c>
      <c r="V110" s="139">
        <f t="shared" si="74"/>
        <v>0.19</v>
      </c>
      <c r="W110" s="49"/>
      <c r="X110" s="15"/>
      <c r="Y110" s="125">
        <f t="shared" si="84"/>
        <v>0.19</v>
      </c>
      <c r="Z110" s="126"/>
      <c r="AA110" s="127"/>
      <c r="AB110" s="128">
        <f t="shared" si="12"/>
        <v>0</v>
      </c>
    </row>
    <row r="111" spans="1:28" x14ac:dyDescent="0.35">
      <c r="A111" s="49" t="s">
        <v>717</v>
      </c>
      <c r="B111" s="121" t="s">
        <v>494</v>
      </c>
      <c r="C111" s="28">
        <v>3.83</v>
      </c>
      <c r="D111" s="28"/>
      <c r="E111" s="49"/>
      <c r="F111" s="121" t="s">
        <v>719</v>
      </c>
      <c r="G111" s="49"/>
      <c r="H111" s="49"/>
      <c r="I111" s="49"/>
      <c r="J111" s="49"/>
      <c r="K111" s="49"/>
      <c r="L111" s="49"/>
      <c r="M111" s="131">
        <v>0.16</v>
      </c>
      <c r="N111" s="142">
        <f t="shared" si="83"/>
        <v>0.16</v>
      </c>
      <c r="O111" s="143">
        <f t="shared" si="75"/>
        <v>0</v>
      </c>
      <c r="P111" s="139">
        <f t="shared" si="76"/>
        <v>0.16</v>
      </c>
      <c r="Q111" s="317"/>
      <c r="R111" s="143">
        <f t="shared" si="71"/>
        <v>0</v>
      </c>
      <c r="S111" s="139">
        <f t="shared" si="72"/>
        <v>0.16</v>
      </c>
      <c r="T111" s="317"/>
      <c r="U111" s="143">
        <f t="shared" si="73"/>
        <v>0</v>
      </c>
      <c r="V111" s="139">
        <f t="shared" si="74"/>
        <v>0.16</v>
      </c>
      <c r="W111" s="49"/>
      <c r="X111" s="15"/>
      <c r="Y111" s="125">
        <f t="shared" si="84"/>
        <v>0.16</v>
      </c>
      <c r="Z111" s="126"/>
      <c r="AA111" s="127"/>
      <c r="AB111" s="128">
        <f t="shared" si="12"/>
        <v>0</v>
      </c>
    </row>
    <row r="112" spans="1:28" x14ac:dyDescent="0.35">
      <c r="A112" s="49" t="s">
        <v>717</v>
      </c>
      <c r="B112" s="121" t="s">
        <v>494</v>
      </c>
      <c r="C112" s="28" t="s">
        <v>728</v>
      </c>
      <c r="D112" s="28"/>
      <c r="E112" s="49"/>
      <c r="F112" s="121" t="s">
        <v>719</v>
      </c>
      <c r="G112" s="49"/>
      <c r="H112" s="49"/>
      <c r="I112" s="49"/>
      <c r="J112" s="49"/>
      <c r="K112" s="49"/>
      <c r="L112" s="49"/>
      <c r="M112" s="131">
        <v>0.18</v>
      </c>
      <c r="N112" s="142">
        <f t="shared" si="83"/>
        <v>0.18</v>
      </c>
      <c r="O112" s="143">
        <f t="shared" si="75"/>
        <v>0</v>
      </c>
      <c r="P112" s="139">
        <f t="shared" si="76"/>
        <v>0.18</v>
      </c>
      <c r="Q112" s="317"/>
      <c r="R112" s="143">
        <f t="shared" si="71"/>
        <v>0</v>
      </c>
      <c r="S112" s="139">
        <f t="shared" si="72"/>
        <v>0.18</v>
      </c>
      <c r="T112" s="317"/>
      <c r="U112" s="143">
        <f t="shared" si="73"/>
        <v>0</v>
      </c>
      <c r="V112" s="139">
        <f t="shared" si="74"/>
        <v>0.18</v>
      </c>
      <c r="W112" s="49"/>
      <c r="X112" s="15"/>
      <c r="Y112" s="125">
        <f t="shared" si="84"/>
        <v>0.18</v>
      </c>
      <c r="Z112" s="126"/>
      <c r="AA112" s="127"/>
      <c r="AB112" s="128">
        <f t="shared" si="12"/>
        <v>0</v>
      </c>
    </row>
    <row r="113" spans="1:28" x14ac:dyDescent="0.35">
      <c r="A113" s="49" t="s">
        <v>717</v>
      </c>
      <c r="B113" s="121" t="s">
        <v>494</v>
      </c>
      <c r="C113" s="28" t="s">
        <v>729</v>
      </c>
      <c r="D113" s="28"/>
      <c r="E113" s="49"/>
      <c r="F113" s="121" t="s">
        <v>719</v>
      </c>
      <c r="G113" s="49"/>
      <c r="H113" s="49"/>
      <c r="I113" s="49"/>
      <c r="J113" s="49"/>
      <c r="K113" s="49"/>
      <c r="L113" s="49"/>
      <c r="M113" s="131">
        <v>0.17</v>
      </c>
      <c r="N113" s="142">
        <f t="shared" ref="N113:N130" si="85">M113</f>
        <v>0.17</v>
      </c>
      <c r="O113" s="143">
        <f t="shared" si="75"/>
        <v>0</v>
      </c>
      <c r="P113" s="139">
        <f t="shared" ref="P113:P130" si="86">IF(N113="Cost Required - Purchasing",N113,N113/(1-O113))</f>
        <v>0.17</v>
      </c>
      <c r="Q113" s="317"/>
      <c r="R113" s="143">
        <f t="shared" si="71"/>
        <v>0</v>
      </c>
      <c r="S113" s="139">
        <f t="shared" ref="S113:S130" si="87">IF(N113="Cost Required - Purchasing",N113,N113/(1-R113))</f>
        <v>0.17</v>
      </c>
      <c r="T113" s="317"/>
      <c r="U113" s="143">
        <f t="shared" si="73"/>
        <v>0</v>
      </c>
      <c r="V113" s="139">
        <f t="shared" ref="V113:V130" si="88">IF(N113="Cost Required - Purchasing",N113,N113/(1-U113))</f>
        <v>0.17</v>
      </c>
      <c r="W113" s="49"/>
      <c r="X113" s="15"/>
      <c r="Y113" s="125">
        <f t="shared" ref="Y113:Y130" si="89">+M113</f>
        <v>0.17</v>
      </c>
      <c r="Z113" s="126"/>
      <c r="AA113" s="127"/>
      <c r="AB113" s="128">
        <f t="shared" ref="AB113:AB130" si="90">+IFERROR(((Y113-Z113)/Z113),0%)</f>
        <v>0</v>
      </c>
    </row>
    <row r="114" spans="1:28" x14ac:dyDescent="0.35">
      <c r="A114" s="49" t="s">
        <v>717</v>
      </c>
      <c r="B114" s="121" t="s">
        <v>494</v>
      </c>
      <c r="C114" s="28" t="s">
        <v>730</v>
      </c>
      <c r="D114" s="28"/>
      <c r="E114" s="49"/>
      <c r="F114" s="121" t="s">
        <v>719</v>
      </c>
      <c r="G114" s="49"/>
      <c r="H114" s="49"/>
      <c r="I114" s="49"/>
      <c r="J114" s="49"/>
      <c r="K114" s="49"/>
      <c r="L114" s="49"/>
      <c r="M114" s="131">
        <v>0.19</v>
      </c>
      <c r="N114" s="142">
        <f t="shared" si="85"/>
        <v>0.19</v>
      </c>
      <c r="O114" s="143">
        <f t="shared" si="75"/>
        <v>0</v>
      </c>
      <c r="P114" s="139">
        <f t="shared" si="86"/>
        <v>0.19</v>
      </c>
      <c r="Q114" s="317"/>
      <c r="R114" s="143">
        <f t="shared" si="71"/>
        <v>0</v>
      </c>
      <c r="S114" s="139">
        <f t="shared" si="87"/>
        <v>0.19</v>
      </c>
      <c r="T114" s="317"/>
      <c r="U114" s="143">
        <f t="shared" si="73"/>
        <v>0</v>
      </c>
      <c r="V114" s="139">
        <f t="shared" si="88"/>
        <v>0.19</v>
      </c>
      <c r="W114" s="49"/>
      <c r="X114" s="15"/>
      <c r="Y114" s="125">
        <f t="shared" si="89"/>
        <v>0.19</v>
      </c>
      <c r="Z114" s="126"/>
      <c r="AA114" s="127"/>
      <c r="AB114" s="128">
        <f t="shared" si="90"/>
        <v>0</v>
      </c>
    </row>
    <row r="115" spans="1:28" x14ac:dyDescent="0.35">
      <c r="A115" s="49" t="s">
        <v>717</v>
      </c>
      <c r="B115" s="121" t="s">
        <v>494</v>
      </c>
      <c r="C115" s="28" t="s">
        <v>731</v>
      </c>
      <c r="D115" s="28"/>
      <c r="E115" s="49"/>
      <c r="F115" s="121" t="s">
        <v>719</v>
      </c>
      <c r="G115" s="49"/>
      <c r="H115" s="49"/>
      <c r="I115" s="49"/>
      <c r="J115" s="49"/>
      <c r="K115" s="49"/>
      <c r="L115" s="49"/>
      <c r="M115" s="131">
        <v>0.186</v>
      </c>
      <c r="N115" s="142">
        <f t="shared" si="85"/>
        <v>0.186</v>
      </c>
      <c r="O115" s="143">
        <f t="shared" si="75"/>
        <v>0</v>
      </c>
      <c r="P115" s="139">
        <f t="shared" si="86"/>
        <v>0.186</v>
      </c>
      <c r="Q115" s="317"/>
      <c r="R115" s="143">
        <f t="shared" si="71"/>
        <v>0</v>
      </c>
      <c r="S115" s="139">
        <f t="shared" si="87"/>
        <v>0.186</v>
      </c>
      <c r="T115" s="317"/>
      <c r="U115" s="143">
        <f t="shared" si="73"/>
        <v>0</v>
      </c>
      <c r="V115" s="139">
        <f t="shared" si="88"/>
        <v>0.186</v>
      </c>
      <c r="W115" s="49"/>
      <c r="X115" s="15"/>
      <c r="Y115" s="125">
        <f t="shared" si="89"/>
        <v>0.186</v>
      </c>
      <c r="Z115" s="126"/>
      <c r="AA115" s="127"/>
      <c r="AB115" s="128">
        <f t="shared" si="90"/>
        <v>0</v>
      </c>
    </row>
    <row r="116" spans="1:28" x14ac:dyDescent="0.35">
      <c r="A116" s="49" t="s">
        <v>717</v>
      </c>
      <c r="B116" s="121" t="s">
        <v>494</v>
      </c>
      <c r="C116" s="28" t="s">
        <v>732</v>
      </c>
      <c r="D116" s="28"/>
      <c r="E116" s="49"/>
      <c r="F116" s="121" t="s">
        <v>719</v>
      </c>
      <c r="G116" s="49"/>
      <c r="H116" s="49"/>
      <c r="I116" s="49"/>
      <c r="J116" s="49"/>
      <c r="K116" s="49"/>
      <c r="L116" s="49"/>
      <c r="M116" s="131">
        <v>0.17</v>
      </c>
      <c r="N116" s="142">
        <f t="shared" si="85"/>
        <v>0.17</v>
      </c>
      <c r="O116" s="143">
        <f t="shared" si="75"/>
        <v>0</v>
      </c>
      <c r="P116" s="139">
        <f t="shared" si="86"/>
        <v>0.17</v>
      </c>
      <c r="Q116" s="317"/>
      <c r="R116" s="143">
        <f t="shared" si="71"/>
        <v>0</v>
      </c>
      <c r="S116" s="139">
        <f t="shared" si="87"/>
        <v>0.17</v>
      </c>
      <c r="T116" s="317"/>
      <c r="U116" s="143">
        <f t="shared" si="73"/>
        <v>0</v>
      </c>
      <c r="V116" s="139">
        <f t="shared" si="88"/>
        <v>0.17</v>
      </c>
      <c r="W116" s="49"/>
      <c r="X116" s="15"/>
      <c r="Y116" s="125">
        <f t="shared" si="89"/>
        <v>0.17</v>
      </c>
      <c r="Z116" s="126"/>
      <c r="AA116" s="127"/>
      <c r="AB116" s="128">
        <f t="shared" si="90"/>
        <v>0</v>
      </c>
    </row>
    <row r="117" spans="1:28" x14ac:dyDescent="0.35">
      <c r="A117" s="49" t="s">
        <v>717</v>
      </c>
      <c r="B117" s="121" t="s">
        <v>494</v>
      </c>
      <c r="C117" s="28" t="s">
        <v>733</v>
      </c>
      <c r="D117" s="28"/>
      <c r="E117" s="49"/>
      <c r="F117" s="121" t="s">
        <v>719</v>
      </c>
      <c r="G117" s="49"/>
      <c r="H117" s="49"/>
      <c r="I117" s="49"/>
      <c r="J117" s="49"/>
      <c r="K117" s="49"/>
      <c r="L117" s="49"/>
      <c r="M117" s="131">
        <v>0.16</v>
      </c>
      <c r="N117" s="142">
        <f t="shared" si="85"/>
        <v>0.16</v>
      </c>
      <c r="O117" s="143">
        <f t="shared" si="75"/>
        <v>0</v>
      </c>
      <c r="P117" s="139">
        <f t="shared" si="86"/>
        <v>0.16</v>
      </c>
      <c r="Q117" s="317"/>
      <c r="R117" s="143">
        <f t="shared" si="71"/>
        <v>0</v>
      </c>
      <c r="S117" s="139">
        <f t="shared" si="87"/>
        <v>0.16</v>
      </c>
      <c r="T117" s="317"/>
      <c r="U117" s="143">
        <f t="shared" si="73"/>
        <v>0</v>
      </c>
      <c r="V117" s="139">
        <f t="shared" si="88"/>
        <v>0.16</v>
      </c>
      <c r="W117" s="49"/>
      <c r="X117" s="15"/>
      <c r="Y117" s="125">
        <f t="shared" si="89"/>
        <v>0.16</v>
      </c>
      <c r="Z117" s="126"/>
      <c r="AA117" s="127"/>
      <c r="AB117" s="128">
        <f t="shared" si="90"/>
        <v>0</v>
      </c>
    </row>
    <row r="118" spans="1:28" x14ac:dyDescent="0.35">
      <c r="A118" s="49" t="s">
        <v>717</v>
      </c>
      <c r="B118" s="121" t="s">
        <v>494</v>
      </c>
      <c r="C118" s="28" t="s">
        <v>734</v>
      </c>
      <c r="D118" s="28"/>
      <c r="E118" s="49"/>
      <c r="F118" s="121" t="s">
        <v>719</v>
      </c>
      <c r="G118" s="49"/>
      <c r="H118" s="49"/>
      <c r="I118" s="49"/>
      <c r="J118" s="49"/>
      <c r="K118" s="49"/>
      <c r="L118" s="49"/>
      <c r="M118" s="131">
        <v>0.16</v>
      </c>
      <c r="N118" s="142">
        <f t="shared" si="85"/>
        <v>0.16</v>
      </c>
      <c r="O118" s="143">
        <f t="shared" si="75"/>
        <v>0</v>
      </c>
      <c r="P118" s="139">
        <f t="shared" si="86"/>
        <v>0.16</v>
      </c>
      <c r="Q118" s="317"/>
      <c r="R118" s="143">
        <f t="shared" si="71"/>
        <v>0</v>
      </c>
      <c r="S118" s="139">
        <f t="shared" si="87"/>
        <v>0.16</v>
      </c>
      <c r="T118" s="317"/>
      <c r="U118" s="143">
        <f t="shared" si="73"/>
        <v>0</v>
      </c>
      <c r="V118" s="139">
        <f t="shared" si="88"/>
        <v>0.16</v>
      </c>
      <c r="W118" s="49"/>
      <c r="X118" s="15"/>
      <c r="Y118" s="125">
        <f t="shared" si="89"/>
        <v>0.16</v>
      </c>
      <c r="Z118" s="126"/>
      <c r="AA118" s="127"/>
      <c r="AB118" s="128">
        <f t="shared" si="90"/>
        <v>0</v>
      </c>
    </row>
    <row r="119" spans="1:28" x14ac:dyDescent="0.35">
      <c r="A119" s="49" t="s">
        <v>717</v>
      </c>
      <c r="B119" s="121" t="s">
        <v>494</v>
      </c>
      <c r="C119" s="28" t="s">
        <v>735</v>
      </c>
      <c r="D119" s="28"/>
      <c r="E119" s="49"/>
      <c r="F119" s="121" t="s">
        <v>719</v>
      </c>
      <c r="G119" s="49"/>
      <c r="H119" s="49"/>
      <c r="I119" s="49"/>
      <c r="J119" s="49"/>
      <c r="K119" s="49"/>
      <c r="L119" s="49"/>
      <c r="M119" s="131">
        <v>0.19</v>
      </c>
      <c r="N119" s="142">
        <f t="shared" si="85"/>
        <v>0.19</v>
      </c>
      <c r="O119" s="143">
        <f t="shared" si="75"/>
        <v>0</v>
      </c>
      <c r="P119" s="139">
        <f t="shared" si="86"/>
        <v>0.19</v>
      </c>
      <c r="Q119" s="317"/>
      <c r="R119" s="143">
        <f t="shared" si="71"/>
        <v>0</v>
      </c>
      <c r="S119" s="139">
        <f t="shared" si="87"/>
        <v>0.19</v>
      </c>
      <c r="T119" s="317"/>
      <c r="U119" s="143">
        <f t="shared" si="73"/>
        <v>0</v>
      </c>
      <c r="V119" s="139">
        <f t="shared" si="88"/>
        <v>0.19</v>
      </c>
      <c r="W119" s="49"/>
      <c r="X119" s="15"/>
      <c r="Y119" s="125">
        <f t="shared" si="89"/>
        <v>0.19</v>
      </c>
      <c r="Z119" s="126"/>
      <c r="AA119" s="127"/>
      <c r="AB119" s="128">
        <f t="shared" si="90"/>
        <v>0</v>
      </c>
    </row>
    <row r="120" spans="1:28" x14ac:dyDescent="0.35">
      <c r="A120" s="49" t="s">
        <v>717</v>
      </c>
      <c r="B120" s="121" t="s">
        <v>494</v>
      </c>
      <c r="C120" s="28" t="s">
        <v>736</v>
      </c>
      <c r="D120" s="28"/>
      <c r="E120" s="49"/>
      <c r="F120" s="121" t="s">
        <v>719</v>
      </c>
      <c r="G120" s="49"/>
      <c r="H120" s="49"/>
      <c r="I120" s="49"/>
      <c r="J120" s="49"/>
      <c r="K120" s="49"/>
      <c r="L120" s="49"/>
      <c r="M120" s="131">
        <v>0.2</v>
      </c>
      <c r="N120" s="142">
        <f t="shared" si="85"/>
        <v>0.2</v>
      </c>
      <c r="O120" s="143">
        <f t="shared" si="75"/>
        <v>0</v>
      </c>
      <c r="P120" s="139">
        <f t="shared" si="86"/>
        <v>0.2</v>
      </c>
      <c r="Q120" s="317"/>
      <c r="R120" s="143">
        <f t="shared" ref="R120:R151" si="91">+$AI$11</f>
        <v>0</v>
      </c>
      <c r="S120" s="139">
        <f t="shared" si="87"/>
        <v>0.2</v>
      </c>
      <c r="T120" s="317"/>
      <c r="U120" s="143">
        <f t="shared" ref="U120:U151" si="92">+$AL$11</f>
        <v>0</v>
      </c>
      <c r="V120" s="139">
        <f t="shared" si="88"/>
        <v>0.2</v>
      </c>
      <c r="W120" s="49"/>
      <c r="X120" s="15"/>
      <c r="Y120" s="125">
        <f t="shared" si="89"/>
        <v>0.2</v>
      </c>
      <c r="Z120" s="126"/>
      <c r="AA120" s="127"/>
      <c r="AB120" s="128">
        <f t="shared" si="90"/>
        <v>0</v>
      </c>
    </row>
    <row r="121" spans="1:28" x14ac:dyDescent="0.35">
      <c r="A121" s="49" t="s">
        <v>717</v>
      </c>
      <c r="B121" s="121" t="s">
        <v>494</v>
      </c>
      <c r="C121" s="28" t="s">
        <v>737</v>
      </c>
      <c r="D121" s="28"/>
      <c r="E121" s="49"/>
      <c r="F121" s="121" t="s">
        <v>719</v>
      </c>
      <c r="G121" s="49"/>
      <c r="H121" s="49"/>
      <c r="I121" s="49"/>
      <c r="J121" s="49"/>
      <c r="K121" s="49"/>
      <c r="L121" s="49"/>
      <c r="M121" s="131">
        <v>0.17</v>
      </c>
      <c r="N121" s="142">
        <f t="shared" si="85"/>
        <v>0.17</v>
      </c>
      <c r="O121" s="143">
        <f t="shared" ref="O121:O152" si="93">+$AF$11</f>
        <v>0</v>
      </c>
      <c r="P121" s="139">
        <f t="shared" si="86"/>
        <v>0.17</v>
      </c>
      <c r="Q121" s="317"/>
      <c r="R121" s="143">
        <f t="shared" si="91"/>
        <v>0</v>
      </c>
      <c r="S121" s="139">
        <f t="shared" si="87"/>
        <v>0.17</v>
      </c>
      <c r="T121" s="317"/>
      <c r="U121" s="143">
        <f t="shared" si="92"/>
        <v>0</v>
      </c>
      <c r="V121" s="139">
        <f t="shared" si="88"/>
        <v>0.17</v>
      </c>
      <c r="W121" s="49"/>
      <c r="X121" s="15"/>
      <c r="Y121" s="125">
        <f t="shared" si="89"/>
        <v>0.17</v>
      </c>
      <c r="Z121" s="126"/>
      <c r="AA121" s="127"/>
      <c r="AB121" s="128">
        <f t="shared" si="90"/>
        <v>0</v>
      </c>
    </row>
    <row r="122" spans="1:28" x14ac:dyDescent="0.35">
      <c r="A122" s="49" t="s">
        <v>717</v>
      </c>
      <c r="B122" s="121" t="s">
        <v>494</v>
      </c>
      <c r="C122" s="28" t="s">
        <v>738</v>
      </c>
      <c r="D122" s="28"/>
      <c r="E122" s="49"/>
      <c r="F122" s="121" t="s">
        <v>719</v>
      </c>
      <c r="G122" s="49"/>
      <c r="H122" s="49"/>
      <c r="I122" s="49"/>
      <c r="J122" s="49"/>
      <c r="K122" s="49"/>
      <c r="L122" s="49"/>
      <c r="M122" s="131">
        <v>0.16</v>
      </c>
      <c r="N122" s="142">
        <f t="shared" si="85"/>
        <v>0.16</v>
      </c>
      <c r="O122" s="143">
        <f t="shared" si="93"/>
        <v>0</v>
      </c>
      <c r="P122" s="139">
        <f t="shared" si="86"/>
        <v>0.16</v>
      </c>
      <c r="Q122" s="317"/>
      <c r="R122" s="143">
        <f t="shared" si="91"/>
        <v>0</v>
      </c>
      <c r="S122" s="139">
        <f t="shared" si="87"/>
        <v>0.16</v>
      </c>
      <c r="T122" s="317"/>
      <c r="U122" s="143">
        <f t="shared" si="92"/>
        <v>0</v>
      </c>
      <c r="V122" s="139">
        <f t="shared" si="88"/>
        <v>0.16</v>
      </c>
      <c r="W122" s="49"/>
      <c r="X122" s="15"/>
      <c r="Y122" s="125">
        <f t="shared" si="89"/>
        <v>0.16</v>
      </c>
      <c r="Z122" s="126"/>
      <c r="AA122" s="127"/>
      <c r="AB122" s="128">
        <f t="shared" si="90"/>
        <v>0</v>
      </c>
    </row>
    <row r="123" spans="1:28" x14ac:dyDescent="0.35">
      <c r="A123" s="49" t="s">
        <v>717</v>
      </c>
      <c r="B123" s="121" t="s">
        <v>494</v>
      </c>
      <c r="C123" s="28" t="s">
        <v>739</v>
      </c>
      <c r="D123" s="28"/>
      <c r="E123" s="49"/>
      <c r="F123" s="121" t="s">
        <v>719</v>
      </c>
      <c r="G123" s="49"/>
      <c r="H123" s="49"/>
      <c r="I123" s="49"/>
      <c r="J123" s="49"/>
      <c r="K123" s="49"/>
      <c r="L123" s="49"/>
      <c r="M123" s="131">
        <v>0.17</v>
      </c>
      <c r="N123" s="142">
        <f t="shared" si="85"/>
        <v>0.17</v>
      </c>
      <c r="O123" s="143">
        <f t="shared" si="93"/>
        <v>0</v>
      </c>
      <c r="P123" s="139">
        <f t="shared" si="86"/>
        <v>0.17</v>
      </c>
      <c r="Q123" s="317"/>
      <c r="R123" s="143">
        <f t="shared" si="91"/>
        <v>0</v>
      </c>
      <c r="S123" s="139">
        <f t="shared" si="87"/>
        <v>0.17</v>
      </c>
      <c r="T123" s="317"/>
      <c r="U123" s="143">
        <f t="shared" si="92"/>
        <v>0</v>
      </c>
      <c r="V123" s="139">
        <f t="shared" si="88"/>
        <v>0.17</v>
      </c>
      <c r="W123" s="49"/>
      <c r="X123" s="15"/>
      <c r="Y123" s="125">
        <f t="shared" si="89"/>
        <v>0.17</v>
      </c>
      <c r="Z123" s="126"/>
      <c r="AA123" s="127"/>
      <c r="AB123" s="128">
        <f t="shared" si="90"/>
        <v>0</v>
      </c>
    </row>
    <row r="124" spans="1:28" x14ac:dyDescent="0.35">
      <c r="A124" s="49" t="s">
        <v>717</v>
      </c>
      <c r="B124" s="121" t="s">
        <v>494</v>
      </c>
      <c r="C124" s="28" t="s">
        <v>740</v>
      </c>
      <c r="D124" s="28"/>
      <c r="E124" s="49"/>
      <c r="F124" s="121" t="s">
        <v>719</v>
      </c>
      <c r="G124" s="49"/>
      <c r="H124" s="49"/>
      <c r="I124" s="49"/>
      <c r="J124" s="49"/>
      <c r="K124" s="49"/>
      <c r="L124" s="49"/>
      <c r="M124" s="131">
        <v>0.18</v>
      </c>
      <c r="N124" s="142">
        <f t="shared" si="85"/>
        <v>0.18</v>
      </c>
      <c r="O124" s="143">
        <f t="shared" si="93"/>
        <v>0</v>
      </c>
      <c r="P124" s="139">
        <f t="shared" si="86"/>
        <v>0.18</v>
      </c>
      <c r="Q124" s="317"/>
      <c r="R124" s="143">
        <f t="shared" si="91"/>
        <v>0</v>
      </c>
      <c r="S124" s="139">
        <f t="shared" si="87"/>
        <v>0.18</v>
      </c>
      <c r="T124" s="317"/>
      <c r="U124" s="143">
        <f t="shared" si="92"/>
        <v>0</v>
      </c>
      <c r="V124" s="139">
        <f t="shared" si="88"/>
        <v>0.18</v>
      </c>
      <c r="W124" s="49"/>
      <c r="X124" s="15"/>
      <c r="Y124" s="125">
        <f t="shared" si="89"/>
        <v>0.18</v>
      </c>
      <c r="Z124" s="126"/>
      <c r="AA124" s="127"/>
      <c r="AB124" s="128">
        <f t="shared" si="90"/>
        <v>0</v>
      </c>
    </row>
    <row r="125" spans="1:28" x14ac:dyDescent="0.35">
      <c r="A125" s="49" t="s">
        <v>717</v>
      </c>
      <c r="B125" s="121" t="s">
        <v>494</v>
      </c>
      <c r="C125" s="28" t="s">
        <v>741</v>
      </c>
      <c r="D125" s="28"/>
      <c r="E125" s="49"/>
      <c r="F125" s="121" t="s">
        <v>719</v>
      </c>
      <c r="G125" s="49"/>
      <c r="H125" s="49"/>
      <c r="I125" s="49"/>
      <c r="J125" s="49"/>
      <c r="K125" s="49"/>
      <c r="L125" s="49"/>
      <c r="M125" s="131">
        <v>0.17</v>
      </c>
      <c r="N125" s="142">
        <f t="shared" si="85"/>
        <v>0.17</v>
      </c>
      <c r="O125" s="143">
        <f t="shared" si="93"/>
        <v>0</v>
      </c>
      <c r="P125" s="139">
        <f t="shared" si="86"/>
        <v>0.17</v>
      </c>
      <c r="Q125" s="317"/>
      <c r="R125" s="143">
        <f t="shared" si="91"/>
        <v>0</v>
      </c>
      <c r="S125" s="139">
        <f t="shared" si="87"/>
        <v>0.17</v>
      </c>
      <c r="T125" s="317"/>
      <c r="U125" s="143">
        <f t="shared" si="92"/>
        <v>0</v>
      </c>
      <c r="V125" s="139">
        <f t="shared" si="88"/>
        <v>0.17</v>
      </c>
      <c r="W125" s="49"/>
      <c r="X125" s="15"/>
      <c r="Y125" s="125">
        <f t="shared" si="89"/>
        <v>0.17</v>
      </c>
      <c r="Z125" s="126"/>
      <c r="AA125" s="127"/>
      <c r="AB125" s="128">
        <f t="shared" si="90"/>
        <v>0</v>
      </c>
    </row>
    <row r="126" spans="1:28" x14ac:dyDescent="0.35">
      <c r="A126" s="49" t="s">
        <v>717</v>
      </c>
      <c r="B126" s="121" t="s">
        <v>494</v>
      </c>
      <c r="C126" s="28" t="s">
        <v>742</v>
      </c>
      <c r="D126" s="28"/>
      <c r="E126" s="49"/>
      <c r="F126" s="121" t="s">
        <v>719</v>
      </c>
      <c r="G126" s="49"/>
      <c r="H126" s="49"/>
      <c r="I126" s="49"/>
      <c r="J126" s="49"/>
      <c r="K126" s="49"/>
      <c r="L126" s="49"/>
      <c r="M126" s="131">
        <v>0.08</v>
      </c>
      <c r="N126" s="142">
        <f t="shared" si="85"/>
        <v>0.08</v>
      </c>
      <c r="O126" s="143">
        <f t="shared" si="93"/>
        <v>0</v>
      </c>
      <c r="P126" s="139">
        <f t="shared" si="86"/>
        <v>0.08</v>
      </c>
      <c r="Q126" s="317"/>
      <c r="R126" s="143">
        <f t="shared" si="91"/>
        <v>0</v>
      </c>
      <c r="S126" s="139">
        <f t="shared" si="87"/>
        <v>0.08</v>
      </c>
      <c r="T126" s="317"/>
      <c r="U126" s="143">
        <f t="shared" si="92"/>
        <v>0</v>
      </c>
      <c r="V126" s="139">
        <f t="shared" si="88"/>
        <v>0.08</v>
      </c>
      <c r="W126" s="49"/>
      <c r="X126" s="15"/>
      <c r="Y126" s="125">
        <f t="shared" si="89"/>
        <v>0.08</v>
      </c>
      <c r="Z126" s="126"/>
      <c r="AA126" s="127"/>
      <c r="AB126" s="128">
        <f t="shared" si="90"/>
        <v>0</v>
      </c>
    </row>
    <row r="127" spans="1:28" x14ac:dyDescent="0.35">
      <c r="A127" s="49" t="s">
        <v>717</v>
      </c>
      <c r="B127" s="121" t="s">
        <v>494</v>
      </c>
      <c r="C127" s="28" t="s">
        <v>743</v>
      </c>
      <c r="D127" s="28"/>
      <c r="E127" s="49"/>
      <c r="F127" s="121" t="s">
        <v>719</v>
      </c>
      <c r="G127" s="49"/>
      <c r="H127" s="49"/>
      <c r="I127" s="49"/>
      <c r="J127" s="49"/>
      <c r="K127" s="49"/>
      <c r="L127" s="49"/>
      <c r="M127" s="131">
        <v>0.08</v>
      </c>
      <c r="N127" s="142">
        <f t="shared" si="85"/>
        <v>0.08</v>
      </c>
      <c r="O127" s="143">
        <f t="shared" si="93"/>
        <v>0</v>
      </c>
      <c r="P127" s="139">
        <f t="shared" si="86"/>
        <v>0.08</v>
      </c>
      <c r="Q127" s="317"/>
      <c r="R127" s="143">
        <f t="shared" si="91"/>
        <v>0</v>
      </c>
      <c r="S127" s="139">
        <f t="shared" si="87"/>
        <v>0.08</v>
      </c>
      <c r="T127" s="317"/>
      <c r="U127" s="143">
        <f t="shared" si="92"/>
        <v>0</v>
      </c>
      <c r="V127" s="139">
        <f t="shared" si="88"/>
        <v>0.08</v>
      </c>
      <c r="W127" s="49"/>
      <c r="X127" s="15"/>
      <c r="Y127" s="125">
        <f t="shared" si="89"/>
        <v>0.08</v>
      </c>
      <c r="Z127" s="126"/>
      <c r="AA127" s="127"/>
      <c r="AB127" s="128">
        <f t="shared" si="90"/>
        <v>0</v>
      </c>
    </row>
    <row r="128" spans="1:28" x14ac:dyDescent="0.35">
      <c r="A128" s="49" t="s">
        <v>717</v>
      </c>
      <c r="B128" s="121" t="s">
        <v>494</v>
      </c>
      <c r="C128" s="28" t="s">
        <v>744</v>
      </c>
      <c r="D128" s="28"/>
      <c r="E128" s="49"/>
      <c r="F128" s="121" t="s">
        <v>719</v>
      </c>
      <c r="G128" s="49"/>
      <c r="H128" s="49"/>
      <c r="I128" s="49"/>
      <c r="J128" s="49"/>
      <c r="K128" s="49"/>
      <c r="L128" s="49"/>
      <c r="M128" s="131">
        <v>0.08</v>
      </c>
      <c r="N128" s="142">
        <f t="shared" si="85"/>
        <v>0.08</v>
      </c>
      <c r="O128" s="143">
        <f t="shared" si="93"/>
        <v>0</v>
      </c>
      <c r="P128" s="139">
        <f t="shared" si="86"/>
        <v>0.08</v>
      </c>
      <c r="Q128" s="317"/>
      <c r="R128" s="143">
        <f t="shared" si="91"/>
        <v>0</v>
      </c>
      <c r="S128" s="139">
        <f t="shared" si="87"/>
        <v>0.08</v>
      </c>
      <c r="T128" s="317"/>
      <c r="U128" s="143">
        <f t="shared" si="92"/>
        <v>0</v>
      </c>
      <c r="V128" s="139">
        <f t="shared" si="88"/>
        <v>0.08</v>
      </c>
      <c r="W128" s="49"/>
      <c r="X128" s="15"/>
      <c r="Y128" s="125">
        <f t="shared" si="89"/>
        <v>0.08</v>
      </c>
      <c r="Z128" s="126"/>
      <c r="AA128" s="127"/>
      <c r="AB128" s="128">
        <f t="shared" si="90"/>
        <v>0</v>
      </c>
    </row>
    <row r="129" spans="1:28" x14ac:dyDescent="0.35">
      <c r="A129" s="49" t="s">
        <v>717</v>
      </c>
      <c r="B129" s="121" t="s">
        <v>494</v>
      </c>
      <c r="C129" s="28" t="s">
        <v>745</v>
      </c>
      <c r="D129" s="28"/>
      <c r="E129" s="49"/>
      <c r="F129" s="121" t="s">
        <v>719</v>
      </c>
      <c r="G129" s="49"/>
      <c r="H129" s="49"/>
      <c r="I129" s="49"/>
      <c r="J129" s="49"/>
      <c r="K129" s="49"/>
      <c r="L129" s="49"/>
      <c r="M129" s="131">
        <v>0.16</v>
      </c>
      <c r="N129" s="142">
        <f t="shared" si="85"/>
        <v>0.16</v>
      </c>
      <c r="O129" s="143">
        <f t="shared" si="93"/>
        <v>0</v>
      </c>
      <c r="P129" s="139">
        <f t="shared" si="86"/>
        <v>0.16</v>
      </c>
      <c r="Q129" s="317"/>
      <c r="R129" s="143">
        <f t="shared" si="91"/>
        <v>0</v>
      </c>
      <c r="S129" s="139">
        <f t="shared" si="87"/>
        <v>0.16</v>
      </c>
      <c r="T129" s="317"/>
      <c r="U129" s="143">
        <f t="shared" si="92"/>
        <v>0</v>
      </c>
      <c r="V129" s="139">
        <f t="shared" si="88"/>
        <v>0.16</v>
      </c>
      <c r="W129" s="49"/>
      <c r="X129" s="15"/>
      <c r="Y129" s="125">
        <f t="shared" si="89"/>
        <v>0.16</v>
      </c>
      <c r="Z129" s="126"/>
      <c r="AA129" s="127"/>
      <c r="AB129" s="128">
        <f t="shared" si="90"/>
        <v>0</v>
      </c>
    </row>
    <row r="130" spans="1:28" x14ac:dyDescent="0.35">
      <c r="A130" s="49" t="s">
        <v>717</v>
      </c>
      <c r="B130" s="121" t="s">
        <v>494</v>
      </c>
      <c r="C130" s="28" t="s">
        <v>746</v>
      </c>
      <c r="D130" s="28"/>
      <c r="E130" s="49"/>
      <c r="F130" s="121" t="s">
        <v>719</v>
      </c>
      <c r="G130" s="49"/>
      <c r="H130" s="49"/>
      <c r="I130" s="49"/>
      <c r="J130" s="49"/>
      <c r="K130" s="49"/>
      <c r="L130" s="49"/>
      <c r="M130" s="131">
        <v>0.16</v>
      </c>
      <c r="N130" s="142">
        <f t="shared" si="85"/>
        <v>0.16</v>
      </c>
      <c r="O130" s="143">
        <f t="shared" si="93"/>
        <v>0</v>
      </c>
      <c r="P130" s="139">
        <f t="shared" si="86"/>
        <v>0.16</v>
      </c>
      <c r="Q130" s="317"/>
      <c r="R130" s="143">
        <f t="shared" si="91"/>
        <v>0</v>
      </c>
      <c r="S130" s="139">
        <f t="shared" si="87"/>
        <v>0.16</v>
      </c>
      <c r="T130" s="317"/>
      <c r="U130" s="143">
        <f t="shared" si="92"/>
        <v>0</v>
      </c>
      <c r="V130" s="139">
        <f t="shared" si="88"/>
        <v>0.16</v>
      </c>
      <c r="W130" s="49"/>
      <c r="X130" s="15"/>
      <c r="Y130" s="125">
        <f t="shared" si="89"/>
        <v>0.16</v>
      </c>
      <c r="Z130" s="126"/>
      <c r="AA130" s="127"/>
      <c r="AB130" s="128">
        <f t="shared" si="90"/>
        <v>0</v>
      </c>
    </row>
    <row r="131" spans="1:28" x14ac:dyDescent="0.35">
      <c r="A131" s="49" t="s">
        <v>747</v>
      </c>
      <c r="B131" s="121" t="s">
        <v>496</v>
      </c>
      <c r="C131" s="28" t="s">
        <v>748</v>
      </c>
      <c r="D131" s="28"/>
      <c r="E131" s="49"/>
      <c r="F131" s="121" t="s">
        <v>749</v>
      </c>
      <c r="G131" s="49"/>
      <c r="H131" s="49"/>
      <c r="I131" s="49"/>
      <c r="J131" s="49"/>
      <c r="K131" s="49"/>
      <c r="L131" s="49"/>
      <c r="M131" s="131">
        <v>2.46</v>
      </c>
      <c r="N131" s="142">
        <f t="shared" si="83"/>
        <v>2.46</v>
      </c>
      <c r="O131" s="143">
        <f t="shared" si="93"/>
        <v>0</v>
      </c>
      <c r="P131" s="139">
        <f t="shared" si="76"/>
        <v>2.46</v>
      </c>
      <c r="Q131" s="317"/>
      <c r="R131" s="143">
        <f t="shared" si="91"/>
        <v>0</v>
      </c>
      <c r="S131" s="139">
        <f t="shared" si="72"/>
        <v>2.46</v>
      </c>
      <c r="T131" s="317"/>
      <c r="U131" s="143">
        <f t="shared" si="92"/>
        <v>0</v>
      </c>
      <c r="V131" s="139">
        <f t="shared" si="74"/>
        <v>2.46</v>
      </c>
      <c r="W131" s="49"/>
      <c r="X131" s="15"/>
      <c r="Y131" s="125">
        <f t="shared" si="84"/>
        <v>2.46</v>
      </c>
      <c r="Z131" s="126"/>
      <c r="AA131" s="127"/>
      <c r="AB131" s="128">
        <f t="shared" si="12"/>
        <v>0</v>
      </c>
    </row>
    <row r="132" spans="1:28" x14ac:dyDescent="0.35">
      <c r="A132" s="49" t="s">
        <v>747</v>
      </c>
      <c r="B132" s="121" t="s">
        <v>496</v>
      </c>
      <c r="C132" s="28" t="s">
        <v>750</v>
      </c>
      <c r="D132" s="28"/>
      <c r="E132" s="49"/>
      <c r="F132" s="121" t="s">
        <v>749</v>
      </c>
      <c r="G132" s="49"/>
      <c r="H132" s="49"/>
      <c r="I132" s="49"/>
      <c r="J132" s="49"/>
      <c r="K132" s="49"/>
      <c r="L132" s="49"/>
      <c r="M132" s="131">
        <v>2.2799999999999998</v>
      </c>
      <c r="N132" s="142">
        <f t="shared" si="83"/>
        <v>2.2799999999999998</v>
      </c>
      <c r="O132" s="143">
        <f t="shared" si="93"/>
        <v>0</v>
      </c>
      <c r="P132" s="139">
        <f t="shared" si="76"/>
        <v>2.2799999999999998</v>
      </c>
      <c r="Q132" s="317"/>
      <c r="R132" s="143">
        <f t="shared" si="91"/>
        <v>0</v>
      </c>
      <c r="S132" s="139">
        <f t="shared" si="72"/>
        <v>2.2799999999999998</v>
      </c>
      <c r="T132" s="317"/>
      <c r="U132" s="143">
        <f t="shared" si="92"/>
        <v>0</v>
      </c>
      <c r="V132" s="139">
        <f t="shared" si="74"/>
        <v>2.2799999999999998</v>
      </c>
      <c r="W132" s="49"/>
      <c r="X132" s="15"/>
      <c r="Y132" s="125">
        <f t="shared" si="84"/>
        <v>2.2799999999999998</v>
      </c>
      <c r="Z132" s="126"/>
      <c r="AA132" s="127"/>
      <c r="AB132" s="128">
        <f t="shared" ref="AB132:AB193" si="94">+IFERROR(((Y132-Z132)/Z132),0%)</f>
        <v>0</v>
      </c>
    </row>
    <row r="133" spans="1:28" x14ac:dyDescent="0.35">
      <c r="A133" s="49" t="s">
        <v>747</v>
      </c>
      <c r="B133" s="121" t="s">
        <v>496</v>
      </c>
      <c r="C133" s="28" t="s">
        <v>751</v>
      </c>
      <c r="D133" s="28"/>
      <c r="E133" s="49"/>
      <c r="F133" s="121" t="s">
        <v>752</v>
      </c>
      <c r="G133" s="49"/>
      <c r="H133" s="49"/>
      <c r="I133" s="49"/>
      <c r="J133" s="49"/>
      <c r="K133" s="49"/>
      <c r="L133" s="49"/>
      <c r="M133" s="131">
        <v>126</v>
      </c>
      <c r="N133" s="142">
        <f t="shared" si="83"/>
        <v>126</v>
      </c>
      <c r="O133" s="143">
        <f t="shared" si="93"/>
        <v>0</v>
      </c>
      <c r="P133" s="139">
        <f t="shared" si="76"/>
        <v>126</v>
      </c>
      <c r="Q133" s="317"/>
      <c r="R133" s="143">
        <f t="shared" si="91"/>
        <v>0</v>
      </c>
      <c r="S133" s="139">
        <f t="shared" si="72"/>
        <v>126</v>
      </c>
      <c r="T133" s="317"/>
      <c r="U133" s="143">
        <f t="shared" si="92"/>
        <v>0</v>
      </c>
      <c r="V133" s="139">
        <f t="shared" si="74"/>
        <v>126</v>
      </c>
      <c r="W133" s="49"/>
      <c r="X133" s="15"/>
      <c r="Y133" s="125">
        <f t="shared" si="84"/>
        <v>126</v>
      </c>
      <c r="Z133" s="126"/>
      <c r="AA133" s="127"/>
      <c r="AB133" s="128">
        <f t="shared" si="94"/>
        <v>0</v>
      </c>
    </row>
    <row r="134" spans="1:28" x14ac:dyDescent="0.35">
      <c r="A134" s="49" t="s">
        <v>747</v>
      </c>
      <c r="B134" s="121" t="s">
        <v>496</v>
      </c>
      <c r="C134" s="28" t="s">
        <v>753</v>
      </c>
      <c r="D134" s="28"/>
      <c r="E134" s="49"/>
      <c r="F134" s="121" t="s">
        <v>752</v>
      </c>
      <c r="G134" s="49"/>
      <c r="H134" s="49"/>
      <c r="I134" s="49"/>
      <c r="J134" s="49"/>
      <c r="K134" s="49"/>
      <c r="L134" s="49"/>
      <c r="M134" s="131">
        <v>126</v>
      </c>
      <c r="N134" s="142">
        <f t="shared" si="83"/>
        <v>126</v>
      </c>
      <c r="O134" s="143">
        <f t="shared" si="93"/>
        <v>0</v>
      </c>
      <c r="P134" s="139">
        <f t="shared" si="76"/>
        <v>126</v>
      </c>
      <c r="Q134" s="317"/>
      <c r="R134" s="143">
        <f t="shared" si="91"/>
        <v>0</v>
      </c>
      <c r="S134" s="139">
        <f t="shared" si="72"/>
        <v>126</v>
      </c>
      <c r="T134" s="317"/>
      <c r="U134" s="143">
        <f t="shared" si="92"/>
        <v>0</v>
      </c>
      <c r="V134" s="139">
        <f t="shared" si="74"/>
        <v>126</v>
      </c>
      <c r="W134" s="49"/>
      <c r="X134" s="15"/>
      <c r="Y134" s="125">
        <f t="shared" si="84"/>
        <v>126</v>
      </c>
      <c r="Z134" s="126"/>
      <c r="AA134" s="127"/>
      <c r="AB134" s="128">
        <f t="shared" si="94"/>
        <v>0</v>
      </c>
    </row>
    <row r="135" spans="1:28" x14ac:dyDescent="0.35">
      <c r="A135" s="49" t="s">
        <v>747</v>
      </c>
      <c r="B135" s="121" t="s">
        <v>496</v>
      </c>
      <c r="C135" s="28" t="s">
        <v>754</v>
      </c>
      <c r="D135" s="28"/>
      <c r="E135" s="49"/>
      <c r="F135" s="121" t="s">
        <v>752</v>
      </c>
      <c r="G135" s="49"/>
      <c r="H135" s="49"/>
      <c r="I135" s="49"/>
      <c r="J135" s="49"/>
      <c r="K135" s="49"/>
      <c r="L135" s="49"/>
      <c r="M135" s="131">
        <v>126</v>
      </c>
      <c r="N135" s="142">
        <f t="shared" si="83"/>
        <v>126</v>
      </c>
      <c r="O135" s="143">
        <f t="shared" si="93"/>
        <v>0</v>
      </c>
      <c r="P135" s="139">
        <f t="shared" si="76"/>
        <v>126</v>
      </c>
      <c r="Q135" s="317"/>
      <c r="R135" s="143">
        <f t="shared" si="91"/>
        <v>0</v>
      </c>
      <c r="S135" s="139">
        <f t="shared" si="72"/>
        <v>126</v>
      </c>
      <c r="T135" s="317"/>
      <c r="U135" s="143">
        <f t="shared" si="92"/>
        <v>0</v>
      </c>
      <c r="V135" s="139">
        <f t="shared" si="74"/>
        <v>126</v>
      </c>
      <c r="W135" s="49"/>
      <c r="X135" s="15"/>
      <c r="Y135" s="125">
        <f t="shared" si="84"/>
        <v>126</v>
      </c>
      <c r="Z135" s="126"/>
      <c r="AA135" s="127"/>
      <c r="AB135" s="128">
        <f t="shared" si="94"/>
        <v>0</v>
      </c>
    </row>
    <row r="136" spans="1:28" x14ac:dyDescent="0.35">
      <c r="A136" s="49" t="s">
        <v>755</v>
      </c>
      <c r="B136" s="121" t="s">
        <v>756</v>
      </c>
      <c r="C136" s="28" t="s">
        <v>757</v>
      </c>
      <c r="D136" s="28"/>
      <c r="E136" s="49"/>
      <c r="F136" s="121" t="s">
        <v>624</v>
      </c>
      <c r="G136" s="49"/>
      <c r="H136" s="49"/>
      <c r="I136" s="49"/>
      <c r="J136" s="49"/>
      <c r="K136" s="49"/>
      <c r="L136" s="49"/>
      <c r="M136" s="131">
        <v>7.4999999999999997E-2</v>
      </c>
      <c r="N136" s="142">
        <f t="shared" ref="N136:N148" si="95">M136</f>
        <v>7.4999999999999997E-2</v>
      </c>
      <c r="O136" s="143">
        <f t="shared" si="93"/>
        <v>0</v>
      </c>
      <c r="P136" s="139">
        <f t="shared" ref="P136:P148" si="96">IF(N136="Cost Required - Purchasing",N136,N136/(1-O136))</f>
        <v>7.4999999999999997E-2</v>
      </c>
      <c r="Q136" s="317"/>
      <c r="R136" s="143">
        <f t="shared" si="91"/>
        <v>0</v>
      </c>
      <c r="S136" s="139">
        <f t="shared" ref="S136:S148" si="97">IF(N136="Cost Required - Purchasing",N136,N136/(1-R136))</f>
        <v>7.4999999999999997E-2</v>
      </c>
      <c r="T136" s="317"/>
      <c r="U136" s="143">
        <f t="shared" si="92"/>
        <v>0</v>
      </c>
      <c r="V136" s="139">
        <f t="shared" ref="V136:V148" si="98">IF(N136="Cost Required - Purchasing",N136,N136/(1-U136))</f>
        <v>7.4999999999999997E-2</v>
      </c>
      <c r="W136" s="49"/>
      <c r="X136" s="15"/>
      <c r="Y136" s="125">
        <f t="shared" ref="Y136:Y148" si="99">+M136</f>
        <v>7.4999999999999997E-2</v>
      </c>
      <c r="Z136" s="126"/>
      <c r="AA136" s="127"/>
      <c r="AB136" s="128">
        <f t="shared" ref="AB136:AB148" si="100">+IFERROR(((Y136-Z136)/Z136),0%)</f>
        <v>0</v>
      </c>
    </row>
    <row r="137" spans="1:28" x14ac:dyDescent="0.35">
      <c r="A137" s="49" t="s">
        <v>755</v>
      </c>
      <c r="B137" s="121" t="s">
        <v>756</v>
      </c>
      <c r="C137" s="28" t="s">
        <v>758</v>
      </c>
      <c r="D137" s="28"/>
      <c r="E137" s="49"/>
      <c r="F137" s="121" t="s">
        <v>624</v>
      </c>
      <c r="G137" s="49"/>
      <c r="H137" s="49"/>
      <c r="I137" s="49"/>
      <c r="J137" s="49"/>
      <c r="K137" s="49"/>
      <c r="L137" s="49"/>
      <c r="M137" s="131">
        <v>0.06</v>
      </c>
      <c r="N137" s="142">
        <f t="shared" si="95"/>
        <v>0.06</v>
      </c>
      <c r="O137" s="143">
        <f t="shared" si="93"/>
        <v>0</v>
      </c>
      <c r="P137" s="139">
        <f t="shared" si="96"/>
        <v>0.06</v>
      </c>
      <c r="Q137" s="317"/>
      <c r="R137" s="143">
        <f t="shared" si="91"/>
        <v>0</v>
      </c>
      <c r="S137" s="139">
        <f t="shared" si="97"/>
        <v>0.06</v>
      </c>
      <c r="T137" s="317"/>
      <c r="U137" s="143">
        <f t="shared" si="92"/>
        <v>0</v>
      </c>
      <c r="V137" s="139">
        <f t="shared" si="98"/>
        <v>0.06</v>
      </c>
      <c r="W137" s="49"/>
      <c r="X137" s="15"/>
      <c r="Y137" s="125">
        <f t="shared" si="99"/>
        <v>0.06</v>
      </c>
      <c r="Z137" s="126"/>
      <c r="AA137" s="127"/>
      <c r="AB137" s="128">
        <f t="shared" si="100"/>
        <v>0</v>
      </c>
    </row>
    <row r="138" spans="1:28" x14ac:dyDescent="0.35">
      <c r="A138" s="49" t="s">
        <v>755</v>
      </c>
      <c r="B138" s="121" t="s">
        <v>756</v>
      </c>
      <c r="C138" s="28" t="s">
        <v>759</v>
      </c>
      <c r="D138" s="28"/>
      <c r="E138" s="49"/>
      <c r="F138" s="121" t="s">
        <v>624</v>
      </c>
      <c r="G138" s="49"/>
      <c r="H138" s="49"/>
      <c r="I138" s="49"/>
      <c r="J138" s="49"/>
      <c r="K138" s="49"/>
      <c r="L138" s="49"/>
      <c r="M138" s="131">
        <v>0.06</v>
      </c>
      <c r="N138" s="142">
        <f t="shared" si="95"/>
        <v>0.06</v>
      </c>
      <c r="O138" s="143">
        <f t="shared" si="93"/>
        <v>0</v>
      </c>
      <c r="P138" s="139">
        <f t="shared" si="96"/>
        <v>0.06</v>
      </c>
      <c r="Q138" s="317"/>
      <c r="R138" s="143">
        <f t="shared" si="91"/>
        <v>0</v>
      </c>
      <c r="S138" s="139">
        <f t="shared" si="97"/>
        <v>0.06</v>
      </c>
      <c r="T138" s="317"/>
      <c r="U138" s="143">
        <f t="shared" si="92"/>
        <v>0</v>
      </c>
      <c r="V138" s="139">
        <f t="shared" si="98"/>
        <v>0.06</v>
      </c>
      <c r="W138" s="49"/>
      <c r="X138" s="15"/>
      <c r="Y138" s="125">
        <f t="shared" si="99"/>
        <v>0.06</v>
      </c>
      <c r="Z138" s="126"/>
      <c r="AA138" s="127"/>
      <c r="AB138" s="128">
        <f t="shared" si="100"/>
        <v>0</v>
      </c>
    </row>
    <row r="139" spans="1:28" ht="31" x14ac:dyDescent="0.35">
      <c r="A139" s="49" t="s">
        <v>755</v>
      </c>
      <c r="B139" s="121" t="s">
        <v>756</v>
      </c>
      <c r="C139" s="28" t="s">
        <v>760</v>
      </c>
      <c r="D139" s="28"/>
      <c r="E139" s="49"/>
      <c r="F139" s="121" t="s">
        <v>624</v>
      </c>
      <c r="G139" s="49"/>
      <c r="H139" s="49"/>
      <c r="I139" s="49"/>
      <c r="J139" s="49"/>
      <c r="K139" s="49"/>
      <c r="L139" s="49"/>
      <c r="M139" s="131">
        <v>6.5000000000000002E-2</v>
      </c>
      <c r="N139" s="142">
        <f t="shared" si="95"/>
        <v>6.5000000000000002E-2</v>
      </c>
      <c r="O139" s="143">
        <f t="shared" si="93"/>
        <v>0</v>
      </c>
      <c r="P139" s="139">
        <f t="shared" si="96"/>
        <v>6.5000000000000002E-2</v>
      </c>
      <c r="Q139" s="317"/>
      <c r="R139" s="143">
        <f t="shared" si="91"/>
        <v>0</v>
      </c>
      <c r="S139" s="139">
        <f t="shared" si="97"/>
        <v>6.5000000000000002E-2</v>
      </c>
      <c r="T139" s="317"/>
      <c r="U139" s="143">
        <f t="shared" si="92"/>
        <v>0</v>
      </c>
      <c r="V139" s="139">
        <f t="shared" si="98"/>
        <v>6.5000000000000002E-2</v>
      </c>
      <c r="W139" s="49"/>
      <c r="X139" s="15"/>
      <c r="Y139" s="125">
        <f t="shared" si="99"/>
        <v>6.5000000000000002E-2</v>
      </c>
      <c r="Z139" s="126"/>
      <c r="AA139" s="127"/>
      <c r="AB139" s="128">
        <f t="shared" si="100"/>
        <v>0</v>
      </c>
    </row>
    <row r="140" spans="1:28" x14ac:dyDescent="0.35">
      <c r="A140" s="49" t="s">
        <v>755</v>
      </c>
      <c r="B140" s="121" t="s">
        <v>756</v>
      </c>
      <c r="C140" s="28" t="s">
        <v>761</v>
      </c>
      <c r="D140" s="28"/>
      <c r="E140" s="49"/>
      <c r="F140" s="121" t="s">
        <v>624</v>
      </c>
      <c r="G140" s="49"/>
      <c r="H140" s="49"/>
      <c r="I140" s="49"/>
      <c r="J140" s="49"/>
      <c r="K140" s="49"/>
      <c r="L140" s="49"/>
      <c r="M140" s="131">
        <v>1.0999999999999999E-2</v>
      </c>
      <c r="N140" s="142">
        <f t="shared" si="95"/>
        <v>1.0999999999999999E-2</v>
      </c>
      <c r="O140" s="143">
        <f t="shared" si="93"/>
        <v>0</v>
      </c>
      <c r="P140" s="139">
        <f t="shared" si="96"/>
        <v>1.0999999999999999E-2</v>
      </c>
      <c r="Q140" s="317"/>
      <c r="R140" s="143">
        <f t="shared" si="91"/>
        <v>0</v>
      </c>
      <c r="S140" s="139">
        <f t="shared" si="97"/>
        <v>1.0999999999999999E-2</v>
      </c>
      <c r="T140" s="317"/>
      <c r="U140" s="143">
        <f t="shared" si="92"/>
        <v>0</v>
      </c>
      <c r="V140" s="139">
        <f t="shared" si="98"/>
        <v>1.0999999999999999E-2</v>
      </c>
      <c r="W140" s="49"/>
      <c r="X140" s="15"/>
      <c r="Y140" s="125">
        <f t="shared" si="99"/>
        <v>1.0999999999999999E-2</v>
      </c>
      <c r="Z140" s="126"/>
      <c r="AA140" s="127"/>
      <c r="AB140" s="128">
        <f t="shared" si="100"/>
        <v>0</v>
      </c>
    </row>
    <row r="141" spans="1:28" x14ac:dyDescent="0.35">
      <c r="A141" s="49" t="s">
        <v>755</v>
      </c>
      <c r="B141" s="121" t="s">
        <v>756</v>
      </c>
      <c r="C141" s="28" t="s">
        <v>762</v>
      </c>
      <c r="D141" s="28"/>
      <c r="E141" s="49"/>
      <c r="F141" s="121" t="s">
        <v>624</v>
      </c>
      <c r="G141" s="49"/>
      <c r="H141" s="49"/>
      <c r="I141" s="49"/>
      <c r="J141" s="49"/>
      <c r="K141" s="49"/>
      <c r="L141" s="49"/>
      <c r="M141" s="131">
        <v>0.18</v>
      </c>
      <c r="N141" s="142">
        <f t="shared" si="95"/>
        <v>0.18</v>
      </c>
      <c r="O141" s="143">
        <f t="shared" si="93"/>
        <v>0</v>
      </c>
      <c r="P141" s="139">
        <f t="shared" si="96"/>
        <v>0.18</v>
      </c>
      <c r="Q141" s="317"/>
      <c r="R141" s="143">
        <f t="shared" si="91"/>
        <v>0</v>
      </c>
      <c r="S141" s="139">
        <f t="shared" si="97"/>
        <v>0.18</v>
      </c>
      <c r="T141" s="317"/>
      <c r="U141" s="143">
        <f t="shared" si="92"/>
        <v>0</v>
      </c>
      <c r="V141" s="139">
        <f t="shared" si="98"/>
        <v>0.18</v>
      </c>
      <c r="W141" s="49"/>
      <c r="X141" s="15"/>
      <c r="Y141" s="125">
        <f t="shared" si="99"/>
        <v>0.18</v>
      </c>
      <c r="Z141" s="126"/>
      <c r="AA141" s="127"/>
      <c r="AB141" s="128">
        <f t="shared" si="100"/>
        <v>0</v>
      </c>
    </row>
    <row r="142" spans="1:28" x14ac:dyDescent="0.35">
      <c r="A142" s="49" t="s">
        <v>755</v>
      </c>
      <c r="B142" s="121" t="s">
        <v>756</v>
      </c>
      <c r="C142" s="28" t="s">
        <v>763</v>
      </c>
      <c r="D142" s="28"/>
      <c r="E142" s="49"/>
      <c r="F142" s="121" t="s">
        <v>624</v>
      </c>
      <c r="G142" s="49"/>
      <c r="H142" s="49"/>
      <c r="I142" s="49"/>
      <c r="J142" s="49"/>
      <c r="K142" s="49"/>
      <c r="L142" s="49"/>
      <c r="M142" s="131">
        <v>0.18</v>
      </c>
      <c r="N142" s="142">
        <f t="shared" si="95"/>
        <v>0.18</v>
      </c>
      <c r="O142" s="143">
        <f t="shared" si="93"/>
        <v>0</v>
      </c>
      <c r="P142" s="139">
        <f t="shared" si="96"/>
        <v>0.18</v>
      </c>
      <c r="Q142" s="317"/>
      <c r="R142" s="143">
        <f t="shared" si="91"/>
        <v>0</v>
      </c>
      <c r="S142" s="139">
        <f t="shared" si="97"/>
        <v>0.18</v>
      </c>
      <c r="T142" s="317"/>
      <c r="U142" s="143">
        <f t="shared" si="92"/>
        <v>0</v>
      </c>
      <c r="V142" s="139">
        <f t="shared" si="98"/>
        <v>0.18</v>
      </c>
      <c r="W142" s="49"/>
      <c r="X142" s="15"/>
      <c r="Y142" s="125">
        <f t="shared" si="99"/>
        <v>0.18</v>
      </c>
      <c r="Z142" s="126"/>
      <c r="AA142" s="127"/>
      <c r="AB142" s="128">
        <f t="shared" si="100"/>
        <v>0</v>
      </c>
    </row>
    <row r="143" spans="1:28" x14ac:dyDescent="0.35">
      <c r="A143" s="49" t="s">
        <v>755</v>
      </c>
      <c r="B143" s="121" t="s">
        <v>756</v>
      </c>
      <c r="C143" s="28" t="s">
        <v>764</v>
      </c>
      <c r="D143" s="28"/>
      <c r="E143" s="49"/>
      <c r="F143" s="121" t="s">
        <v>624</v>
      </c>
      <c r="G143" s="49"/>
      <c r="H143" s="49"/>
      <c r="I143" s="49"/>
      <c r="J143" s="49"/>
      <c r="K143" s="49"/>
      <c r="L143" s="49"/>
      <c r="M143" s="131">
        <v>0.36</v>
      </c>
      <c r="N143" s="142">
        <f t="shared" si="95"/>
        <v>0.36</v>
      </c>
      <c r="O143" s="143">
        <f t="shared" si="93"/>
        <v>0</v>
      </c>
      <c r="P143" s="139">
        <f t="shared" si="96"/>
        <v>0.36</v>
      </c>
      <c r="Q143" s="317"/>
      <c r="R143" s="143">
        <f t="shared" si="91"/>
        <v>0</v>
      </c>
      <c r="S143" s="139">
        <f t="shared" si="97"/>
        <v>0.36</v>
      </c>
      <c r="T143" s="317"/>
      <c r="U143" s="143">
        <f t="shared" si="92"/>
        <v>0</v>
      </c>
      <c r="V143" s="139">
        <f t="shared" si="98"/>
        <v>0.36</v>
      </c>
      <c r="W143" s="49"/>
      <c r="X143" s="15"/>
      <c r="Y143" s="125">
        <f t="shared" si="99"/>
        <v>0.36</v>
      </c>
      <c r="Z143" s="126"/>
      <c r="AA143" s="127"/>
      <c r="AB143" s="128">
        <f t="shared" si="100"/>
        <v>0</v>
      </c>
    </row>
    <row r="144" spans="1:28" x14ac:dyDescent="0.35">
      <c r="A144" s="49" t="s">
        <v>755</v>
      </c>
      <c r="B144" s="121" t="s">
        <v>756</v>
      </c>
      <c r="C144" s="28" t="s">
        <v>765</v>
      </c>
      <c r="D144" s="28"/>
      <c r="E144" s="49"/>
      <c r="F144" s="121" t="s">
        <v>624</v>
      </c>
      <c r="G144" s="49"/>
      <c r="H144" s="49"/>
      <c r="I144" s="49"/>
      <c r="J144" s="49"/>
      <c r="K144" s="49"/>
      <c r="L144" s="49"/>
      <c r="M144" s="131">
        <v>0.35</v>
      </c>
      <c r="N144" s="142">
        <f t="shared" si="95"/>
        <v>0.35</v>
      </c>
      <c r="O144" s="143">
        <f t="shared" si="93"/>
        <v>0</v>
      </c>
      <c r="P144" s="139">
        <f t="shared" si="96"/>
        <v>0.35</v>
      </c>
      <c r="Q144" s="317"/>
      <c r="R144" s="143">
        <f t="shared" si="91"/>
        <v>0</v>
      </c>
      <c r="S144" s="139">
        <f t="shared" si="97"/>
        <v>0.35</v>
      </c>
      <c r="T144" s="317"/>
      <c r="U144" s="143">
        <f t="shared" si="92"/>
        <v>0</v>
      </c>
      <c r="V144" s="139">
        <f t="shared" si="98"/>
        <v>0.35</v>
      </c>
      <c r="W144" s="49"/>
      <c r="X144" s="15"/>
      <c r="Y144" s="125">
        <f t="shared" si="99"/>
        <v>0.35</v>
      </c>
      <c r="Z144" s="126"/>
      <c r="AA144" s="127"/>
      <c r="AB144" s="128">
        <f t="shared" si="100"/>
        <v>0</v>
      </c>
    </row>
    <row r="145" spans="1:28" ht="31" x14ac:dyDescent="0.35">
      <c r="A145" s="49" t="s">
        <v>766</v>
      </c>
      <c r="B145" s="121" t="s">
        <v>756</v>
      </c>
      <c r="C145" s="28" t="s">
        <v>767</v>
      </c>
      <c r="D145" s="28"/>
      <c r="E145" s="49"/>
      <c r="F145" s="121" t="s">
        <v>624</v>
      </c>
      <c r="G145" s="49"/>
      <c r="H145" s="49"/>
      <c r="I145" s="49"/>
      <c r="J145" s="49"/>
      <c r="K145" s="49"/>
      <c r="L145" s="49"/>
      <c r="M145" s="131">
        <v>0.9</v>
      </c>
      <c r="N145" s="142">
        <f t="shared" si="95"/>
        <v>0.9</v>
      </c>
      <c r="O145" s="143">
        <f t="shared" si="93"/>
        <v>0</v>
      </c>
      <c r="P145" s="139">
        <f t="shared" si="96"/>
        <v>0.9</v>
      </c>
      <c r="Q145" s="317"/>
      <c r="R145" s="143">
        <f t="shared" si="91"/>
        <v>0</v>
      </c>
      <c r="S145" s="139">
        <f t="shared" si="97"/>
        <v>0.9</v>
      </c>
      <c r="T145" s="317"/>
      <c r="U145" s="143">
        <f t="shared" si="92"/>
        <v>0</v>
      </c>
      <c r="V145" s="139">
        <f t="shared" si="98"/>
        <v>0.9</v>
      </c>
      <c r="W145" s="49"/>
      <c r="X145" s="15"/>
      <c r="Y145" s="125">
        <f t="shared" si="99"/>
        <v>0.9</v>
      </c>
      <c r="Z145" s="126"/>
      <c r="AA145" s="127"/>
      <c r="AB145" s="128">
        <f t="shared" si="100"/>
        <v>0</v>
      </c>
    </row>
    <row r="146" spans="1:28" x14ac:dyDescent="0.35">
      <c r="A146" s="49" t="s">
        <v>766</v>
      </c>
      <c r="B146" s="121" t="s">
        <v>756</v>
      </c>
      <c r="C146" s="28" t="s">
        <v>768</v>
      </c>
      <c r="D146" s="28"/>
      <c r="E146" s="49"/>
      <c r="F146" s="121" t="s">
        <v>624</v>
      </c>
      <c r="G146" s="49"/>
      <c r="H146" s="49"/>
      <c r="I146" s="49"/>
      <c r="J146" s="49"/>
      <c r="K146" s="49"/>
      <c r="L146" s="49"/>
      <c r="M146" s="131">
        <v>0.36</v>
      </c>
      <c r="N146" s="142">
        <f t="shared" si="95"/>
        <v>0.36</v>
      </c>
      <c r="O146" s="143">
        <f t="shared" si="93"/>
        <v>0</v>
      </c>
      <c r="P146" s="139">
        <f t="shared" si="96"/>
        <v>0.36</v>
      </c>
      <c r="Q146" s="317"/>
      <c r="R146" s="143">
        <f t="shared" si="91"/>
        <v>0</v>
      </c>
      <c r="S146" s="139">
        <f t="shared" si="97"/>
        <v>0.36</v>
      </c>
      <c r="T146" s="317"/>
      <c r="U146" s="143">
        <f t="shared" si="92"/>
        <v>0</v>
      </c>
      <c r="V146" s="139">
        <f t="shared" si="98"/>
        <v>0.36</v>
      </c>
      <c r="W146" s="49"/>
      <c r="X146" s="15"/>
      <c r="Y146" s="125">
        <f t="shared" si="99"/>
        <v>0.36</v>
      </c>
      <c r="Z146" s="126"/>
      <c r="AA146" s="127"/>
      <c r="AB146" s="128">
        <f t="shared" si="100"/>
        <v>0</v>
      </c>
    </row>
    <row r="147" spans="1:28" x14ac:dyDescent="0.35">
      <c r="A147" s="49" t="s">
        <v>766</v>
      </c>
      <c r="B147" s="121" t="s">
        <v>756</v>
      </c>
      <c r="C147" s="28" t="s">
        <v>769</v>
      </c>
      <c r="D147" s="28"/>
      <c r="E147" s="49"/>
      <c r="F147" s="121" t="s">
        <v>624</v>
      </c>
      <c r="G147" s="49"/>
      <c r="H147" s="49"/>
      <c r="I147" s="49"/>
      <c r="J147" s="49"/>
      <c r="K147" s="49"/>
      <c r="L147" s="49"/>
      <c r="M147" s="131">
        <v>1.93</v>
      </c>
      <c r="N147" s="142">
        <f t="shared" si="95"/>
        <v>1.93</v>
      </c>
      <c r="O147" s="143">
        <f t="shared" si="93"/>
        <v>0</v>
      </c>
      <c r="P147" s="139">
        <f t="shared" si="96"/>
        <v>1.93</v>
      </c>
      <c r="Q147" s="317"/>
      <c r="R147" s="143">
        <f t="shared" si="91"/>
        <v>0</v>
      </c>
      <c r="S147" s="139">
        <f t="shared" si="97"/>
        <v>1.93</v>
      </c>
      <c r="T147" s="317"/>
      <c r="U147" s="143">
        <f t="shared" si="92"/>
        <v>0</v>
      </c>
      <c r="V147" s="139">
        <f t="shared" si="98"/>
        <v>1.93</v>
      </c>
      <c r="W147" s="49"/>
      <c r="X147" s="15"/>
      <c r="Y147" s="125">
        <f t="shared" si="99"/>
        <v>1.93</v>
      </c>
      <c r="Z147" s="126"/>
      <c r="AA147" s="127"/>
      <c r="AB147" s="128">
        <f t="shared" si="100"/>
        <v>0</v>
      </c>
    </row>
    <row r="148" spans="1:28" x14ac:dyDescent="0.35">
      <c r="A148" s="49" t="s">
        <v>766</v>
      </c>
      <c r="B148" s="121" t="s">
        <v>756</v>
      </c>
      <c r="C148" s="28" t="s">
        <v>770</v>
      </c>
      <c r="D148" s="28"/>
      <c r="E148" s="49"/>
      <c r="F148" s="121" t="s">
        <v>624</v>
      </c>
      <c r="G148" s="49"/>
      <c r="H148" s="49"/>
      <c r="I148" s="49"/>
      <c r="J148" s="49"/>
      <c r="K148" s="49"/>
      <c r="L148" s="49"/>
      <c r="M148" s="131">
        <v>0.31</v>
      </c>
      <c r="N148" s="142">
        <f t="shared" si="95"/>
        <v>0.31</v>
      </c>
      <c r="O148" s="143">
        <f t="shared" si="93"/>
        <v>0</v>
      </c>
      <c r="P148" s="139">
        <f t="shared" si="96"/>
        <v>0.31</v>
      </c>
      <c r="Q148" s="317"/>
      <c r="R148" s="143">
        <f t="shared" si="91"/>
        <v>0</v>
      </c>
      <c r="S148" s="139">
        <f t="shared" si="97"/>
        <v>0.31</v>
      </c>
      <c r="T148" s="317"/>
      <c r="U148" s="143">
        <f t="shared" si="92"/>
        <v>0</v>
      </c>
      <c r="V148" s="139">
        <f t="shared" si="98"/>
        <v>0.31</v>
      </c>
      <c r="W148" s="49"/>
      <c r="X148" s="15"/>
      <c r="Y148" s="125">
        <f t="shared" si="99"/>
        <v>0.31</v>
      </c>
      <c r="Z148" s="126"/>
      <c r="AA148" s="127"/>
      <c r="AB148" s="128">
        <f t="shared" si="100"/>
        <v>0</v>
      </c>
    </row>
    <row r="149" spans="1:28" x14ac:dyDescent="0.35">
      <c r="A149" s="49" t="s">
        <v>771</v>
      </c>
      <c r="B149" s="121" t="s">
        <v>496</v>
      </c>
      <c r="C149" s="462" t="s">
        <v>772</v>
      </c>
      <c r="D149" s="28"/>
      <c r="E149" s="49"/>
      <c r="F149" s="121" t="s">
        <v>624</v>
      </c>
      <c r="G149" s="49"/>
      <c r="H149" s="49"/>
      <c r="I149" s="49"/>
      <c r="J149" s="49"/>
      <c r="K149" s="49"/>
      <c r="L149" s="49"/>
      <c r="M149" s="131">
        <v>117</v>
      </c>
      <c r="N149" s="142">
        <f t="shared" si="83"/>
        <v>117</v>
      </c>
      <c r="O149" s="143">
        <f t="shared" si="93"/>
        <v>0</v>
      </c>
      <c r="P149" s="139">
        <f t="shared" si="76"/>
        <v>117</v>
      </c>
      <c r="Q149" s="317"/>
      <c r="R149" s="143">
        <f t="shared" si="91"/>
        <v>0</v>
      </c>
      <c r="S149" s="139">
        <f t="shared" si="72"/>
        <v>117</v>
      </c>
      <c r="T149" s="317"/>
      <c r="U149" s="143">
        <f t="shared" si="92"/>
        <v>0</v>
      </c>
      <c r="V149" s="139">
        <f t="shared" si="74"/>
        <v>117</v>
      </c>
      <c r="W149" s="49"/>
      <c r="X149" s="15"/>
      <c r="Y149" s="125">
        <f t="shared" si="84"/>
        <v>117</v>
      </c>
      <c r="Z149" s="126"/>
      <c r="AA149" s="127"/>
      <c r="AB149" s="128">
        <f t="shared" si="94"/>
        <v>0</v>
      </c>
    </row>
    <row r="150" spans="1:28" ht="31" x14ac:dyDescent="0.35">
      <c r="A150" s="49" t="s">
        <v>773</v>
      </c>
      <c r="B150" s="121" t="s">
        <v>165</v>
      </c>
      <c r="C150" s="28" t="s">
        <v>165</v>
      </c>
      <c r="D150" s="28" t="s">
        <v>774</v>
      </c>
      <c r="E150" s="49"/>
      <c r="F150" s="121" t="s">
        <v>624</v>
      </c>
      <c r="G150" s="49"/>
      <c r="H150" s="49"/>
      <c r="I150" s="49"/>
      <c r="J150" s="49"/>
      <c r="K150" s="49"/>
      <c r="L150" s="49"/>
      <c r="M150" s="131">
        <v>1.87</v>
      </c>
      <c r="N150" s="142">
        <f t="shared" si="83"/>
        <v>1.87</v>
      </c>
      <c r="O150" s="143">
        <f t="shared" si="93"/>
        <v>0</v>
      </c>
      <c r="P150" s="139">
        <f t="shared" si="76"/>
        <v>1.87</v>
      </c>
      <c r="Q150" s="317"/>
      <c r="R150" s="143">
        <f t="shared" si="91"/>
        <v>0</v>
      </c>
      <c r="S150" s="139">
        <f t="shared" si="72"/>
        <v>1.87</v>
      </c>
      <c r="T150" s="317"/>
      <c r="U150" s="143">
        <f t="shared" si="92"/>
        <v>0</v>
      </c>
      <c r="V150" s="139">
        <f t="shared" si="74"/>
        <v>1.87</v>
      </c>
      <c r="W150" s="49"/>
      <c r="X150" s="15"/>
      <c r="Y150" s="125">
        <f t="shared" si="84"/>
        <v>1.87</v>
      </c>
      <c r="Z150" s="126"/>
      <c r="AA150" s="127"/>
      <c r="AB150" s="128">
        <f t="shared" si="94"/>
        <v>0</v>
      </c>
    </row>
    <row r="151" spans="1:28" x14ac:dyDescent="0.35">
      <c r="A151" s="49" t="s">
        <v>773</v>
      </c>
      <c r="B151" s="121" t="s">
        <v>497</v>
      </c>
      <c r="C151" s="28" t="s">
        <v>221</v>
      </c>
      <c r="D151" s="28"/>
      <c r="E151" s="49"/>
      <c r="F151" s="121" t="s">
        <v>624</v>
      </c>
      <c r="G151" s="49"/>
      <c r="H151" s="49"/>
      <c r="I151" s="49"/>
      <c r="J151" s="49"/>
      <c r="K151" s="49"/>
      <c r="L151" s="49"/>
      <c r="M151" s="131">
        <v>2.27</v>
      </c>
      <c r="N151" s="142">
        <f t="shared" si="83"/>
        <v>2.27</v>
      </c>
      <c r="O151" s="143">
        <f t="shared" si="93"/>
        <v>0</v>
      </c>
      <c r="P151" s="139">
        <f t="shared" si="76"/>
        <v>2.27</v>
      </c>
      <c r="Q151" s="317"/>
      <c r="R151" s="143">
        <f t="shared" si="91"/>
        <v>0</v>
      </c>
      <c r="S151" s="139">
        <f t="shared" si="72"/>
        <v>2.27</v>
      </c>
      <c r="T151" s="317"/>
      <c r="U151" s="143">
        <f t="shared" si="92"/>
        <v>0</v>
      </c>
      <c r="V151" s="139">
        <f t="shared" si="74"/>
        <v>2.27</v>
      </c>
      <c r="W151" s="49"/>
      <c r="X151" s="15"/>
      <c r="Y151" s="125">
        <f t="shared" si="84"/>
        <v>2.27</v>
      </c>
      <c r="Z151" s="126"/>
      <c r="AA151" s="127"/>
      <c r="AB151" s="128">
        <f t="shared" si="94"/>
        <v>0</v>
      </c>
    </row>
    <row r="152" spans="1:28" x14ac:dyDescent="0.35">
      <c r="A152" s="49" t="s">
        <v>766</v>
      </c>
      <c r="B152" s="121" t="s">
        <v>497</v>
      </c>
      <c r="C152" s="28" t="s">
        <v>167</v>
      </c>
      <c r="D152" s="28"/>
      <c r="E152" s="49"/>
      <c r="F152" s="121" t="s">
        <v>624</v>
      </c>
      <c r="G152" s="49"/>
      <c r="H152" s="49"/>
      <c r="I152" s="49"/>
      <c r="J152" s="49"/>
      <c r="K152" s="49"/>
      <c r="L152" s="49"/>
      <c r="M152" s="131">
        <v>9.4536999999999995</v>
      </c>
      <c r="N152" s="142">
        <f t="shared" si="83"/>
        <v>9.4536999999999995</v>
      </c>
      <c r="O152" s="143">
        <f t="shared" si="93"/>
        <v>0</v>
      </c>
      <c r="P152" s="139">
        <f t="shared" si="76"/>
        <v>9.4536999999999995</v>
      </c>
      <c r="Q152" s="317"/>
      <c r="R152" s="143">
        <f t="shared" ref="R152:R183" si="101">+$AI$11</f>
        <v>0</v>
      </c>
      <c r="S152" s="139">
        <f t="shared" si="72"/>
        <v>9.4536999999999995</v>
      </c>
      <c r="T152" s="317"/>
      <c r="U152" s="143">
        <f t="shared" ref="U152:U183" si="102">+$AL$11</f>
        <v>0</v>
      </c>
      <c r="V152" s="139">
        <f t="shared" si="74"/>
        <v>9.4536999999999995</v>
      </c>
      <c r="W152" s="49"/>
      <c r="X152" s="15"/>
      <c r="Y152" s="125">
        <f t="shared" si="84"/>
        <v>9.4536999999999995</v>
      </c>
      <c r="Z152" s="126"/>
      <c r="AA152" s="127"/>
      <c r="AB152" s="128">
        <f t="shared" si="94"/>
        <v>0</v>
      </c>
    </row>
    <row r="153" spans="1:28" x14ac:dyDescent="0.35">
      <c r="A153" s="49" t="s">
        <v>755</v>
      </c>
      <c r="B153" s="121" t="s">
        <v>168</v>
      </c>
      <c r="C153" s="28" t="s">
        <v>223</v>
      </c>
      <c r="D153" s="28"/>
      <c r="E153" s="49"/>
      <c r="F153" s="121" t="s">
        <v>624</v>
      </c>
      <c r="G153" s="49"/>
      <c r="H153" s="49"/>
      <c r="I153" s="49"/>
      <c r="J153" s="49"/>
      <c r="K153" s="49"/>
      <c r="L153" s="49"/>
      <c r="M153" s="131">
        <v>7.05</v>
      </c>
      <c r="N153" s="142">
        <f t="shared" si="83"/>
        <v>7.05</v>
      </c>
      <c r="O153" s="143">
        <f t="shared" ref="O153:O184" si="103">+$AF$11</f>
        <v>0</v>
      </c>
      <c r="P153" s="139">
        <f t="shared" si="76"/>
        <v>7.05</v>
      </c>
      <c r="Q153" s="317"/>
      <c r="R153" s="143">
        <f t="shared" si="101"/>
        <v>0</v>
      </c>
      <c r="S153" s="139">
        <f t="shared" si="72"/>
        <v>7.05</v>
      </c>
      <c r="T153" s="317"/>
      <c r="U153" s="143">
        <f t="shared" si="102"/>
        <v>0</v>
      </c>
      <c r="V153" s="139">
        <f t="shared" si="74"/>
        <v>7.05</v>
      </c>
      <c r="W153" s="49"/>
      <c r="X153" s="15"/>
      <c r="Y153" s="125">
        <f t="shared" si="84"/>
        <v>7.05</v>
      </c>
      <c r="Z153" s="126"/>
      <c r="AA153" s="127"/>
      <c r="AB153" s="128">
        <f t="shared" si="94"/>
        <v>0</v>
      </c>
    </row>
    <row r="154" spans="1:28" x14ac:dyDescent="0.35">
      <c r="A154" s="49" t="s">
        <v>766</v>
      </c>
      <c r="B154" s="121" t="s">
        <v>169</v>
      </c>
      <c r="C154" s="28" t="s">
        <v>775</v>
      </c>
      <c r="D154" s="28"/>
      <c r="E154" s="49"/>
      <c r="F154" s="121" t="s">
        <v>624</v>
      </c>
      <c r="G154" s="49"/>
      <c r="H154" s="49"/>
      <c r="I154" s="49"/>
      <c r="J154" s="49"/>
      <c r="K154" s="49"/>
      <c r="L154" s="49"/>
      <c r="M154" s="131">
        <v>1.93</v>
      </c>
      <c r="N154" s="142">
        <f t="shared" si="83"/>
        <v>1.93</v>
      </c>
      <c r="O154" s="143">
        <f t="shared" si="103"/>
        <v>0</v>
      </c>
      <c r="P154" s="139">
        <f t="shared" si="76"/>
        <v>1.93</v>
      </c>
      <c r="Q154" s="317"/>
      <c r="R154" s="143">
        <f t="shared" si="101"/>
        <v>0</v>
      </c>
      <c r="S154" s="139">
        <f t="shared" si="72"/>
        <v>1.93</v>
      </c>
      <c r="T154" s="317"/>
      <c r="U154" s="143">
        <f t="shared" si="102"/>
        <v>0</v>
      </c>
      <c r="V154" s="139">
        <f t="shared" si="74"/>
        <v>1.93</v>
      </c>
      <c r="W154" s="49"/>
      <c r="X154" s="15"/>
      <c r="Y154" s="125">
        <f t="shared" si="84"/>
        <v>1.93</v>
      </c>
      <c r="Z154" s="126"/>
      <c r="AA154" s="127"/>
      <c r="AB154" s="128">
        <f t="shared" si="94"/>
        <v>0</v>
      </c>
    </row>
    <row r="155" spans="1:28" x14ac:dyDescent="0.35">
      <c r="A155" s="49" t="s">
        <v>621</v>
      </c>
      <c r="B155" s="121" t="s">
        <v>169</v>
      </c>
      <c r="C155" s="28" t="s">
        <v>776</v>
      </c>
      <c r="D155" s="28"/>
      <c r="E155" s="49"/>
      <c r="F155" s="121" t="s">
        <v>624</v>
      </c>
      <c r="G155" s="49"/>
      <c r="H155" s="49"/>
      <c r="I155" s="49"/>
      <c r="J155" s="49"/>
      <c r="K155" s="49"/>
      <c r="L155" s="49"/>
      <c r="M155" s="131">
        <v>0.95</v>
      </c>
      <c r="N155" s="142">
        <f t="shared" si="83"/>
        <v>0.95</v>
      </c>
      <c r="O155" s="143">
        <f t="shared" si="103"/>
        <v>0</v>
      </c>
      <c r="P155" s="139">
        <f t="shared" si="76"/>
        <v>0.95</v>
      </c>
      <c r="Q155" s="317"/>
      <c r="R155" s="143">
        <f t="shared" si="101"/>
        <v>0</v>
      </c>
      <c r="S155" s="139">
        <f t="shared" si="72"/>
        <v>0.95</v>
      </c>
      <c r="T155" s="317"/>
      <c r="U155" s="143">
        <f t="shared" si="102"/>
        <v>0</v>
      </c>
      <c r="V155" s="139">
        <f t="shared" si="74"/>
        <v>0.95</v>
      </c>
      <c r="W155" s="49"/>
      <c r="X155" s="15"/>
      <c r="Y155" s="125">
        <f t="shared" si="84"/>
        <v>0.95</v>
      </c>
      <c r="Z155" s="126"/>
      <c r="AA155" s="127"/>
      <c r="AB155" s="128">
        <f t="shared" si="94"/>
        <v>0</v>
      </c>
    </row>
    <row r="156" spans="1:28" x14ac:dyDescent="0.35">
      <c r="A156" s="49" t="s">
        <v>766</v>
      </c>
      <c r="B156" s="121" t="s">
        <v>169</v>
      </c>
      <c r="C156" s="28" t="s">
        <v>777</v>
      </c>
      <c r="D156" s="28"/>
      <c r="E156" s="49"/>
      <c r="F156" s="121" t="s">
        <v>624</v>
      </c>
      <c r="G156" s="49"/>
      <c r="H156" s="49"/>
      <c r="I156" s="49"/>
      <c r="J156" s="49"/>
      <c r="K156" s="49"/>
      <c r="L156" s="49"/>
      <c r="M156" s="131">
        <v>1.5</v>
      </c>
      <c r="N156" s="142">
        <f t="shared" si="83"/>
        <v>1.5</v>
      </c>
      <c r="O156" s="143">
        <f t="shared" si="103"/>
        <v>0</v>
      </c>
      <c r="P156" s="139">
        <f t="shared" si="76"/>
        <v>1.5</v>
      </c>
      <c r="Q156" s="317"/>
      <c r="R156" s="143">
        <f t="shared" si="101"/>
        <v>0</v>
      </c>
      <c r="S156" s="139">
        <f t="shared" si="72"/>
        <v>1.5</v>
      </c>
      <c r="T156" s="317"/>
      <c r="U156" s="143">
        <f t="shared" si="102"/>
        <v>0</v>
      </c>
      <c r="V156" s="139">
        <f t="shared" si="74"/>
        <v>1.5</v>
      </c>
      <c r="W156" s="49"/>
      <c r="X156" s="15"/>
      <c r="Y156" s="125">
        <f t="shared" si="84"/>
        <v>1.5</v>
      </c>
      <c r="Z156" s="126"/>
      <c r="AA156" s="127"/>
      <c r="AB156" s="128">
        <f t="shared" si="94"/>
        <v>0</v>
      </c>
    </row>
    <row r="157" spans="1:28" x14ac:dyDescent="0.35">
      <c r="A157" s="49" t="s">
        <v>778</v>
      </c>
      <c r="B157" s="121" t="s">
        <v>184</v>
      </c>
      <c r="C157" s="28" t="s">
        <v>779</v>
      </c>
      <c r="D157" s="28"/>
      <c r="E157" s="49"/>
      <c r="F157" s="121" t="s">
        <v>780</v>
      </c>
      <c r="G157" s="49"/>
      <c r="H157" s="49"/>
      <c r="I157" s="49"/>
      <c r="J157" s="49"/>
      <c r="K157" s="49"/>
      <c r="L157" s="49"/>
      <c r="M157" s="131">
        <v>12.2</v>
      </c>
      <c r="N157" s="142">
        <f t="shared" si="83"/>
        <v>12.2</v>
      </c>
      <c r="O157" s="143">
        <f t="shared" si="103"/>
        <v>0</v>
      </c>
      <c r="P157" s="139">
        <f t="shared" si="76"/>
        <v>12.2</v>
      </c>
      <c r="Q157" s="317"/>
      <c r="R157" s="143">
        <f t="shared" si="101"/>
        <v>0</v>
      </c>
      <c r="S157" s="139">
        <f t="shared" si="72"/>
        <v>12.2</v>
      </c>
      <c r="T157" s="317"/>
      <c r="U157" s="143">
        <f t="shared" si="102"/>
        <v>0</v>
      </c>
      <c r="V157" s="139">
        <f t="shared" si="74"/>
        <v>12.2</v>
      </c>
      <c r="W157" s="49"/>
      <c r="X157" s="15"/>
      <c r="Y157" s="125">
        <f t="shared" si="84"/>
        <v>12.2</v>
      </c>
      <c r="Z157" s="126"/>
      <c r="AA157" s="127"/>
      <c r="AB157" s="128">
        <f t="shared" si="94"/>
        <v>0</v>
      </c>
    </row>
    <row r="158" spans="1:28" x14ac:dyDescent="0.35">
      <c r="A158" s="49" t="s">
        <v>781</v>
      </c>
      <c r="B158" s="121" t="s">
        <v>782</v>
      </c>
      <c r="C158" s="28" t="s">
        <v>783</v>
      </c>
      <c r="D158" s="28"/>
      <c r="E158" s="49"/>
      <c r="F158" s="121" t="s">
        <v>784</v>
      </c>
      <c r="G158" s="49"/>
      <c r="H158" s="49"/>
      <c r="I158" s="49"/>
      <c r="J158" s="49"/>
      <c r="K158" s="49"/>
      <c r="L158" s="49"/>
      <c r="M158" s="131">
        <v>9.5</v>
      </c>
      <c r="N158" s="142">
        <f t="shared" si="83"/>
        <v>9.5</v>
      </c>
      <c r="O158" s="143">
        <f t="shared" si="103"/>
        <v>0</v>
      </c>
      <c r="P158" s="139">
        <f t="shared" si="76"/>
        <v>9.5</v>
      </c>
      <c r="Q158" s="317"/>
      <c r="R158" s="143">
        <f t="shared" si="101"/>
        <v>0</v>
      </c>
      <c r="S158" s="139">
        <f t="shared" si="72"/>
        <v>9.5</v>
      </c>
      <c r="T158" s="317"/>
      <c r="U158" s="143">
        <f t="shared" si="102"/>
        <v>0</v>
      </c>
      <c r="V158" s="139">
        <f t="shared" si="74"/>
        <v>9.5</v>
      </c>
      <c r="W158" s="49"/>
      <c r="X158" s="15"/>
      <c r="Y158" s="125">
        <f t="shared" si="84"/>
        <v>9.5</v>
      </c>
      <c r="Z158" s="126"/>
      <c r="AA158" s="127"/>
      <c r="AB158" s="128">
        <f t="shared" si="94"/>
        <v>0</v>
      </c>
    </row>
    <row r="159" spans="1:28" x14ac:dyDescent="0.35">
      <c r="A159" s="49" t="s">
        <v>778</v>
      </c>
      <c r="B159" s="121" t="s">
        <v>782</v>
      </c>
      <c r="C159" s="28" t="s">
        <v>785</v>
      </c>
      <c r="D159" s="28"/>
      <c r="E159" s="49"/>
      <c r="F159" s="121" t="s">
        <v>784</v>
      </c>
      <c r="G159" s="49"/>
      <c r="H159" s="49"/>
      <c r="I159" s="49"/>
      <c r="J159" s="49"/>
      <c r="K159" s="49"/>
      <c r="L159" s="49"/>
      <c r="M159" s="131">
        <v>3.92</v>
      </c>
      <c r="N159" s="142">
        <f t="shared" si="83"/>
        <v>3.92</v>
      </c>
      <c r="O159" s="143">
        <f t="shared" si="103"/>
        <v>0</v>
      </c>
      <c r="P159" s="139">
        <f t="shared" si="76"/>
        <v>3.92</v>
      </c>
      <c r="Q159" s="317"/>
      <c r="R159" s="143">
        <f t="shared" si="101"/>
        <v>0</v>
      </c>
      <c r="S159" s="139">
        <f t="shared" si="72"/>
        <v>3.92</v>
      </c>
      <c r="T159" s="317"/>
      <c r="U159" s="143">
        <f t="shared" si="102"/>
        <v>0</v>
      </c>
      <c r="V159" s="139">
        <f t="shared" si="74"/>
        <v>3.92</v>
      </c>
      <c r="W159" s="49"/>
      <c r="X159" s="15"/>
      <c r="Y159" s="125">
        <f t="shared" si="84"/>
        <v>3.92</v>
      </c>
      <c r="Z159" s="126"/>
      <c r="AA159" s="127"/>
      <c r="AB159" s="128">
        <f t="shared" si="94"/>
        <v>0</v>
      </c>
    </row>
    <row r="160" spans="1:28" x14ac:dyDescent="0.35">
      <c r="A160" s="49" t="s">
        <v>778</v>
      </c>
      <c r="B160" s="121" t="s">
        <v>782</v>
      </c>
      <c r="C160" s="28" t="s">
        <v>786</v>
      </c>
      <c r="D160" s="28"/>
      <c r="E160" s="49"/>
      <c r="F160" s="121" t="s">
        <v>784</v>
      </c>
      <c r="G160" s="49"/>
      <c r="H160" s="49"/>
      <c r="I160" s="49"/>
      <c r="J160" s="49"/>
      <c r="K160" s="49"/>
      <c r="L160" s="49"/>
      <c r="M160" s="131">
        <v>3.5</v>
      </c>
      <c r="N160" s="142">
        <f t="shared" si="83"/>
        <v>3.5</v>
      </c>
      <c r="O160" s="143">
        <f t="shared" si="103"/>
        <v>0</v>
      </c>
      <c r="P160" s="139">
        <f t="shared" si="76"/>
        <v>3.5</v>
      </c>
      <c r="Q160" s="317"/>
      <c r="R160" s="143">
        <f t="shared" si="101"/>
        <v>0</v>
      </c>
      <c r="S160" s="139">
        <f t="shared" si="72"/>
        <v>3.5</v>
      </c>
      <c r="T160" s="317"/>
      <c r="U160" s="143">
        <f t="shared" si="102"/>
        <v>0</v>
      </c>
      <c r="V160" s="139">
        <f t="shared" si="74"/>
        <v>3.5</v>
      </c>
      <c r="W160" s="49"/>
      <c r="X160" s="15"/>
      <c r="Y160" s="125">
        <f t="shared" si="84"/>
        <v>3.5</v>
      </c>
      <c r="Z160" s="126"/>
      <c r="AA160" s="127"/>
      <c r="AB160" s="128">
        <f t="shared" si="94"/>
        <v>0</v>
      </c>
    </row>
    <row r="161" spans="1:28" x14ac:dyDescent="0.35">
      <c r="A161" s="49" t="s">
        <v>787</v>
      </c>
      <c r="B161" s="146" t="s">
        <v>782</v>
      </c>
      <c r="C161" s="129" t="s">
        <v>788</v>
      </c>
      <c r="D161" s="28"/>
      <c r="E161" s="49"/>
      <c r="F161" s="121" t="s">
        <v>789</v>
      </c>
      <c r="G161" s="49"/>
      <c r="H161" s="49"/>
      <c r="I161" s="49"/>
      <c r="J161" s="49"/>
      <c r="K161" s="49"/>
      <c r="L161" s="49"/>
      <c r="M161" s="131">
        <v>16</v>
      </c>
      <c r="N161" s="142">
        <f t="shared" ref="N161" si="104">M161</f>
        <v>16</v>
      </c>
      <c r="O161" s="143">
        <f t="shared" si="103"/>
        <v>0</v>
      </c>
      <c r="P161" s="139">
        <f t="shared" ref="P161" si="105">IF(N161="Cost Required - Purchasing",N161,N161/(1-O161))</f>
        <v>16</v>
      </c>
      <c r="Q161" s="317"/>
      <c r="R161" s="143">
        <f t="shared" si="101"/>
        <v>0</v>
      </c>
      <c r="S161" s="139">
        <f t="shared" ref="S161" si="106">IF(N161="Cost Required - Purchasing",N161,N161/(1-R161))</f>
        <v>16</v>
      </c>
      <c r="T161" s="317"/>
      <c r="U161" s="143">
        <f t="shared" si="102"/>
        <v>0</v>
      </c>
      <c r="V161" s="139">
        <f t="shared" ref="V161" si="107">IF(N161="Cost Required - Purchasing",N161,N161/(1-U161))</f>
        <v>16</v>
      </c>
      <c r="W161" s="49"/>
      <c r="X161" s="15"/>
      <c r="Y161" s="125">
        <f t="shared" ref="Y161" si="108">+M161</f>
        <v>16</v>
      </c>
      <c r="Z161" s="126"/>
      <c r="AA161" s="127"/>
      <c r="AB161" s="128">
        <f t="shared" ref="AB161" si="109">+IFERROR(((Y161-Z161)/Z161),0%)</f>
        <v>0</v>
      </c>
    </row>
    <row r="162" spans="1:28" x14ac:dyDescent="0.35">
      <c r="A162" s="49" t="s">
        <v>621</v>
      </c>
      <c r="B162" s="121" t="s">
        <v>170</v>
      </c>
      <c r="C162" s="28" t="s">
        <v>227</v>
      </c>
      <c r="D162" s="28"/>
      <c r="E162" s="49"/>
      <c r="F162" s="121" t="s">
        <v>790</v>
      </c>
      <c r="G162" s="49"/>
      <c r="H162" s="49"/>
      <c r="I162" s="49"/>
      <c r="J162" s="49"/>
      <c r="K162" s="49"/>
      <c r="L162" s="49"/>
      <c r="M162" s="131">
        <v>7.01</v>
      </c>
      <c r="N162" s="142">
        <f t="shared" si="83"/>
        <v>7.01</v>
      </c>
      <c r="O162" s="143">
        <f t="shared" si="103"/>
        <v>0</v>
      </c>
      <c r="P162" s="139">
        <f t="shared" si="76"/>
        <v>7.01</v>
      </c>
      <c r="Q162" s="317"/>
      <c r="R162" s="143">
        <f t="shared" si="101"/>
        <v>0</v>
      </c>
      <c r="S162" s="139">
        <f t="shared" si="72"/>
        <v>7.01</v>
      </c>
      <c r="T162" s="317"/>
      <c r="U162" s="143">
        <f t="shared" si="102"/>
        <v>0</v>
      </c>
      <c r="V162" s="139">
        <f t="shared" si="74"/>
        <v>7.01</v>
      </c>
      <c r="W162" s="49"/>
      <c r="X162" s="15"/>
      <c r="Y162" s="125">
        <f t="shared" si="84"/>
        <v>7.01</v>
      </c>
      <c r="Z162" s="126"/>
      <c r="AA162" s="127"/>
      <c r="AB162" s="128">
        <f t="shared" si="94"/>
        <v>0</v>
      </c>
    </row>
    <row r="163" spans="1:28" x14ac:dyDescent="0.35">
      <c r="A163" s="49" t="s">
        <v>621</v>
      </c>
      <c r="B163" s="121" t="s">
        <v>170</v>
      </c>
      <c r="C163" s="28" t="s">
        <v>791</v>
      </c>
      <c r="D163" s="28"/>
      <c r="E163" s="49"/>
      <c r="F163" s="121" t="s">
        <v>790</v>
      </c>
      <c r="G163" s="49"/>
      <c r="H163" s="49"/>
      <c r="I163" s="49"/>
      <c r="J163" s="49"/>
      <c r="K163" s="49"/>
      <c r="L163" s="49"/>
      <c r="M163" s="131">
        <v>7.01</v>
      </c>
      <c r="N163" s="142">
        <f t="shared" ref="N163:N193" si="110">M163</f>
        <v>7.01</v>
      </c>
      <c r="O163" s="143">
        <f t="shared" si="103"/>
        <v>0</v>
      </c>
      <c r="P163" s="139">
        <f t="shared" si="76"/>
        <v>7.01</v>
      </c>
      <c r="Q163" s="317"/>
      <c r="R163" s="143">
        <f t="shared" si="101"/>
        <v>0</v>
      </c>
      <c r="S163" s="139">
        <f t="shared" si="72"/>
        <v>7.01</v>
      </c>
      <c r="T163" s="317"/>
      <c r="U163" s="143">
        <f t="shared" si="102"/>
        <v>0</v>
      </c>
      <c r="V163" s="139">
        <f t="shared" si="74"/>
        <v>7.01</v>
      </c>
      <c r="W163" s="49"/>
      <c r="X163" s="15"/>
      <c r="Y163" s="125">
        <f t="shared" ref="Y163:Y193" si="111">+M163</f>
        <v>7.01</v>
      </c>
      <c r="Z163" s="126"/>
      <c r="AA163" s="127"/>
      <c r="AB163" s="128">
        <f t="shared" si="94"/>
        <v>0</v>
      </c>
    </row>
    <row r="164" spans="1:28" x14ac:dyDescent="0.35">
      <c r="A164" s="49" t="s">
        <v>621</v>
      </c>
      <c r="B164" s="121" t="s">
        <v>170</v>
      </c>
      <c r="C164" s="28" t="s">
        <v>792</v>
      </c>
      <c r="D164" s="28"/>
      <c r="E164" s="49"/>
      <c r="F164" s="121" t="s">
        <v>790</v>
      </c>
      <c r="G164" s="49"/>
      <c r="H164" s="49"/>
      <c r="I164" s="49"/>
      <c r="J164" s="49"/>
      <c r="K164" s="49"/>
      <c r="L164" s="49"/>
      <c r="M164" s="131">
        <v>7.01</v>
      </c>
      <c r="N164" s="142">
        <f t="shared" si="110"/>
        <v>7.01</v>
      </c>
      <c r="O164" s="143">
        <f t="shared" si="103"/>
        <v>0</v>
      </c>
      <c r="P164" s="139">
        <f t="shared" si="76"/>
        <v>7.01</v>
      </c>
      <c r="Q164" s="317"/>
      <c r="R164" s="143">
        <f t="shared" si="101"/>
        <v>0</v>
      </c>
      <c r="S164" s="139">
        <f t="shared" si="72"/>
        <v>7.01</v>
      </c>
      <c r="T164" s="317"/>
      <c r="U164" s="143">
        <f t="shared" si="102"/>
        <v>0</v>
      </c>
      <c r="V164" s="139">
        <f t="shared" si="74"/>
        <v>7.01</v>
      </c>
      <c r="W164" s="49"/>
      <c r="X164" s="15"/>
      <c r="Y164" s="125">
        <f t="shared" si="111"/>
        <v>7.01</v>
      </c>
      <c r="Z164" s="126"/>
      <c r="AA164" s="127"/>
      <c r="AB164" s="128">
        <f t="shared" si="94"/>
        <v>0</v>
      </c>
    </row>
    <row r="165" spans="1:28" x14ac:dyDescent="0.35">
      <c r="A165" s="49" t="s">
        <v>793</v>
      </c>
      <c r="B165" s="121" t="s">
        <v>794</v>
      </c>
      <c r="C165" s="28" t="s">
        <v>552</v>
      </c>
      <c r="D165" s="28"/>
      <c r="E165" s="49"/>
      <c r="F165" s="121" t="s">
        <v>795</v>
      </c>
      <c r="G165" s="49"/>
      <c r="H165" s="49"/>
      <c r="I165" s="49"/>
      <c r="J165" s="49"/>
      <c r="K165" s="49"/>
      <c r="L165" s="49"/>
      <c r="M165" s="131">
        <v>16</v>
      </c>
      <c r="N165" s="142">
        <f t="shared" ref="N165:N169" si="112">M165</f>
        <v>16</v>
      </c>
      <c r="O165" s="143">
        <f t="shared" si="103"/>
        <v>0</v>
      </c>
      <c r="P165" s="139">
        <f t="shared" ref="P165:P169" si="113">IF(N165="Cost Required - Purchasing",N165,N165/(1-O165))</f>
        <v>16</v>
      </c>
      <c r="Q165" s="317"/>
      <c r="R165" s="143">
        <f t="shared" si="101"/>
        <v>0</v>
      </c>
      <c r="S165" s="139">
        <f t="shared" ref="S165:S169" si="114">IF(N165="Cost Required - Purchasing",N165,N165/(1-R165))</f>
        <v>16</v>
      </c>
      <c r="T165" s="317"/>
      <c r="U165" s="143">
        <f t="shared" si="102"/>
        <v>0</v>
      </c>
      <c r="V165" s="139">
        <f t="shared" ref="V165:V169" si="115">IF(N165="Cost Required - Purchasing",N165,N165/(1-U165))</f>
        <v>16</v>
      </c>
      <c r="W165" s="49"/>
      <c r="X165" s="15"/>
      <c r="Y165" s="125">
        <f t="shared" ref="Y165:Y169" si="116">+M165</f>
        <v>16</v>
      </c>
      <c r="Z165" s="126"/>
      <c r="AA165" s="127"/>
      <c r="AB165" s="128">
        <f t="shared" ref="AB165:AB169" si="117">+IFERROR(((Y165-Z165)/Z165),0%)</f>
        <v>0</v>
      </c>
    </row>
    <row r="166" spans="1:28" x14ac:dyDescent="0.35">
      <c r="A166" s="49" t="s">
        <v>793</v>
      </c>
      <c r="B166" s="121" t="s">
        <v>689</v>
      </c>
      <c r="C166" s="28" t="s">
        <v>796</v>
      </c>
      <c r="D166" s="28"/>
      <c r="E166" s="49"/>
      <c r="F166" s="121" t="s">
        <v>795</v>
      </c>
      <c r="G166" s="49"/>
      <c r="H166" s="49"/>
      <c r="I166" s="49"/>
      <c r="J166" s="49"/>
      <c r="K166" s="49"/>
      <c r="L166" s="49"/>
      <c r="M166" s="131">
        <v>53.53</v>
      </c>
      <c r="N166" s="142">
        <f t="shared" si="112"/>
        <v>53.53</v>
      </c>
      <c r="O166" s="143">
        <f t="shared" si="103"/>
        <v>0</v>
      </c>
      <c r="P166" s="139">
        <f t="shared" si="113"/>
        <v>53.53</v>
      </c>
      <c r="Q166" s="317"/>
      <c r="R166" s="143">
        <f t="shared" si="101"/>
        <v>0</v>
      </c>
      <c r="S166" s="139">
        <f t="shared" si="114"/>
        <v>53.53</v>
      </c>
      <c r="T166" s="317"/>
      <c r="U166" s="143">
        <f t="shared" si="102"/>
        <v>0</v>
      </c>
      <c r="V166" s="139">
        <f t="shared" si="115"/>
        <v>53.53</v>
      </c>
      <c r="W166" s="49"/>
      <c r="X166" s="15"/>
      <c r="Y166" s="125">
        <f t="shared" si="116"/>
        <v>53.53</v>
      </c>
      <c r="Z166" s="126"/>
      <c r="AA166" s="127"/>
      <c r="AB166" s="128">
        <f t="shared" si="117"/>
        <v>0</v>
      </c>
    </row>
    <row r="167" spans="1:28" x14ac:dyDescent="0.35">
      <c r="A167" s="49" t="s">
        <v>793</v>
      </c>
      <c r="B167" s="121" t="s">
        <v>689</v>
      </c>
      <c r="C167" s="28" t="s">
        <v>797</v>
      </c>
      <c r="D167" s="28"/>
      <c r="E167" s="49"/>
      <c r="F167" s="121" t="s">
        <v>795</v>
      </c>
      <c r="G167" s="49"/>
      <c r="H167" s="49"/>
      <c r="I167" s="49"/>
      <c r="J167" s="49"/>
      <c r="K167" s="49"/>
      <c r="L167" s="49"/>
      <c r="M167" s="131">
        <v>95</v>
      </c>
      <c r="N167" s="142">
        <f t="shared" si="112"/>
        <v>95</v>
      </c>
      <c r="O167" s="143">
        <f t="shared" si="103"/>
        <v>0</v>
      </c>
      <c r="P167" s="139">
        <f t="shared" si="113"/>
        <v>95</v>
      </c>
      <c r="Q167" s="317"/>
      <c r="R167" s="143">
        <f t="shared" si="101"/>
        <v>0</v>
      </c>
      <c r="S167" s="139">
        <f t="shared" si="114"/>
        <v>95</v>
      </c>
      <c r="T167" s="317"/>
      <c r="U167" s="143">
        <f t="shared" si="102"/>
        <v>0</v>
      </c>
      <c r="V167" s="139">
        <f t="shared" si="115"/>
        <v>95</v>
      </c>
      <c r="W167" s="49"/>
      <c r="X167" s="15"/>
      <c r="Y167" s="125">
        <f t="shared" si="116"/>
        <v>95</v>
      </c>
      <c r="Z167" s="126"/>
      <c r="AA167" s="127"/>
      <c r="AB167" s="128">
        <f t="shared" si="117"/>
        <v>0</v>
      </c>
    </row>
    <row r="168" spans="1:28" x14ac:dyDescent="0.35">
      <c r="A168" s="49" t="s">
        <v>798</v>
      </c>
      <c r="B168" s="121" t="s">
        <v>689</v>
      </c>
      <c r="C168" s="28" t="s">
        <v>799</v>
      </c>
      <c r="D168" s="28"/>
      <c r="E168" s="49"/>
      <c r="F168" s="121" t="s">
        <v>795</v>
      </c>
      <c r="G168" s="49"/>
      <c r="H168" s="49"/>
      <c r="I168" s="49"/>
      <c r="J168" s="49"/>
      <c r="K168" s="49"/>
      <c r="L168" s="49"/>
      <c r="M168" s="131">
        <v>13.75</v>
      </c>
      <c r="N168" s="142">
        <f t="shared" si="112"/>
        <v>13.75</v>
      </c>
      <c r="O168" s="143">
        <f t="shared" si="103"/>
        <v>0</v>
      </c>
      <c r="P168" s="139">
        <f t="shared" si="113"/>
        <v>13.75</v>
      </c>
      <c r="Q168" s="317"/>
      <c r="R168" s="143">
        <f t="shared" si="101"/>
        <v>0</v>
      </c>
      <c r="S168" s="139">
        <f t="shared" si="114"/>
        <v>13.75</v>
      </c>
      <c r="T168" s="317"/>
      <c r="U168" s="143">
        <f t="shared" si="102"/>
        <v>0</v>
      </c>
      <c r="V168" s="139">
        <f t="shared" si="115"/>
        <v>13.75</v>
      </c>
      <c r="W168" s="49"/>
      <c r="X168" s="15"/>
      <c r="Y168" s="125">
        <f t="shared" si="116"/>
        <v>13.75</v>
      </c>
      <c r="Z168" s="126"/>
      <c r="AA168" s="127"/>
      <c r="AB168" s="128">
        <f t="shared" si="117"/>
        <v>0</v>
      </c>
    </row>
    <row r="169" spans="1:28" x14ac:dyDescent="0.35">
      <c r="A169" s="49" t="s">
        <v>798</v>
      </c>
      <c r="B169" s="121" t="s">
        <v>689</v>
      </c>
      <c r="C169" s="28" t="s">
        <v>800</v>
      </c>
      <c r="D169" s="28"/>
      <c r="E169" s="49"/>
      <c r="F169" s="121" t="s">
        <v>795</v>
      </c>
      <c r="G169" s="49"/>
      <c r="H169" s="49"/>
      <c r="I169" s="49"/>
      <c r="J169" s="49"/>
      <c r="K169" s="49"/>
      <c r="L169" s="49"/>
      <c r="M169" s="131">
        <v>11.95</v>
      </c>
      <c r="N169" s="142">
        <f t="shared" si="112"/>
        <v>11.95</v>
      </c>
      <c r="O169" s="143">
        <f t="shared" si="103"/>
        <v>0</v>
      </c>
      <c r="P169" s="139">
        <f t="shared" si="113"/>
        <v>11.95</v>
      </c>
      <c r="Q169" s="317"/>
      <c r="R169" s="143">
        <f t="shared" si="101"/>
        <v>0</v>
      </c>
      <c r="S169" s="139">
        <f t="shared" si="114"/>
        <v>11.95</v>
      </c>
      <c r="T169" s="317"/>
      <c r="U169" s="143">
        <f t="shared" si="102"/>
        <v>0</v>
      </c>
      <c r="V169" s="139">
        <f t="shared" si="115"/>
        <v>11.95</v>
      </c>
      <c r="W169" s="49"/>
      <c r="X169" s="15"/>
      <c r="Y169" s="125">
        <f t="shared" si="116"/>
        <v>11.95</v>
      </c>
      <c r="Z169" s="126"/>
      <c r="AA169" s="127"/>
      <c r="AB169" s="128">
        <f t="shared" si="117"/>
        <v>0</v>
      </c>
    </row>
    <row r="170" spans="1:28" x14ac:dyDescent="0.35">
      <c r="A170" s="49" t="s">
        <v>713</v>
      </c>
      <c r="B170" s="121" t="s">
        <v>801</v>
      </c>
      <c r="C170" s="28" t="s">
        <v>715</v>
      </c>
      <c r="D170" s="28"/>
      <c r="E170" s="49"/>
      <c r="F170" s="121" t="s">
        <v>639</v>
      </c>
      <c r="G170" s="49"/>
      <c r="H170" s="49"/>
      <c r="I170" s="49"/>
      <c r="J170" s="49"/>
      <c r="K170" s="49"/>
      <c r="L170" s="49"/>
      <c r="M170" s="131">
        <v>12</v>
      </c>
      <c r="N170" s="142">
        <f t="shared" ref="N170" si="118">M170</f>
        <v>12</v>
      </c>
      <c r="O170" s="143">
        <f t="shared" si="103"/>
        <v>0</v>
      </c>
      <c r="P170" s="139">
        <f t="shared" ref="P170" si="119">IF(N170="Cost Required - Purchasing",N170,N170/(1-O170))</f>
        <v>12</v>
      </c>
      <c r="Q170" s="317"/>
      <c r="R170" s="143">
        <f t="shared" si="101"/>
        <v>0</v>
      </c>
      <c r="S170" s="139">
        <f t="shared" ref="S170" si="120">IF(N170="Cost Required - Purchasing",N170,N170/(1-R170))</f>
        <v>12</v>
      </c>
      <c r="T170" s="317"/>
      <c r="U170" s="143">
        <f t="shared" si="102"/>
        <v>0</v>
      </c>
      <c r="V170" s="139">
        <f t="shared" ref="V170" si="121">IF(N170="Cost Required - Purchasing",N170,N170/(1-U170))</f>
        <v>12</v>
      </c>
      <c r="W170" s="49"/>
      <c r="X170" s="15"/>
      <c r="Y170" s="125">
        <f t="shared" ref="Y170" si="122">+M170</f>
        <v>12</v>
      </c>
      <c r="Z170" s="126"/>
      <c r="AA170" s="127"/>
      <c r="AB170" s="128">
        <f t="shared" ref="AB170" si="123">+IFERROR(((Y170-Z170)/Z170),0%)</f>
        <v>0</v>
      </c>
    </row>
    <row r="171" spans="1:28" x14ac:dyDescent="0.35">
      <c r="A171" s="49" t="s">
        <v>802</v>
      </c>
      <c r="B171" s="121" t="s">
        <v>801</v>
      </c>
      <c r="C171" s="28" t="s">
        <v>803</v>
      </c>
      <c r="D171" s="28"/>
      <c r="E171" s="49"/>
      <c r="F171" s="121" t="s">
        <v>804</v>
      </c>
      <c r="G171" s="49"/>
      <c r="H171" s="49"/>
      <c r="I171" s="49"/>
      <c r="J171" s="49"/>
      <c r="K171" s="49"/>
      <c r="L171" s="49"/>
      <c r="M171" s="131">
        <v>12</v>
      </c>
      <c r="N171" s="142">
        <f t="shared" si="110"/>
        <v>12</v>
      </c>
      <c r="O171" s="143">
        <f t="shared" si="103"/>
        <v>0</v>
      </c>
      <c r="P171" s="139">
        <f t="shared" si="76"/>
        <v>12</v>
      </c>
      <c r="Q171" s="317"/>
      <c r="R171" s="143">
        <f t="shared" si="101"/>
        <v>0</v>
      </c>
      <c r="S171" s="139">
        <f t="shared" si="72"/>
        <v>12</v>
      </c>
      <c r="T171" s="317"/>
      <c r="U171" s="143">
        <f t="shared" si="102"/>
        <v>0</v>
      </c>
      <c r="V171" s="139">
        <f t="shared" si="74"/>
        <v>12</v>
      </c>
      <c r="W171" s="49"/>
      <c r="X171" s="15"/>
      <c r="Y171" s="125">
        <f t="shared" si="111"/>
        <v>12</v>
      </c>
      <c r="Z171" s="126"/>
      <c r="AA171" s="127"/>
      <c r="AB171" s="128">
        <f t="shared" si="94"/>
        <v>0</v>
      </c>
    </row>
    <row r="172" spans="1:28" x14ac:dyDescent="0.35">
      <c r="A172" s="49" t="s">
        <v>802</v>
      </c>
      <c r="B172" s="121" t="s">
        <v>801</v>
      </c>
      <c r="C172" s="28" t="s">
        <v>805</v>
      </c>
      <c r="D172" s="28"/>
      <c r="E172" s="49"/>
      <c r="F172" s="121" t="s">
        <v>806</v>
      </c>
      <c r="G172" s="49"/>
      <c r="H172" s="49"/>
      <c r="I172" s="49"/>
      <c r="J172" s="49"/>
      <c r="K172" s="49"/>
      <c r="L172" s="49"/>
      <c r="M172" s="131">
        <v>168</v>
      </c>
      <c r="N172" s="142">
        <f t="shared" si="110"/>
        <v>168</v>
      </c>
      <c r="O172" s="143">
        <f t="shared" si="103"/>
        <v>0</v>
      </c>
      <c r="P172" s="139">
        <f t="shared" si="76"/>
        <v>168</v>
      </c>
      <c r="Q172" s="317"/>
      <c r="R172" s="143">
        <f t="shared" si="101"/>
        <v>0</v>
      </c>
      <c r="S172" s="139">
        <f t="shared" si="72"/>
        <v>168</v>
      </c>
      <c r="T172" s="317"/>
      <c r="U172" s="143">
        <f t="shared" si="102"/>
        <v>0</v>
      </c>
      <c r="V172" s="139">
        <f t="shared" si="74"/>
        <v>168</v>
      </c>
      <c r="W172" s="49"/>
      <c r="X172" s="15"/>
      <c r="Y172" s="125">
        <f t="shared" si="111"/>
        <v>168</v>
      </c>
      <c r="Z172" s="126"/>
      <c r="AA172" s="127"/>
      <c r="AB172" s="128">
        <f t="shared" si="94"/>
        <v>0</v>
      </c>
    </row>
    <row r="173" spans="1:28" x14ac:dyDescent="0.35">
      <c r="A173" s="49" t="s">
        <v>802</v>
      </c>
      <c r="B173" s="121" t="s">
        <v>801</v>
      </c>
      <c r="C173" s="28" t="s">
        <v>807</v>
      </c>
      <c r="D173" s="28"/>
      <c r="E173" s="49"/>
      <c r="F173" s="121" t="s">
        <v>624</v>
      </c>
      <c r="G173" s="49"/>
      <c r="H173" s="49"/>
      <c r="I173" s="49"/>
      <c r="J173" s="49"/>
      <c r="K173" s="49"/>
      <c r="L173" s="49"/>
      <c r="M173" s="131">
        <v>27</v>
      </c>
      <c r="N173" s="142">
        <f t="shared" si="110"/>
        <v>27</v>
      </c>
      <c r="O173" s="143">
        <f t="shared" si="103"/>
        <v>0</v>
      </c>
      <c r="P173" s="139">
        <f t="shared" si="76"/>
        <v>27</v>
      </c>
      <c r="Q173" s="317"/>
      <c r="R173" s="143">
        <f t="shared" si="101"/>
        <v>0</v>
      </c>
      <c r="S173" s="139">
        <f t="shared" si="72"/>
        <v>27</v>
      </c>
      <c r="T173" s="317"/>
      <c r="U173" s="143">
        <f t="shared" si="102"/>
        <v>0</v>
      </c>
      <c r="V173" s="139">
        <f t="shared" si="74"/>
        <v>27</v>
      </c>
      <c r="W173" s="49"/>
      <c r="X173" s="15"/>
      <c r="Y173" s="125">
        <f t="shared" si="111"/>
        <v>27</v>
      </c>
      <c r="Z173" s="126"/>
      <c r="AA173" s="127"/>
      <c r="AB173" s="128">
        <f t="shared" si="94"/>
        <v>0</v>
      </c>
    </row>
    <row r="174" spans="1:28" x14ac:dyDescent="0.35">
      <c r="A174" s="49" t="s">
        <v>802</v>
      </c>
      <c r="B174" s="121" t="s">
        <v>801</v>
      </c>
      <c r="C174" s="28" t="s">
        <v>808</v>
      </c>
      <c r="D174" s="28"/>
      <c r="E174" s="49"/>
      <c r="F174" s="121" t="s">
        <v>624</v>
      </c>
      <c r="G174" s="49"/>
      <c r="H174" s="49"/>
      <c r="I174" s="49"/>
      <c r="J174" s="49"/>
      <c r="K174" s="49"/>
      <c r="L174" s="49"/>
      <c r="M174" s="131">
        <v>19.93</v>
      </c>
      <c r="N174" s="142">
        <f t="shared" si="110"/>
        <v>19.93</v>
      </c>
      <c r="O174" s="143">
        <f t="shared" si="103"/>
        <v>0</v>
      </c>
      <c r="P174" s="139">
        <f t="shared" si="76"/>
        <v>19.93</v>
      </c>
      <c r="Q174" s="317"/>
      <c r="R174" s="143">
        <f t="shared" si="101"/>
        <v>0</v>
      </c>
      <c r="S174" s="139">
        <f t="shared" si="72"/>
        <v>19.93</v>
      </c>
      <c r="T174" s="317"/>
      <c r="U174" s="143">
        <f t="shared" si="102"/>
        <v>0</v>
      </c>
      <c r="V174" s="139">
        <f t="shared" si="74"/>
        <v>19.93</v>
      </c>
      <c r="W174" s="49"/>
      <c r="X174" s="15"/>
      <c r="Y174" s="125">
        <f t="shared" si="111"/>
        <v>19.93</v>
      </c>
      <c r="Z174" s="126"/>
      <c r="AA174" s="127"/>
      <c r="AB174" s="128">
        <f t="shared" si="94"/>
        <v>0</v>
      </c>
    </row>
    <row r="175" spans="1:28" x14ac:dyDescent="0.35">
      <c r="A175" s="49" t="s">
        <v>802</v>
      </c>
      <c r="B175" s="121" t="s">
        <v>801</v>
      </c>
      <c r="C175" s="129" t="s">
        <v>809</v>
      </c>
      <c r="D175" s="28"/>
      <c r="E175" s="49"/>
      <c r="F175" s="121" t="s">
        <v>624</v>
      </c>
      <c r="G175" s="49"/>
      <c r="H175" s="49"/>
      <c r="I175" s="49"/>
      <c r="J175" s="49"/>
      <c r="K175" s="49"/>
      <c r="L175" s="49"/>
      <c r="M175" s="131">
        <v>6.22</v>
      </c>
      <c r="N175" s="142">
        <f t="shared" si="110"/>
        <v>6.22</v>
      </c>
      <c r="O175" s="143">
        <f t="shared" si="103"/>
        <v>0</v>
      </c>
      <c r="P175" s="139">
        <f t="shared" si="76"/>
        <v>6.22</v>
      </c>
      <c r="Q175" s="317"/>
      <c r="R175" s="143">
        <f t="shared" si="101"/>
        <v>0</v>
      </c>
      <c r="S175" s="139">
        <f t="shared" si="72"/>
        <v>6.22</v>
      </c>
      <c r="T175" s="317"/>
      <c r="U175" s="143">
        <f t="shared" si="102"/>
        <v>0</v>
      </c>
      <c r="V175" s="139">
        <f t="shared" si="74"/>
        <v>6.22</v>
      </c>
      <c r="W175" s="49"/>
      <c r="X175" s="15"/>
      <c r="Y175" s="125">
        <f t="shared" si="111"/>
        <v>6.22</v>
      </c>
      <c r="Z175" s="126"/>
      <c r="AA175" s="127"/>
      <c r="AB175" s="128">
        <f t="shared" si="94"/>
        <v>0</v>
      </c>
    </row>
    <row r="176" spans="1:28" x14ac:dyDescent="0.35">
      <c r="A176" s="49" t="s">
        <v>802</v>
      </c>
      <c r="B176" s="121" t="s">
        <v>801</v>
      </c>
      <c r="C176" s="28" t="s">
        <v>810</v>
      </c>
      <c r="D176" s="28"/>
      <c r="E176" s="49"/>
      <c r="F176" s="121" t="s">
        <v>624</v>
      </c>
      <c r="G176" s="49"/>
      <c r="H176" s="49"/>
      <c r="I176" s="49"/>
      <c r="J176" s="49"/>
      <c r="K176" s="49"/>
      <c r="L176" s="49"/>
      <c r="M176" s="131">
        <v>17</v>
      </c>
      <c r="N176" s="142">
        <f t="shared" si="110"/>
        <v>17</v>
      </c>
      <c r="O176" s="143">
        <f t="shared" si="103"/>
        <v>0</v>
      </c>
      <c r="P176" s="139">
        <f t="shared" si="76"/>
        <v>17</v>
      </c>
      <c r="Q176" s="317"/>
      <c r="R176" s="143">
        <f t="shared" si="101"/>
        <v>0</v>
      </c>
      <c r="S176" s="139">
        <f t="shared" si="72"/>
        <v>17</v>
      </c>
      <c r="T176" s="317"/>
      <c r="U176" s="143">
        <f t="shared" si="102"/>
        <v>0</v>
      </c>
      <c r="V176" s="139">
        <f t="shared" si="74"/>
        <v>17</v>
      </c>
      <c r="W176" s="49"/>
      <c r="X176" s="15"/>
      <c r="Y176" s="125">
        <f t="shared" si="111"/>
        <v>17</v>
      </c>
      <c r="Z176" s="126"/>
      <c r="AA176" s="127"/>
      <c r="AB176" s="128">
        <f t="shared" si="94"/>
        <v>0</v>
      </c>
    </row>
    <row r="177" spans="1:28" x14ac:dyDescent="0.35">
      <c r="A177" s="49" t="s">
        <v>802</v>
      </c>
      <c r="B177" s="121" t="s">
        <v>801</v>
      </c>
      <c r="C177" s="488" t="s">
        <v>811</v>
      </c>
      <c r="D177" s="28"/>
      <c r="E177" s="49"/>
      <c r="F177" s="121" t="s">
        <v>624</v>
      </c>
      <c r="G177" s="49"/>
      <c r="H177" s="49"/>
      <c r="I177" s="49"/>
      <c r="J177" s="49"/>
      <c r="K177" s="49"/>
      <c r="L177" s="49"/>
      <c r="M177" s="131">
        <v>65</v>
      </c>
      <c r="N177" s="142">
        <f t="shared" si="110"/>
        <v>65</v>
      </c>
      <c r="O177" s="143">
        <f t="shared" si="103"/>
        <v>0</v>
      </c>
      <c r="P177" s="139">
        <f t="shared" si="76"/>
        <v>65</v>
      </c>
      <c r="Q177" s="317"/>
      <c r="R177" s="143">
        <f t="shared" si="101"/>
        <v>0</v>
      </c>
      <c r="S177" s="139">
        <f t="shared" si="72"/>
        <v>65</v>
      </c>
      <c r="T177" s="317"/>
      <c r="U177" s="143">
        <f t="shared" si="102"/>
        <v>0</v>
      </c>
      <c r="V177" s="139">
        <f t="shared" si="74"/>
        <v>65</v>
      </c>
      <c r="W177" s="49"/>
      <c r="X177" s="15"/>
      <c r="Y177" s="125">
        <f t="shared" si="111"/>
        <v>65</v>
      </c>
      <c r="Z177" s="126"/>
      <c r="AA177" s="127"/>
      <c r="AB177" s="128">
        <f t="shared" si="94"/>
        <v>0</v>
      </c>
    </row>
    <row r="178" spans="1:28" x14ac:dyDescent="0.35">
      <c r="A178" s="49" t="s">
        <v>802</v>
      </c>
      <c r="B178" s="121" t="s">
        <v>801</v>
      </c>
      <c r="C178" s="28" t="s">
        <v>498</v>
      </c>
      <c r="D178" s="28"/>
      <c r="E178" s="49"/>
      <c r="F178" s="121" t="s">
        <v>624</v>
      </c>
      <c r="G178" s="49"/>
      <c r="H178" s="49"/>
      <c r="I178" s="49"/>
      <c r="J178" s="49"/>
      <c r="K178" s="49"/>
      <c r="L178" s="49"/>
      <c r="M178" s="131">
        <v>75</v>
      </c>
      <c r="N178" s="142">
        <f t="shared" si="110"/>
        <v>75</v>
      </c>
      <c r="O178" s="143">
        <f t="shared" si="103"/>
        <v>0</v>
      </c>
      <c r="P178" s="139">
        <f t="shared" si="76"/>
        <v>75</v>
      </c>
      <c r="Q178" s="317"/>
      <c r="R178" s="143">
        <f t="shared" si="101"/>
        <v>0</v>
      </c>
      <c r="S178" s="139">
        <f t="shared" si="72"/>
        <v>75</v>
      </c>
      <c r="T178" s="317"/>
      <c r="U178" s="143">
        <f t="shared" si="102"/>
        <v>0</v>
      </c>
      <c r="V178" s="139">
        <f t="shared" si="74"/>
        <v>75</v>
      </c>
      <c r="W178" s="49"/>
      <c r="X178" s="15"/>
      <c r="Y178" s="125">
        <f t="shared" si="111"/>
        <v>75</v>
      </c>
      <c r="Z178" s="126"/>
      <c r="AA178" s="127"/>
      <c r="AB178" s="128">
        <f t="shared" si="94"/>
        <v>0</v>
      </c>
    </row>
    <row r="179" spans="1:28" x14ac:dyDescent="0.35">
      <c r="A179" s="49" t="s">
        <v>802</v>
      </c>
      <c r="B179" s="121" t="s">
        <v>801</v>
      </c>
      <c r="C179" s="28" t="s">
        <v>500</v>
      </c>
      <c r="D179" s="28"/>
      <c r="E179" s="49"/>
      <c r="F179" s="121" t="s">
        <v>624</v>
      </c>
      <c r="G179" s="49"/>
      <c r="H179" s="49"/>
      <c r="I179" s="49"/>
      <c r="J179" s="49"/>
      <c r="K179" s="49"/>
      <c r="L179" s="49"/>
      <c r="M179" s="131">
        <v>75</v>
      </c>
      <c r="N179" s="142">
        <f t="shared" si="110"/>
        <v>75</v>
      </c>
      <c r="O179" s="143">
        <f t="shared" si="103"/>
        <v>0</v>
      </c>
      <c r="P179" s="139">
        <f t="shared" si="76"/>
        <v>75</v>
      </c>
      <c r="Q179" s="317"/>
      <c r="R179" s="143">
        <f t="shared" si="101"/>
        <v>0</v>
      </c>
      <c r="S179" s="139">
        <f t="shared" si="72"/>
        <v>75</v>
      </c>
      <c r="T179" s="317"/>
      <c r="U179" s="143">
        <f t="shared" si="102"/>
        <v>0</v>
      </c>
      <c r="V179" s="139">
        <f t="shared" si="74"/>
        <v>75</v>
      </c>
      <c r="W179" s="49"/>
      <c r="X179" s="15"/>
      <c r="Y179" s="125">
        <f t="shared" si="111"/>
        <v>75</v>
      </c>
      <c r="Z179" s="126"/>
      <c r="AA179" s="127"/>
      <c r="AB179" s="128">
        <f t="shared" si="94"/>
        <v>0</v>
      </c>
    </row>
    <row r="180" spans="1:28" x14ac:dyDescent="0.35">
      <c r="A180" s="49" t="s">
        <v>812</v>
      </c>
      <c r="B180" s="121" t="s">
        <v>801</v>
      </c>
      <c r="C180" s="28" t="s">
        <v>501</v>
      </c>
      <c r="D180" s="28"/>
      <c r="E180" s="49"/>
      <c r="F180" s="121" t="s">
        <v>624</v>
      </c>
      <c r="G180" s="49"/>
      <c r="H180" s="49"/>
      <c r="I180" s="49"/>
      <c r="J180" s="49"/>
      <c r="K180" s="49"/>
      <c r="L180" s="49"/>
      <c r="M180" s="131">
        <v>15</v>
      </c>
      <c r="N180" s="142">
        <f t="shared" si="110"/>
        <v>15</v>
      </c>
      <c r="O180" s="143">
        <f t="shared" si="103"/>
        <v>0</v>
      </c>
      <c r="P180" s="139">
        <f t="shared" si="76"/>
        <v>15</v>
      </c>
      <c r="Q180" s="317"/>
      <c r="R180" s="143">
        <f t="shared" si="101"/>
        <v>0</v>
      </c>
      <c r="S180" s="139">
        <f t="shared" si="72"/>
        <v>15</v>
      </c>
      <c r="T180" s="317"/>
      <c r="U180" s="143">
        <f t="shared" si="102"/>
        <v>0</v>
      </c>
      <c r="V180" s="139">
        <f t="shared" si="74"/>
        <v>15</v>
      </c>
      <c r="W180" s="49"/>
      <c r="X180" s="15"/>
      <c r="Y180" s="125">
        <f t="shared" si="111"/>
        <v>15</v>
      </c>
      <c r="Z180" s="126"/>
      <c r="AA180" s="127"/>
      <c r="AB180" s="128">
        <f t="shared" si="94"/>
        <v>0</v>
      </c>
    </row>
    <row r="181" spans="1:28" x14ac:dyDescent="0.35">
      <c r="A181" s="49" t="s">
        <v>812</v>
      </c>
      <c r="B181" s="121" t="s">
        <v>801</v>
      </c>
      <c r="C181" s="28" t="s">
        <v>503</v>
      </c>
      <c r="D181" s="28"/>
      <c r="E181" s="49"/>
      <c r="F181" s="121" t="s">
        <v>624</v>
      </c>
      <c r="G181" s="49"/>
      <c r="H181" s="49"/>
      <c r="I181" s="49"/>
      <c r="J181" s="49"/>
      <c r="K181" s="49"/>
      <c r="L181" s="49"/>
      <c r="M181" s="131">
        <v>15</v>
      </c>
      <c r="N181" s="142">
        <f t="shared" si="110"/>
        <v>15</v>
      </c>
      <c r="O181" s="143">
        <f t="shared" si="103"/>
        <v>0</v>
      </c>
      <c r="P181" s="139">
        <f t="shared" si="76"/>
        <v>15</v>
      </c>
      <c r="Q181" s="317"/>
      <c r="R181" s="143">
        <f t="shared" si="101"/>
        <v>0</v>
      </c>
      <c r="S181" s="139">
        <f t="shared" si="72"/>
        <v>15</v>
      </c>
      <c r="T181" s="317"/>
      <c r="U181" s="143">
        <f t="shared" si="102"/>
        <v>0</v>
      </c>
      <c r="V181" s="139">
        <f t="shared" si="74"/>
        <v>15</v>
      </c>
      <c r="W181" s="49"/>
      <c r="X181" s="15"/>
      <c r="Y181" s="125">
        <f t="shared" si="111"/>
        <v>15</v>
      </c>
      <c r="Z181" s="126"/>
      <c r="AA181" s="127"/>
      <c r="AB181" s="128">
        <f t="shared" si="94"/>
        <v>0</v>
      </c>
    </row>
    <row r="182" spans="1:28" x14ac:dyDescent="0.35">
      <c r="A182" s="49" t="s">
        <v>812</v>
      </c>
      <c r="B182" s="121" t="s">
        <v>801</v>
      </c>
      <c r="C182" s="28" t="s">
        <v>813</v>
      </c>
      <c r="D182" s="28"/>
      <c r="E182" s="49"/>
      <c r="F182" s="121" t="s">
        <v>814</v>
      </c>
      <c r="G182" s="49"/>
      <c r="H182" s="49"/>
      <c r="I182" s="49"/>
      <c r="J182" s="49"/>
      <c r="K182" s="49"/>
      <c r="L182" s="49"/>
      <c r="M182" s="131">
        <v>10</v>
      </c>
      <c r="N182" s="142">
        <f t="shared" si="110"/>
        <v>10</v>
      </c>
      <c r="O182" s="143">
        <f t="shared" si="103"/>
        <v>0</v>
      </c>
      <c r="P182" s="139">
        <f t="shared" si="76"/>
        <v>10</v>
      </c>
      <c r="Q182" s="317"/>
      <c r="R182" s="143">
        <f t="shared" si="101"/>
        <v>0</v>
      </c>
      <c r="S182" s="139">
        <f t="shared" si="72"/>
        <v>10</v>
      </c>
      <c r="T182" s="317"/>
      <c r="U182" s="143">
        <f t="shared" si="102"/>
        <v>0</v>
      </c>
      <c r="V182" s="139">
        <f t="shared" si="74"/>
        <v>10</v>
      </c>
      <c r="W182" s="49"/>
      <c r="X182" s="15"/>
      <c r="Y182" s="125">
        <f t="shared" si="111"/>
        <v>10</v>
      </c>
      <c r="Z182" s="126"/>
      <c r="AA182" s="127"/>
      <c r="AB182" s="128">
        <f t="shared" si="94"/>
        <v>0</v>
      </c>
    </row>
    <row r="183" spans="1:28" x14ac:dyDescent="0.35">
      <c r="A183" s="49" t="s">
        <v>812</v>
      </c>
      <c r="B183" s="121" t="s">
        <v>801</v>
      </c>
      <c r="C183" s="28" t="s">
        <v>815</v>
      </c>
      <c r="D183" s="28"/>
      <c r="E183" s="49"/>
      <c r="F183" s="121" t="s">
        <v>795</v>
      </c>
      <c r="G183" s="49"/>
      <c r="H183" s="49"/>
      <c r="I183" s="49"/>
      <c r="J183" s="49"/>
      <c r="K183" s="49"/>
      <c r="L183" s="49"/>
      <c r="M183" s="131">
        <v>40</v>
      </c>
      <c r="N183" s="142">
        <f t="shared" si="110"/>
        <v>40</v>
      </c>
      <c r="O183" s="143">
        <f t="shared" si="103"/>
        <v>0</v>
      </c>
      <c r="P183" s="139">
        <f t="shared" si="76"/>
        <v>40</v>
      </c>
      <c r="Q183" s="317"/>
      <c r="R183" s="143">
        <f t="shared" si="101"/>
        <v>0</v>
      </c>
      <c r="S183" s="139">
        <f t="shared" si="72"/>
        <v>40</v>
      </c>
      <c r="T183" s="317"/>
      <c r="U183" s="143">
        <f t="shared" si="102"/>
        <v>0</v>
      </c>
      <c r="V183" s="139">
        <f t="shared" si="74"/>
        <v>40</v>
      </c>
      <c r="W183" s="49"/>
      <c r="X183" s="15"/>
      <c r="Y183" s="125">
        <f t="shared" si="111"/>
        <v>40</v>
      </c>
      <c r="Z183" s="126"/>
      <c r="AA183" s="127"/>
      <c r="AB183" s="128">
        <f t="shared" si="94"/>
        <v>0</v>
      </c>
    </row>
    <row r="184" spans="1:28" x14ac:dyDescent="0.35">
      <c r="A184" s="49" t="s">
        <v>812</v>
      </c>
      <c r="B184" s="121" t="s">
        <v>801</v>
      </c>
      <c r="C184" s="28" t="s">
        <v>506</v>
      </c>
      <c r="D184" s="28"/>
      <c r="E184" s="49"/>
      <c r="F184" s="121" t="s">
        <v>795</v>
      </c>
      <c r="G184" s="49"/>
      <c r="H184" s="49"/>
      <c r="I184" s="49"/>
      <c r="J184" s="49"/>
      <c r="K184" s="49"/>
      <c r="L184" s="49"/>
      <c r="M184" s="131">
        <v>58</v>
      </c>
      <c r="N184" s="142">
        <f t="shared" si="110"/>
        <v>58</v>
      </c>
      <c r="O184" s="143">
        <f t="shared" si="103"/>
        <v>0</v>
      </c>
      <c r="P184" s="139">
        <f t="shared" si="76"/>
        <v>58</v>
      </c>
      <c r="Q184" s="317"/>
      <c r="R184" s="143">
        <f t="shared" ref="R184:R197" si="124">+$AI$11</f>
        <v>0</v>
      </c>
      <c r="S184" s="139">
        <f t="shared" si="72"/>
        <v>58</v>
      </c>
      <c r="T184" s="317"/>
      <c r="U184" s="143">
        <f t="shared" ref="U184:U197" si="125">+$AL$11</f>
        <v>0</v>
      </c>
      <c r="V184" s="139">
        <f t="shared" si="74"/>
        <v>58</v>
      </c>
      <c r="W184" s="49"/>
      <c r="X184" s="15"/>
      <c r="Y184" s="125">
        <f t="shared" si="111"/>
        <v>58</v>
      </c>
      <c r="Z184" s="126"/>
      <c r="AA184" s="127"/>
      <c r="AB184" s="128">
        <f t="shared" si="94"/>
        <v>0</v>
      </c>
    </row>
    <row r="185" spans="1:28" x14ac:dyDescent="0.35">
      <c r="A185" s="49" t="s">
        <v>812</v>
      </c>
      <c r="B185" s="121" t="s">
        <v>801</v>
      </c>
      <c r="C185" s="28" t="s">
        <v>507</v>
      </c>
      <c r="D185" s="28"/>
      <c r="E185" s="49"/>
      <c r="F185" s="121" t="s">
        <v>795</v>
      </c>
      <c r="G185" s="49"/>
      <c r="H185" s="49"/>
      <c r="I185" s="49"/>
      <c r="J185" s="49"/>
      <c r="K185" s="49"/>
      <c r="L185" s="49"/>
      <c r="M185" s="131">
        <v>60</v>
      </c>
      <c r="N185" s="142">
        <f t="shared" si="110"/>
        <v>60</v>
      </c>
      <c r="O185" s="143">
        <f t="shared" ref="O185:O197" si="126">+$AF$11</f>
        <v>0</v>
      </c>
      <c r="P185" s="139">
        <f t="shared" si="76"/>
        <v>60</v>
      </c>
      <c r="Q185" s="317"/>
      <c r="R185" s="143">
        <f t="shared" si="124"/>
        <v>0</v>
      </c>
      <c r="S185" s="139">
        <f t="shared" si="72"/>
        <v>60</v>
      </c>
      <c r="T185" s="317"/>
      <c r="U185" s="143">
        <f t="shared" si="125"/>
        <v>0</v>
      </c>
      <c r="V185" s="139">
        <f t="shared" si="74"/>
        <v>60</v>
      </c>
      <c r="W185" s="49"/>
      <c r="X185" s="15"/>
      <c r="Y185" s="125">
        <f t="shared" si="111"/>
        <v>60</v>
      </c>
      <c r="Z185" s="126"/>
      <c r="AA185" s="127"/>
      <c r="AB185" s="128">
        <f t="shared" si="94"/>
        <v>0</v>
      </c>
    </row>
    <row r="186" spans="1:28" x14ac:dyDescent="0.35">
      <c r="A186" s="49" t="s">
        <v>812</v>
      </c>
      <c r="B186" s="121" t="s">
        <v>801</v>
      </c>
      <c r="C186" s="28" t="s">
        <v>492</v>
      </c>
      <c r="D186" s="28"/>
      <c r="E186" s="49"/>
      <c r="F186" s="121" t="s">
        <v>795</v>
      </c>
      <c r="G186" s="49"/>
      <c r="H186" s="49"/>
      <c r="I186" s="49"/>
      <c r="J186" s="49"/>
      <c r="K186" s="49"/>
      <c r="L186" s="49"/>
      <c r="M186" s="131">
        <v>30</v>
      </c>
      <c r="N186" s="142">
        <f t="shared" si="110"/>
        <v>30</v>
      </c>
      <c r="O186" s="143">
        <f t="shared" si="126"/>
        <v>0</v>
      </c>
      <c r="P186" s="139">
        <f t="shared" si="76"/>
        <v>30</v>
      </c>
      <c r="Q186" s="317"/>
      <c r="R186" s="143">
        <f t="shared" si="124"/>
        <v>0</v>
      </c>
      <c r="S186" s="139">
        <f t="shared" si="72"/>
        <v>30</v>
      </c>
      <c r="T186" s="317"/>
      <c r="U186" s="143">
        <f t="shared" si="125"/>
        <v>0</v>
      </c>
      <c r="V186" s="139">
        <f t="shared" si="74"/>
        <v>30</v>
      </c>
      <c r="W186" s="49"/>
      <c r="X186" s="15"/>
      <c r="Y186" s="125">
        <f t="shared" si="111"/>
        <v>30</v>
      </c>
      <c r="Z186" s="126"/>
      <c r="AA186" s="127"/>
      <c r="AB186" s="128">
        <f t="shared" si="94"/>
        <v>0</v>
      </c>
    </row>
    <row r="187" spans="1:28" x14ac:dyDescent="0.35">
      <c r="A187" s="49" t="s">
        <v>816</v>
      </c>
      <c r="B187" s="146" t="s">
        <v>801</v>
      </c>
      <c r="C187" s="28" t="s">
        <v>817</v>
      </c>
      <c r="D187" s="28"/>
      <c r="E187" s="49"/>
      <c r="F187" s="121" t="s">
        <v>795</v>
      </c>
      <c r="G187" s="49"/>
      <c r="H187" s="49"/>
      <c r="I187" s="49"/>
      <c r="J187" s="49"/>
      <c r="K187" s="49"/>
      <c r="L187" s="49"/>
      <c r="M187" s="131">
        <v>2.6</v>
      </c>
      <c r="N187" s="142">
        <f t="shared" ref="N187:N191" si="127">M187</f>
        <v>2.6</v>
      </c>
      <c r="O187" s="143">
        <f t="shared" si="126"/>
        <v>0</v>
      </c>
      <c r="P187" s="139">
        <f t="shared" ref="P187:P191" si="128">IF(N187="Cost Required - Purchasing",N187,N187/(1-O187))</f>
        <v>2.6</v>
      </c>
      <c r="Q187" s="317"/>
      <c r="R187" s="143">
        <f t="shared" si="124"/>
        <v>0</v>
      </c>
      <c r="S187" s="139">
        <f t="shared" ref="S187:S191" si="129">IF(N187="Cost Required - Purchasing",N187,N187/(1-R187))</f>
        <v>2.6</v>
      </c>
      <c r="T187" s="317"/>
      <c r="U187" s="143">
        <f t="shared" si="125"/>
        <v>0</v>
      </c>
      <c r="V187" s="139">
        <f t="shared" ref="V187:V191" si="130">IF(N187="Cost Required - Purchasing",N187,N187/(1-U187))</f>
        <v>2.6</v>
      </c>
      <c r="W187" s="49"/>
      <c r="X187" s="15"/>
      <c r="Y187" s="125">
        <f t="shared" ref="Y187:Y191" si="131">+M187</f>
        <v>2.6</v>
      </c>
      <c r="Z187" s="126"/>
      <c r="AA187" s="127"/>
      <c r="AB187" s="128">
        <f t="shared" ref="AB187:AB191" si="132">+IFERROR(((Y187-Z187)/Z187),0%)</f>
        <v>0</v>
      </c>
    </row>
    <row r="188" spans="1:28" x14ac:dyDescent="0.35">
      <c r="A188" s="49" t="s">
        <v>816</v>
      </c>
      <c r="B188" s="146" t="s">
        <v>801</v>
      </c>
      <c r="C188" s="28" t="s">
        <v>818</v>
      </c>
      <c r="D188" s="28"/>
      <c r="E188" s="49"/>
      <c r="F188" s="121" t="s">
        <v>804</v>
      </c>
      <c r="G188" s="49"/>
      <c r="H188" s="49"/>
      <c r="I188" s="49"/>
      <c r="J188" s="49"/>
      <c r="K188" s="49"/>
      <c r="L188" s="49"/>
      <c r="M188" s="131">
        <v>2.15</v>
      </c>
      <c r="N188" s="142">
        <f t="shared" si="127"/>
        <v>2.15</v>
      </c>
      <c r="O188" s="143">
        <f t="shared" si="126"/>
        <v>0</v>
      </c>
      <c r="P188" s="139">
        <f t="shared" si="128"/>
        <v>2.15</v>
      </c>
      <c r="Q188" s="317"/>
      <c r="R188" s="143">
        <f t="shared" si="124"/>
        <v>0</v>
      </c>
      <c r="S188" s="139">
        <f t="shared" si="129"/>
        <v>2.15</v>
      </c>
      <c r="T188" s="317"/>
      <c r="U188" s="143">
        <f t="shared" si="125"/>
        <v>0</v>
      </c>
      <c r="V188" s="139">
        <f t="shared" si="130"/>
        <v>2.15</v>
      </c>
      <c r="W188" s="49"/>
      <c r="X188" s="15"/>
      <c r="Y188" s="125">
        <f t="shared" si="131"/>
        <v>2.15</v>
      </c>
      <c r="Z188" s="126"/>
      <c r="AA188" s="127"/>
      <c r="AB188" s="128">
        <f t="shared" si="132"/>
        <v>0</v>
      </c>
    </row>
    <row r="189" spans="1:28" x14ac:dyDescent="0.35">
      <c r="A189" s="49" t="s">
        <v>816</v>
      </c>
      <c r="B189" s="146" t="s">
        <v>801</v>
      </c>
      <c r="C189" s="28" t="s">
        <v>819</v>
      </c>
      <c r="D189" s="28"/>
      <c r="E189" s="49"/>
      <c r="F189" s="121" t="s">
        <v>795</v>
      </c>
      <c r="G189" s="49"/>
      <c r="H189" s="49"/>
      <c r="I189" s="49"/>
      <c r="J189" s="49"/>
      <c r="K189" s="49"/>
      <c r="L189" s="49"/>
      <c r="M189" s="131">
        <v>0.49</v>
      </c>
      <c r="N189" s="142">
        <f t="shared" si="127"/>
        <v>0.49</v>
      </c>
      <c r="O189" s="143">
        <f t="shared" si="126"/>
        <v>0</v>
      </c>
      <c r="P189" s="139">
        <f t="shared" si="128"/>
        <v>0.49</v>
      </c>
      <c r="Q189" s="317"/>
      <c r="R189" s="143">
        <f t="shared" si="124"/>
        <v>0</v>
      </c>
      <c r="S189" s="139">
        <f t="shared" si="129"/>
        <v>0.49</v>
      </c>
      <c r="T189" s="317"/>
      <c r="U189" s="143">
        <f t="shared" si="125"/>
        <v>0</v>
      </c>
      <c r="V189" s="139">
        <f t="shared" si="130"/>
        <v>0.49</v>
      </c>
      <c r="W189" s="49"/>
      <c r="X189" s="15"/>
      <c r="Y189" s="125">
        <f t="shared" si="131"/>
        <v>0.49</v>
      </c>
      <c r="Z189" s="126"/>
      <c r="AA189" s="127"/>
      <c r="AB189" s="128">
        <f t="shared" si="132"/>
        <v>0</v>
      </c>
    </row>
    <row r="190" spans="1:28" x14ac:dyDescent="0.35">
      <c r="A190" s="49" t="s">
        <v>816</v>
      </c>
      <c r="B190" s="146" t="s">
        <v>801</v>
      </c>
      <c r="C190" s="488" t="s">
        <v>820</v>
      </c>
      <c r="D190" s="28"/>
      <c r="E190" s="49"/>
      <c r="F190" s="121" t="s">
        <v>795</v>
      </c>
      <c r="G190" s="49"/>
      <c r="H190" s="49"/>
      <c r="I190" s="49"/>
      <c r="J190" s="49"/>
      <c r="K190" s="49"/>
      <c r="L190" s="49"/>
      <c r="M190" s="131">
        <v>10.45</v>
      </c>
      <c r="N190" s="142">
        <f t="shared" si="127"/>
        <v>10.45</v>
      </c>
      <c r="O190" s="143">
        <f t="shared" si="126"/>
        <v>0</v>
      </c>
      <c r="P190" s="139">
        <f t="shared" si="128"/>
        <v>10.45</v>
      </c>
      <c r="Q190" s="317"/>
      <c r="R190" s="143">
        <f t="shared" si="124"/>
        <v>0</v>
      </c>
      <c r="S190" s="139">
        <f t="shared" si="129"/>
        <v>10.45</v>
      </c>
      <c r="T190" s="317"/>
      <c r="U190" s="143">
        <f t="shared" si="125"/>
        <v>0</v>
      </c>
      <c r="V190" s="139">
        <f t="shared" si="130"/>
        <v>10.45</v>
      </c>
      <c r="W190" s="49"/>
      <c r="X190" s="15"/>
      <c r="Y190" s="125">
        <f t="shared" si="131"/>
        <v>10.45</v>
      </c>
      <c r="Z190" s="126"/>
      <c r="AA190" s="127"/>
      <c r="AB190" s="128">
        <f t="shared" si="132"/>
        <v>0</v>
      </c>
    </row>
    <row r="191" spans="1:28" ht="31" x14ac:dyDescent="0.35">
      <c r="A191" s="49"/>
      <c r="B191" s="146" t="s">
        <v>801</v>
      </c>
      <c r="C191" s="28" t="s">
        <v>821</v>
      </c>
      <c r="D191" s="28"/>
      <c r="E191" s="49"/>
      <c r="F191" s="121" t="s">
        <v>795</v>
      </c>
      <c r="G191" s="49"/>
      <c r="H191" s="49"/>
      <c r="I191" s="49"/>
      <c r="J191" s="49"/>
      <c r="K191" s="49"/>
      <c r="L191" s="49"/>
      <c r="M191" s="131">
        <v>0.5</v>
      </c>
      <c r="N191" s="142">
        <f t="shared" si="127"/>
        <v>0.5</v>
      </c>
      <c r="O191" s="143">
        <f t="shared" si="126"/>
        <v>0</v>
      </c>
      <c r="P191" s="139">
        <f t="shared" si="128"/>
        <v>0.5</v>
      </c>
      <c r="Q191" s="317"/>
      <c r="R191" s="143">
        <f t="shared" si="124"/>
        <v>0</v>
      </c>
      <c r="S191" s="139">
        <f t="shared" si="129"/>
        <v>0.5</v>
      </c>
      <c r="T191" s="317"/>
      <c r="U191" s="143">
        <f t="shared" si="125"/>
        <v>0</v>
      </c>
      <c r="V191" s="139">
        <f t="shared" si="130"/>
        <v>0.5</v>
      </c>
      <c r="W191" s="49"/>
      <c r="X191" s="15"/>
      <c r="Y191" s="125">
        <f t="shared" si="131"/>
        <v>0.5</v>
      </c>
      <c r="Z191" s="126"/>
      <c r="AA191" s="127"/>
      <c r="AB191" s="128">
        <f t="shared" si="132"/>
        <v>0</v>
      </c>
    </row>
    <row r="192" spans="1:28" x14ac:dyDescent="0.35">
      <c r="A192" s="49" t="s">
        <v>822</v>
      </c>
      <c r="B192" s="121" t="s">
        <v>823</v>
      </c>
      <c r="C192" s="28" t="s">
        <v>824</v>
      </c>
      <c r="D192" s="28"/>
      <c r="E192" s="49"/>
      <c r="F192" s="121" t="s">
        <v>780</v>
      </c>
      <c r="G192" s="49"/>
      <c r="H192" s="49"/>
      <c r="I192" s="49"/>
      <c r="J192" s="49"/>
      <c r="K192" s="49"/>
      <c r="L192" s="49"/>
      <c r="M192" s="131">
        <v>800</v>
      </c>
      <c r="N192" s="142">
        <f t="shared" si="110"/>
        <v>800</v>
      </c>
      <c r="O192" s="143">
        <f t="shared" si="126"/>
        <v>0</v>
      </c>
      <c r="P192" s="139">
        <f t="shared" si="76"/>
        <v>800</v>
      </c>
      <c r="Q192" s="317"/>
      <c r="R192" s="143">
        <f t="shared" si="124"/>
        <v>0</v>
      </c>
      <c r="S192" s="139">
        <f t="shared" si="72"/>
        <v>800</v>
      </c>
      <c r="T192" s="317"/>
      <c r="U192" s="143">
        <f t="shared" si="125"/>
        <v>0</v>
      </c>
      <c r="V192" s="139">
        <f t="shared" si="74"/>
        <v>800</v>
      </c>
      <c r="W192" s="49"/>
      <c r="X192" s="15"/>
      <c r="Y192" s="125">
        <f t="shared" si="111"/>
        <v>800</v>
      </c>
      <c r="Z192" s="126"/>
      <c r="AA192" s="127"/>
      <c r="AB192" s="128">
        <f t="shared" si="94"/>
        <v>0</v>
      </c>
    </row>
    <row r="193" spans="1:28" x14ac:dyDescent="0.35">
      <c r="A193" s="49" t="s">
        <v>825</v>
      </c>
      <c r="B193" s="121" t="s">
        <v>826</v>
      </c>
      <c r="C193" s="28" t="s">
        <v>827</v>
      </c>
      <c r="D193" s="28"/>
      <c r="E193" s="49"/>
      <c r="F193" s="121" t="s">
        <v>828</v>
      </c>
      <c r="G193" s="49"/>
      <c r="H193" s="49"/>
      <c r="I193" s="49"/>
      <c r="J193" s="49"/>
      <c r="K193" s="49"/>
      <c r="L193" s="49"/>
      <c r="M193" s="131">
        <v>1378.6</v>
      </c>
      <c r="N193" s="142">
        <f t="shared" si="110"/>
        <v>1378.6</v>
      </c>
      <c r="O193" s="143">
        <f t="shared" si="126"/>
        <v>0</v>
      </c>
      <c r="P193" s="139">
        <f t="shared" si="76"/>
        <v>1378.6</v>
      </c>
      <c r="Q193" s="317"/>
      <c r="R193" s="143">
        <f t="shared" si="124"/>
        <v>0</v>
      </c>
      <c r="S193" s="139">
        <f t="shared" si="72"/>
        <v>1378.6</v>
      </c>
      <c r="T193" s="317"/>
      <c r="U193" s="143">
        <f t="shared" si="125"/>
        <v>0</v>
      </c>
      <c r="V193" s="139">
        <f t="shared" si="74"/>
        <v>1378.6</v>
      </c>
      <c r="W193" s="49"/>
      <c r="X193" s="15"/>
      <c r="Y193" s="125">
        <f t="shared" si="111"/>
        <v>1378.6</v>
      </c>
      <c r="Z193" s="126"/>
      <c r="AA193" s="127"/>
      <c r="AB193" s="128">
        <f t="shared" si="94"/>
        <v>0</v>
      </c>
    </row>
    <row r="194" spans="1:28" x14ac:dyDescent="0.35">
      <c r="A194" s="49" t="s">
        <v>829</v>
      </c>
      <c r="B194" s="121" t="s">
        <v>513</v>
      </c>
      <c r="C194" s="28" t="s">
        <v>514</v>
      </c>
      <c r="D194" s="28"/>
      <c r="E194" s="49"/>
      <c r="F194" s="121" t="s">
        <v>624</v>
      </c>
      <c r="G194" s="49"/>
      <c r="H194" s="49"/>
      <c r="I194" s="49"/>
      <c r="J194" s="49"/>
      <c r="K194" s="49"/>
      <c r="L194" s="49"/>
      <c r="M194" s="131">
        <v>2</v>
      </c>
      <c r="N194" s="142">
        <f t="shared" ref="N194:N195" si="133">M194</f>
        <v>2</v>
      </c>
      <c r="O194" s="143">
        <f t="shared" si="126"/>
        <v>0</v>
      </c>
      <c r="P194" s="139">
        <f t="shared" si="76"/>
        <v>2</v>
      </c>
      <c r="Q194" s="317"/>
      <c r="R194" s="143">
        <f t="shared" si="124"/>
        <v>0</v>
      </c>
      <c r="S194" s="139">
        <f t="shared" ref="S194:S195" si="134">IF(N194="Cost Required - Purchasing",N194,N194/(1-R194))</f>
        <v>2</v>
      </c>
      <c r="T194" s="317"/>
      <c r="U194" s="143">
        <f t="shared" si="125"/>
        <v>0</v>
      </c>
      <c r="V194" s="139">
        <f t="shared" ref="V194:V195" si="135">IF(N194="Cost Required - Purchasing",N194,N194/(1-U194))</f>
        <v>2</v>
      </c>
      <c r="W194" s="49"/>
      <c r="X194" s="15"/>
      <c r="Y194" s="125">
        <f t="shared" ref="Y194:Y195" si="136">+M194</f>
        <v>2</v>
      </c>
      <c r="Z194" s="126"/>
      <c r="AA194" s="127"/>
      <c r="AB194" s="128">
        <f t="shared" ref="AB194:AB195" si="137">+IFERROR(((Y194-Z194)/Z194),0%)</f>
        <v>0</v>
      </c>
    </row>
    <row r="195" spans="1:28" x14ac:dyDescent="0.35">
      <c r="A195" s="49" t="s">
        <v>802</v>
      </c>
      <c r="B195" s="121" t="s">
        <v>513</v>
      </c>
      <c r="C195" s="28" t="s">
        <v>515</v>
      </c>
      <c r="D195" s="28"/>
      <c r="E195" s="49"/>
      <c r="F195" s="121" t="s">
        <v>624</v>
      </c>
      <c r="G195" s="49"/>
      <c r="H195" s="49"/>
      <c r="I195" s="49"/>
      <c r="J195" s="49"/>
      <c r="K195" s="49"/>
      <c r="L195" s="49"/>
      <c r="M195" s="131">
        <v>3</v>
      </c>
      <c r="N195" s="142">
        <f t="shared" si="133"/>
        <v>3</v>
      </c>
      <c r="O195" s="143">
        <f t="shared" si="126"/>
        <v>0</v>
      </c>
      <c r="P195" s="139">
        <f t="shared" si="76"/>
        <v>3</v>
      </c>
      <c r="Q195" s="317"/>
      <c r="R195" s="143">
        <f t="shared" si="124"/>
        <v>0</v>
      </c>
      <c r="S195" s="139">
        <f t="shared" si="134"/>
        <v>3</v>
      </c>
      <c r="T195" s="317"/>
      <c r="U195" s="143">
        <f t="shared" si="125"/>
        <v>0</v>
      </c>
      <c r="V195" s="139">
        <f t="shared" si="135"/>
        <v>3</v>
      </c>
      <c r="W195" s="49"/>
      <c r="X195" s="15"/>
      <c r="Y195" s="125">
        <f t="shared" si="136"/>
        <v>3</v>
      </c>
      <c r="Z195" s="126"/>
      <c r="AA195" s="127"/>
      <c r="AB195" s="128">
        <f t="shared" si="137"/>
        <v>0</v>
      </c>
    </row>
    <row r="196" spans="1:28" ht="31" x14ac:dyDescent="0.35">
      <c r="A196" s="362" t="s">
        <v>830</v>
      </c>
      <c r="B196" s="363" t="s">
        <v>831</v>
      </c>
      <c r="C196" s="364" t="s">
        <v>832</v>
      </c>
      <c r="D196" s="364"/>
      <c r="E196" s="362"/>
      <c r="F196" s="363" t="s">
        <v>624</v>
      </c>
      <c r="G196" s="362"/>
      <c r="H196" s="362"/>
      <c r="I196" s="362"/>
      <c r="J196" s="362"/>
      <c r="K196" s="362"/>
      <c r="L196" s="362"/>
      <c r="M196" s="365">
        <v>0.14000000000000001</v>
      </c>
      <c r="N196" s="142">
        <f t="shared" ref="N196" si="138">M196</f>
        <v>0.14000000000000001</v>
      </c>
      <c r="O196" s="143">
        <f t="shared" si="126"/>
        <v>0</v>
      </c>
      <c r="P196" s="139">
        <f t="shared" ref="P196" si="139">IF(N196="Cost Required - Purchasing",N196,N196/(1-O196))</f>
        <v>0.14000000000000001</v>
      </c>
      <c r="Q196" s="317"/>
      <c r="R196" s="143">
        <f t="shared" si="124"/>
        <v>0</v>
      </c>
      <c r="S196" s="139">
        <f t="shared" ref="S196" si="140">IF(N196="Cost Required - Purchasing",N196,N196/(1-R196))</f>
        <v>0.14000000000000001</v>
      </c>
      <c r="T196" s="317"/>
      <c r="U196" s="143">
        <f t="shared" si="125"/>
        <v>0</v>
      </c>
      <c r="V196" s="139">
        <f t="shared" ref="V196" si="141">IF(N196="Cost Required - Purchasing",N196,N196/(1-U196))</f>
        <v>0.14000000000000001</v>
      </c>
      <c r="W196" s="49"/>
      <c r="X196" s="15"/>
      <c r="Y196" s="125">
        <f t="shared" ref="Y196" si="142">+M196</f>
        <v>0.14000000000000001</v>
      </c>
      <c r="Z196" s="126"/>
      <c r="AA196" s="127"/>
      <c r="AB196" s="128">
        <f t="shared" ref="AB196" si="143">+IFERROR(((Y196-Z196)/Z196),0%)</f>
        <v>0</v>
      </c>
    </row>
    <row r="197" spans="1:28" ht="31" x14ac:dyDescent="0.35">
      <c r="A197" s="362"/>
      <c r="B197" s="363" t="s">
        <v>833</v>
      </c>
      <c r="C197" s="364" t="s">
        <v>834</v>
      </c>
      <c r="D197" s="364"/>
      <c r="E197" s="362"/>
      <c r="F197" s="363" t="s">
        <v>804</v>
      </c>
      <c r="G197" s="362"/>
      <c r="H197" s="362"/>
      <c r="I197" s="362"/>
      <c r="J197" s="362"/>
      <c r="K197" s="362"/>
      <c r="L197" s="362"/>
      <c r="M197" s="365">
        <v>2.6249999999999987</v>
      </c>
      <c r="N197" s="366">
        <f t="shared" ref="N197" si="144">M197</f>
        <v>2.6249999999999987</v>
      </c>
      <c r="O197" s="367">
        <f t="shared" si="126"/>
        <v>0</v>
      </c>
      <c r="P197" s="368">
        <f t="shared" ref="P197" si="145">IF(N197="Cost Required - Purchasing",N197,N197/(1-O197))</f>
        <v>2.6249999999999987</v>
      </c>
      <c r="Q197" s="369"/>
      <c r="R197" s="367">
        <f t="shared" si="124"/>
        <v>0</v>
      </c>
      <c r="S197" s="368">
        <f t="shared" ref="S197" si="146">IF(N197="Cost Required - Purchasing",N197,N197/(1-R197))</f>
        <v>2.6249999999999987</v>
      </c>
      <c r="T197" s="369"/>
      <c r="U197" s="367">
        <f t="shared" si="125"/>
        <v>0</v>
      </c>
      <c r="V197" s="368">
        <f t="shared" ref="V197" si="147">IF(N197="Cost Required - Purchasing",N197,N197/(1-U197))</f>
        <v>2.6249999999999987</v>
      </c>
      <c r="W197" s="362"/>
      <c r="X197" s="15"/>
      <c r="Y197" s="370">
        <f t="shared" ref="Y197" si="148">+M197</f>
        <v>2.6249999999999987</v>
      </c>
      <c r="Z197" s="371"/>
      <c r="AA197" s="372"/>
      <c r="AB197" s="373">
        <f t="shared" ref="AB197" si="149">+IFERROR(((Y197-Z197)/Z197),0%)</f>
        <v>0</v>
      </c>
    </row>
    <row r="198" spans="1:28" x14ac:dyDescent="0.35">
      <c r="A198" s="11"/>
      <c r="B198" s="121" t="s">
        <v>835</v>
      </c>
      <c r="C198" s="28" t="s">
        <v>836</v>
      </c>
      <c r="D198" s="11"/>
      <c r="E198" s="65"/>
      <c r="F198" s="65" t="s">
        <v>795</v>
      </c>
      <c r="G198" s="65"/>
      <c r="H198" s="65"/>
      <c r="I198" s="65"/>
      <c r="J198" s="65"/>
      <c r="K198" s="65"/>
      <c r="L198" s="65"/>
      <c r="M198" s="142">
        <v>4</v>
      </c>
      <c r="N198" s="142">
        <f>+M198/16</f>
        <v>0.25</v>
      </c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</row>
    <row r="199" spans="1:28" x14ac:dyDescent="0.35">
      <c r="A199" s="49" t="s">
        <v>837</v>
      </c>
      <c r="B199" s="121" t="s">
        <v>838</v>
      </c>
      <c r="C199" s="28" t="s">
        <v>839</v>
      </c>
      <c r="D199" s="28"/>
      <c r="E199" s="49"/>
      <c r="F199" s="121" t="s">
        <v>840</v>
      </c>
      <c r="G199" s="49"/>
      <c r="H199" s="49"/>
      <c r="I199" s="49"/>
      <c r="J199" s="49"/>
      <c r="K199" s="49"/>
      <c r="L199" s="49"/>
      <c r="M199" s="131">
        <v>108.3</v>
      </c>
      <c r="N199" s="142">
        <f t="shared" ref="N199:N214" si="150">M199</f>
        <v>108.3</v>
      </c>
      <c r="O199" s="143">
        <f t="shared" ref="O199:O205" si="151">+$AF$11</f>
        <v>0</v>
      </c>
      <c r="P199" s="131">
        <f t="shared" ref="P199:P231" si="152">+N199*(1+O199)</f>
        <v>108.3</v>
      </c>
      <c r="Q199" s="131"/>
      <c r="R199" s="131"/>
      <c r="S199" s="131"/>
      <c r="T199" s="131"/>
      <c r="U199" s="131"/>
      <c r="V199" s="131"/>
      <c r="W199" s="49"/>
      <c r="X199" s="15"/>
      <c r="Y199" s="125">
        <f t="shared" ref="Y199:Y205" si="153">+M199</f>
        <v>108.3</v>
      </c>
      <c r="Z199" s="126"/>
      <c r="AA199" s="127"/>
      <c r="AB199" s="128">
        <f t="shared" ref="AB199:AB205" si="154">+IFERROR(((Y199-Z199)/Z199),0%)</f>
        <v>0</v>
      </c>
    </row>
    <row r="200" spans="1:28" x14ac:dyDescent="0.35">
      <c r="A200" s="49" t="s">
        <v>837</v>
      </c>
      <c r="B200" s="121" t="s">
        <v>838</v>
      </c>
      <c r="C200" s="28" t="s">
        <v>841</v>
      </c>
      <c r="D200" s="28"/>
      <c r="E200" s="49"/>
      <c r="F200" s="121" t="s">
        <v>840</v>
      </c>
      <c r="G200" s="49"/>
      <c r="H200" s="49"/>
      <c r="I200" s="49"/>
      <c r="J200" s="49"/>
      <c r="K200" s="49"/>
      <c r="L200" s="49"/>
      <c r="M200" s="131">
        <v>116.2</v>
      </c>
      <c r="N200" s="142">
        <f t="shared" si="150"/>
        <v>116.2</v>
      </c>
      <c r="O200" s="143">
        <f t="shared" si="151"/>
        <v>0</v>
      </c>
      <c r="P200" s="131">
        <f t="shared" si="152"/>
        <v>116.2</v>
      </c>
      <c r="Q200" s="131"/>
      <c r="R200" s="131"/>
      <c r="S200" s="131"/>
      <c r="T200" s="131"/>
      <c r="U200" s="131"/>
      <c r="V200" s="131"/>
      <c r="W200" s="49"/>
      <c r="X200" s="15"/>
      <c r="Y200" s="125">
        <f t="shared" si="153"/>
        <v>116.2</v>
      </c>
      <c r="Z200" s="126"/>
      <c r="AA200" s="127"/>
      <c r="AB200" s="128">
        <f t="shared" si="154"/>
        <v>0</v>
      </c>
    </row>
    <row r="201" spans="1:28" x14ac:dyDescent="0.35">
      <c r="A201" s="49" t="s">
        <v>842</v>
      </c>
      <c r="B201" s="145" t="s">
        <v>843</v>
      </c>
      <c r="C201" s="28" t="s">
        <v>844</v>
      </c>
      <c r="D201" s="28"/>
      <c r="E201" s="49"/>
      <c r="F201" s="121" t="s">
        <v>845</v>
      </c>
      <c r="G201" s="49"/>
      <c r="H201" s="49"/>
      <c r="I201" s="49"/>
      <c r="J201" s="49"/>
      <c r="K201" s="49"/>
      <c r="L201" s="49"/>
      <c r="M201" s="131">
        <v>28.99</v>
      </c>
      <c r="N201" s="142">
        <f t="shared" si="150"/>
        <v>28.99</v>
      </c>
      <c r="O201" s="143">
        <f t="shared" si="151"/>
        <v>0</v>
      </c>
      <c r="P201" s="131">
        <f t="shared" si="152"/>
        <v>28.99</v>
      </c>
      <c r="Q201" s="131"/>
      <c r="R201" s="131"/>
      <c r="S201" s="131"/>
      <c r="T201" s="131"/>
      <c r="U201" s="131"/>
      <c r="V201" s="131"/>
      <c r="W201" s="49"/>
      <c r="X201" s="15"/>
      <c r="Y201" s="125">
        <f t="shared" si="153"/>
        <v>28.99</v>
      </c>
      <c r="Z201" s="126"/>
      <c r="AA201" s="127"/>
      <c r="AB201" s="128">
        <f t="shared" si="154"/>
        <v>0</v>
      </c>
    </row>
    <row r="202" spans="1:28" x14ac:dyDescent="0.35">
      <c r="A202" s="49" t="s">
        <v>842</v>
      </c>
      <c r="B202" s="145" t="s">
        <v>843</v>
      </c>
      <c r="C202" s="28" t="s">
        <v>846</v>
      </c>
      <c r="D202" s="28"/>
      <c r="E202" s="49"/>
      <c r="F202" s="121" t="s">
        <v>784</v>
      </c>
      <c r="G202" s="49"/>
      <c r="H202" s="49"/>
      <c r="I202" s="49"/>
      <c r="J202" s="49"/>
      <c r="K202" s="49"/>
      <c r="L202" s="49"/>
      <c r="M202" s="131">
        <v>13.99</v>
      </c>
      <c r="N202" s="142">
        <f t="shared" si="150"/>
        <v>13.99</v>
      </c>
      <c r="O202" s="143">
        <f t="shared" si="151"/>
        <v>0</v>
      </c>
      <c r="P202" s="131">
        <f t="shared" si="152"/>
        <v>13.99</v>
      </c>
      <c r="Q202" s="131"/>
      <c r="R202" s="131"/>
      <c r="S202" s="131"/>
      <c r="T202" s="131"/>
      <c r="U202" s="131"/>
      <c r="V202" s="131"/>
      <c r="W202" s="49"/>
      <c r="X202" s="15"/>
      <c r="Y202" s="125">
        <f t="shared" si="153"/>
        <v>13.99</v>
      </c>
      <c r="Z202" s="126"/>
      <c r="AA202" s="127"/>
      <c r="AB202" s="128">
        <f t="shared" si="154"/>
        <v>0</v>
      </c>
    </row>
    <row r="203" spans="1:28" x14ac:dyDescent="0.35">
      <c r="A203" s="49" t="s">
        <v>778</v>
      </c>
      <c r="B203" s="145" t="s">
        <v>843</v>
      </c>
      <c r="C203" s="28" t="s">
        <v>847</v>
      </c>
      <c r="D203" s="28"/>
      <c r="E203" s="49"/>
      <c r="F203" s="121" t="s">
        <v>845</v>
      </c>
      <c r="G203" s="49"/>
      <c r="H203" s="49"/>
      <c r="I203" s="49"/>
      <c r="J203" s="49"/>
      <c r="K203" s="49"/>
      <c r="L203" s="49"/>
      <c r="M203" s="131">
        <v>17.86</v>
      </c>
      <c r="N203" s="142">
        <f t="shared" si="150"/>
        <v>17.86</v>
      </c>
      <c r="O203" s="143">
        <f t="shared" si="151"/>
        <v>0</v>
      </c>
      <c r="P203" s="131">
        <f t="shared" si="152"/>
        <v>17.86</v>
      </c>
      <c r="Q203" s="131"/>
      <c r="R203" s="131"/>
      <c r="S203" s="131"/>
      <c r="T203" s="131"/>
      <c r="U203" s="131"/>
      <c r="V203" s="131"/>
      <c r="W203" s="49"/>
      <c r="X203" s="15"/>
      <c r="Y203" s="125">
        <f t="shared" si="153"/>
        <v>17.86</v>
      </c>
      <c r="Z203" s="126"/>
      <c r="AA203" s="127"/>
      <c r="AB203" s="128">
        <f t="shared" si="154"/>
        <v>0</v>
      </c>
    </row>
    <row r="204" spans="1:28" x14ac:dyDescent="0.35">
      <c r="A204" s="49" t="s">
        <v>778</v>
      </c>
      <c r="B204" s="145" t="s">
        <v>843</v>
      </c>
      <c r="C204" s="28" t="s">
        <v>848</v>
      </c>
      <c r="D204" s="28"/>
      <c r="E204" s="49"/>
      <c r="F204" s="121" t="s">
        <v>845</v>
      </c>
      <c r="G204" s="49"/>
      <c r="H204" s="49"/>
      <c r="I204" s="49"/>
      <c r="J204" s="49"/>
      <c r="K204" s="49"/>
      <c r="L204" s="49"/>
      <c r="M204" s="131">
        <v>12.89</v>
      </c>
      <c r="N204" s="142">
        <f t="shared" si="150"/>
        <v>12.89</v>
      </c>
      <c r="O204" s="143">
        <f t="shared" si="151"/>
        <v>0</v>
      </c>
      <c r="P204" s="131">
        <f t="shared" si="152"/>
        <v>12.89</v>
      </c>
      <c r="Q204" s="131"/>
      <c r="R204" s="131"/>
      <c r="S204" s="131"/>
      <c r="T204" s="131"/>
      <c r="U204" s="131"/>
      <c r="V204" s="131"/>
      <c r="W204" s="49"/>
      <c r="X204" s="15"/>
      <c r="Y204" s="125">
        <f t="shared" si="153"/>
        <v>12.89</v>
      </c>
      <c r="Z204" s="126"/>
      <c r="AA204" s="127"/>
      <c r="AB204" s="128">
        <f t="shared" si="154"/>
        <v>0</v>
      </c>
    </row>
    <row r="205" spans="1:28" x14ac:dyDescent="0.35">
      <c r="A205" s="49" t="s">
        <v>778</v>
      </c>
      <c r="B205" s="145" t="s">
        <v>843</v>
      </c>
      <c r="C205" s="28" t="s">
        <v>849</v>
      </c>
      <c r="D205" s="28"/>
      <c r="E205" s="49"/>
      <c r="F205" s="121" t="s">
        <v>845</v>
      </c>
      <c r="G205" s="49"/>
      <c r="H205" s="49"/>
      <c r="I205" s="49"/>
      <c r="J205" s="49"/>
      <c r="K205" s="49"/>
      <c r="L205" s="49"/>
      <c r="M205" s="131">
        <v>19.68</v>
      </c>
      <c r="N205" s="142">
        <f t="shared" si="150"/>
        <v>19.68</v>
      </c>
      <c r="O205" s="143">
        <f t="shared" si="151"/>
        <v>0</v>
      </c>
      <c r="P205" s="131">
        <f t="shared" si="152"/>
        <v>19.68</v>
      </c>
      <c r="Q205" s="131"/>
      <c r="R205" s="131"/>
      <c r="S205" s="131"/>
      <c r="T205" s="131"/>
      <c r="U205" s="131"/>
      <c r="V205" s="131"/>
      <c r="W205" s="49"/>
      <c r="X205" s="15"/>
      <c r="Y205" s="125">
        <f t="shared" si="153"/>
        <v>19.68</v>
      </c>
      <c r="Z205" s="126"/>
      <c r="AA205" s="127"/>
      <c r="AB205" s="128">
        <f t="shared" si="154"/>
        <v>0</v>
      </c>
    </row>
    <row r="206" spans="1:28" x14ac:dyDescent="0.35">
      <c r="A206" s="49"/>
      <c r="B206" s="121" t="s">
        <v>968</v>
      </c>
      <c r="C206" s="28" t="s">
        <v>969</v>
      </c>
      <c r="D206" s="28"/>
      <c r="E206" s="49"/>
      <c r="F206" s="121" t="s">
        <v>804</v>
      </c>
      <c r="G206" s="49"/>
      <c r="H206" s="49"/>
      <c r="I206" s="49"/>
      <c r="J206" s="49"/>
      <c r="K206" s="49"/>
      <c r="L206" s="49"/>
      <c r="M206" s="131">
        <f>+((4/144)*2*$N$3)+((12/60)*52)</f>
        <v>10.465686516761387</v>
      </c>
      <c r="N206" s="142">
        <f t="shared" si="150"/>
        <v>10.465686516761387</v>
      </c>
      <c r="O206" s="143"/>
      <c r="P206" s="131">
        <f t="shared" si="152"/>
        <v>10.465686516761387</v>
      </c>
      <c r="Q206" s="131"/>
      <c r="R206" s="131"/>
      <c r="S206" s="131"/>
      <c r="T206" s="131"/>
      <c r="U206" s="131"/>
      <c r="V206" s="131"/>
      <c r="W206" s="49"/>
      <c r="X206" s="15"/>
      <c r="Y206" s="125"/>
      <c r="Z206" s="126"/>
      <c r="AA206" s="127"/>
      <c r="AB206" s="128"/>
    </row>
    <row r="207" spans="1:28" x14ac:dyDescent="0.35">
      <c r="A207" s="49"/>
      <c r="B207" s="121" t="s">
        <v>968</v>
      </c>
      <c r="C207" s="28" t="s">
        <v>973</v>
      </c>
      <c r="D207" s="28"/>
      <c r="E207" s="49"/>
      <c r="F207" s="121" t="s">
        <v>804</v>
      </c>
      <c r="G207" s="49"/>
      <c r="H207" s="49"/>
      <c r="I207" s="49"/>
      <c r="J207" s="49"/>
      <c r="K207" s="49"/>
      <c r="L207" s="49"/>
      <c r="M207" s="131">
        <f>+((10/144)*2*$N$3)+((12/60)*52)</f>
        <v>10.564216291903469</v>
      </c>
      <c r="N207" s="142">
        <f t="shared" si="150"/>
        <v>10.564216291903469</v>
      </c>
      <c r="O207" s="143"/>
      <c r="P207" s="131">
        <f t="shared" si="152"/>
        <v>10.564216291903469</v>
      </c>
      <c r="Q207" s="131"/>
      <c r="R207" s="131"/>
      <c r="S207" s="131"/>
      <c r="T207" s="131"/>
      <c r="U207" s="131"/>
      <c r="V207" s="131"/>
      <c r="W207" s="49"/>
      <c r="X207" s="15"/>
      <c r="Y207" s="125"/>
      <c r="Z207" s="126"/>
      <c r="AA207" s="127"/>
      <c r="AB207" s="128"/>
    </row>
    <row r="208" spans="1:28" x14ac:dyDescent="0.35">
      <c r="A208" s="49"/>
      <c r="B208" s="121" t="s">
        <v>968</v>
      </c>
      <c r="C208" s="28" t="s">
        <v>974</v>
      </c>
      <c r="D208" s="28"/>
      <c r="E208" s="49"/>
      <c r="F208" s="121" t="s">
        <v>804</v>
      </c>
      <c r="G208" s="49"/>
      <c r="H208" s="49"/>
      <c r="I208" s="49"/>
      <c r="J208" s="49"/>
      <c r="K208" s="49"/>
      <c r="L208" s="49"/>
      <c r="M208" s="131">
        <f>+((14/144)*2*$N$3)+((12/60)*52)</f>
        <v>10.629902808664855</v>
      </c>
      <c r="N208" s="142">
        <f t="shared" si="150"/>
        <v>10.629902808664855</v>
      </c>
      <c r="O208" s="143"/>
      <c r="P208" s="131">
        <f t="shared" si="152"/>
        <v>10.629902808664855</v>
      </c>
      <c r="Q208" s="131"/>
      <c r="R208" s="131"/>
      <c r="S208" s="131"/>
      <c r="T208" s="131"/>
      <c r="U208" s="131"/>
      <c r="V208" s="131"/>
      <c r="W208" s="49"/>
      <c r="X208" s="15"/>
      <c r="Y208" s="125"/>
      <c r="Z208" s="126"/>
      <c r="AA208" s="127"/>
      <c r="AB208" s="128"/>
    </row>
    <row r="209" spans="1:28" x14ac:dyDescent="0.35">
      <c r="A209" s="49"/>
      <c r="B209" s="121" t="s">
        <v>968</v>
      </c>
      <c r="C209" s="28" t="s">
        <v>975</v>
      </c>
      <c r="D209" s="28"/>
      <c r="E209" s="49"/>
      <c r="F209" s="121" t="s">
        <v>804</v>
      </c>
      <c r="G209" s="49"/>
      <c r="H209" s="49"/>
      <c r="I209" s="49"/>
      <c r="J209" s="49"/>
      <c r="K209" s="49"/>
      <c r="L209" s="49"/>
      <c r="M209" s="131">
        <f>+((4/144)*2*$N$5)+((12/60)*52)</f>
        <v>10.462037265830199</v>
      </c>
      <c r="N209" s="142">
        <f t="shared" si="150"/>
        <v>10.462037265830199</v>
      </c>
      <c r="O209" s="143"/>
      <c r="P209" s="131">
        <f t="shared" si="152"/>
        <v>10.462037265830199</v>
      </c>
      <c r="Q209" s="131"/>
      <c r="R209" s="131"/>
      <c r="S209" s="131"/>
      <c r="T209" s="131"/>
      <c r="U209" s="131"/>
      <c r="V209" s="131"/>
      <c r="W209" s="49"/>
      <c r="X209" s="15"/>
      <c r="Y209" s="125"/>
      <c r="Z209" s="126"/>
      <c r="AA209" s="127"/>
      <c r="AB209" s="128"/>
    </row>
    <row r="210" spans="1:28" x14ac:dyDescent="0.35">
      <c r="A210" s="49"/>
      <c r="B210" s="121" t="s">
        <v>968</v>
      </c>
      <c r="C210" s="28" t="s">
        <v>976</v>
      </c>
      <c r="D210" s="28"/>
      <c r="E210" s="49"/>
      <c r="F210" s="121" t="s">
        <v>804</v>
      </c>
      <c r="G210" s="49"/>
      <c r="H210" s="49"/>
      <c r="I210" s="49"/>
      <c r="J210" s="49"/>
      <c r="K210" s="49"/>
      <c r="L210" s="49"/>
      <c r="M210" s="131">
        <f>+((10/144)*2*$N$5)+((12/60)*52)</f>
        <v>10.555093164575498</v>
      </c>
      <c r="N210" s="142">
        <f t="shared" si="150"/>
        <v>10.555093164575498</v>
      </c>
      <c r="O210" s="143"/>
      <c r="P210" s="131">
        <f t="shared" si="152"/>
        <v>10.555093164575498</v>
      </c>
      <c r="Q210" s="131"/>
      <c r="R210" s="131"/>
      <c r="S210" s="131"/>
      <c r="T210" s="131"/>
      <c r="U210" s="131"/>
      <c r="V210" s="131"/>
      <c r="W210" s="49"/>
      <c r="X210" s="15"/>
      <c r="Y210" s="125"/>
      <c r="Z210" s="126"/>
      <c r="AA210" s="127"/>
      <c r="AB210" s="128"/>
    </row>
    <row r="211" spans="1:28" x14ac:dyDescent="0.35">
      <c r="A211" s="49"/>
      <c r="B211" s="121" t="s">
        <v>968</v>
      </c>
      <c r="C211" s="28" t="s">
        <v>977</v>
      </c>
      <c r="D211" s="28"/>
      <c r="E211" s="49"/>
      <c r="F211" s="121" t="s">
        <v>804</v>
      </c>
      <c r="G211" s="49"/>
      <c r="H211" s="49"/>
      <c r="I211" s="49"/>
      <c r="J211" s="49"/>
      <c r="K211" s="49"/>
      <c r="L211" s="49"/>
      <c r="M211" s="131">
        <f>+((14/144)*2*$N$5)+((12/60)*52)</f>
        <v>10.617130430405696</v>
      </c>
      <c r="N211" s="142">
        <f t="shared" si="150"/>
        <v>10.617130430405696</v>
      </c>
      <c r="O211" s="143"/>
      <c r="P211" s="131">
        <f t="shared" si="152"/>
        <v>10.617130430405696</v>
      </c>
      <c r="Q211" s="131"/>
      <c r="R211" s="131"/>
      <c r="S211" s="131"/>
      <c r="T211" s="131"/>
      <c r="U211" s="131"/>
      <c r="V211" s="131"/>
      <c r="W211" s="49"/>
      <c r="X211" s="15"/>
      <c r="Y211" s="125"/>
      <c r="Z211" s="126"/>
      <c r="AA211" s="127"/>
      <c r="AB211" s="128"/>
    </row>
    <row r="212" spans="1:28" x14ac:dyDescent="0.35">
      <c r="A212" s="49"/>
      <c r="B212" s="121" t="s">
        <v>968</v>
      </c>
      <c r="C212" s="28" t="s">
        <v>978</v>
      </c>
      <c r="D212" s="28"/>
      <c r="E212" s="49"/>
      <c r="F212" s="121" t="s">
        <v>804</v>
      </c>
      <c r="G212" s="49"/>
      <c r="H212" s="49"/>
      <c r="I212" s="49"/>
      <c r="J212" s="49"/>
      <c r="K212" s="49"/>
      <c r="L212" s="49"/>
      <c r="M212" s="131">
        <f>+((4/144)*2*$N$6)+((17/60)*52)</f>
        <v>14.901344086021505</v>
      </c>
      <c r="N212" s="142">
        <f t="shared" si="150"/>
        <v>14.901344086021505</v>
      </c>
      <c r="O212" s="143"/>
      <c r="P212" s="131">
        <f t="shared" si="152"/>
        <v>14.901344086021505</v>
      </c>
      <c r="Q212" s="131"/>
      <c r="R212" s="131"/>
      <c r="S212" s="131"/>
      <c r="T212" s="131"/>
      <c r="U212" s="131"/>
      <c r="V212" s="131"/>
      <c r="W212" s="49"/>
      <c r="X212" s="15"/>
      <c r="Y212" s="125"/>
      <c r="Z212" s="126"/>
      <c r="AA212" s="127"/>
      <c r="AB212" s="128"/>
    </row>
    <row r="213" spans="1:28" x14ac:dyDescent="0.35">
      <c r="A213" s="49"/>
      <c r="B213" s="121" t="s">
        <v>968</v>
      </c>
      <c r="C213" s="28" t="s">
        <v>979</v>
      </c>
      <c r="D213" s="28"/>
      <c r="E213" s="49"/>
      <c r="F213" s="121" t="s">
        <v>804</v>
      </c>
      <c r="G213" s="49"/>
      <c r="H213" s="49"/>
      <c r="I213" s="49"/>
      <c r="J213" s="49"/>
      <c r="K213" s="49"/>
      <c r="L213" s="49"/>
      <c r="M213" s="131">
        <f>+((10/144)*2*$N$6)+((17/60)*52)</f>
        <v>15.153360215053763</v>
      </c>
      <c r="N213" s="142">
        <f t="shared" si="150"/>
        <v>15.153360215053763</v>
      </c>
      <c r="O213" s="143"/>
      <c r="P213" s="131">
        <f t="shared" si="152"/>
        <v>15.153360215053763</v>
      </c>
      <c r="Q213" s="131"/>
      <c r="R213" s="131"/>
      <c r="S213" s="131"/>
      <c r="T213" s="131"/>
      <c r="U213" s="131"/>
      <c r="V213" s="131"/>
      <c r="W213" s="49"/>
      <c r="X213" s="15"/>
      <c r="Y213" s="125"/>
      <c r="Z213" s="126"/>
      <c r="AA213" s="127"/>
      <c r="AB213" s="128"/>
    </row>
    <row r="214" spans="1:28" x14ac:dyDescent="0.35">
      <c r="A214" s="49"/>
      <c r="B214" s="121" t="s">
        <v>968</v>
      </c>
      <c r="C214" s="28" t="s">
        <v>980</v>
      </c>
      <c r="D214" s="28"/>
      <c r="E214" s="49"/>
      <c r="F214" s="121" t="s">
        <v>804</v>
      </c>
      <c r="G214" s="49"/>
      <c r="H214" s="49"/>
      <c r="I214" s="49"/>
      <c r="J214" s="49"/>
      <c r="K214" s="49"/>
      <c r="L214" s="49"/>
      <c r="M214" s="131">
        <f>+((14/144)*2*$N$6)+((17/60)*52)</f>
        <v>15.321370967741935</v>
      </c>
      <c r="N214" s="142">
        <f t="shared" si="150"/>
        <v>15.321370967741935</v>
      </c>
      <c r="O214" s="143"/>
      <c r="P214" s="131">
        <f t="shared" si="152"/>
        <v>15.321370967741935</v>
      </c>
      <c r="Q214" s="131"/>
      <c r="R214" s="131"/>
      <c r="S214" s="131"/>
      <c r="T214" s="131"/>
      <c r="U214" s="131"/>
      <c r="V214" s="131"/>
      <c r="W214" s="49"/>
      <c r="X214" s="15"/>
      <c r="Y214" s="125"/>
      <c r="Z214" s="126"/>
      <c r="AA214" s="127"/>
      <c r="AB214" s="128"/>
    </row>
    <row r="215" spans="1:28" x14ac:dyDescent="0.35">
      <c r="A215" s="49"/>
      <c r="B215" s="121" t="s">
        <v>968</v>
      </c>
      <c r="C215" s="28" t="s">
        <v>981</v>
      </c>
      <c r="D215" s="28"/>
      <c r="E215" s="49"/>
      <c r="F215" s="121" t="s">
        <v>804</v>
      </c>
      <c r="G215" s="49"/>
      <c r="H215" s="49"/>
      <c r="I215" s="49"/>
      <c r="J215" s="49"/>
      <c r="K215" s="49"/>
      <c r="L215" s="49"/>
      <c r="M215" s="131">
        <f>+((4/144)*2*$N$3)+((12/60)*52)</f>
        <v>10.465686516761387</v>
      </c>
      <c r="N215" s="142">
        <f t="shared" ref="N215:N231" si="155">M215</f>
        <v>10.465686516761387</v>
      </c>
      <c r="O215" s="143"/>
      <c r="P215" s="131">
        <f t="shared" si="152"/>
        <v>10.465686516761387</v>
      </c>
      <c r="Q215" s="131"/>
      <c r="R215" s="131"/>
      <c r="S215" s="131"/>
      <c r="T215" s="131"/>
      <c r="U215" s="131"/>
      <c r="V215" s="131"/>
      <c r="W215" s="49"/>
      <c r="X215" s="15"/>
      <c r="Y215" s="125"/>
      <c r="Z215" s="126"/>
      <c r="AA215" s="127"/>
      <c r="AB215" s="128"/>
    </row>
    <row r="216" spans="1:28" x14ac:dyDescent="0.35">
      <c r="A216" s="49"/>
      <c r="B216" s="121" t="s">
        <v>968</v>
      </c>
      <c r="C216" s="28" t="s">
        <v>982</v>
      </c>
      <c r="D216" s="28"/>
      <c r="E216" s="49"/>
      <c r="F216" s="121" t="s">
        <v>804</v>
      </c>
      <c r="G216" s="49"/>
      <c r="H216" s="49"/>
      <c r="I216" s="49"/>
      <c r="J216" s="49"/>
      <c r="K216" s="49"/>
      <c r="L216" s="49"/>
      <c r="M216" s="131">
        <f>+((10/144)*2*$N$3)+((12/60)*52)</f>
        <v>10.564216291903469</v>
      </c>
      <c r="N216" s="142">
        <f t="shared" si="155"/>
        <v>10.564216291903469</v>
      </c>
      <c r="O216" s="143"/>
      <c r="P216" s="131">
        <f t="shared" si="152"/>
        <v>10.564216291903469</v>
      </c>
      <c r="Q216" s="131"/>
      <c r="R216" s="131"/>
      <c r="S216" s="131"/>
      <c r="T216" s="131"/>
      <c r="U216" s="131"/>
      <c r="V216" s="131"/>
      <c r="W216" s="49"/>
      <c r="X216" s="15"/>
      <c r="Y216" s="125"/>
      <c r="Z216" s="126"/>
      <c r="AA216" s="127"/>
      <c r="AB216" s="128"/>
    </row>
    <row r="217" spans="1:28" x14ac:dyDescent="0.35">
      <c r="A217" s="49"/>
      <c r="B217" s="121" t="s">
        <v>968</v>
      </c>
      <c r="C217" s="28" t="s">
        <v>983</v>
      </c>
      <c r="D217" s="28"/>
      <c r="E217" s="49"/>
      <c r="F217" s="121" t="s">
        <v>804</v>
      </c>
      <c r="G217" s="49"/>
      <c r="H217" s="49"/>
      <c r="I217" s="49"/>
      <c r="J217" s="49"/>
      <c r="K217" s="49"/>
      <c r="L217" s="49"/>
      <c r="M217" s="131">
        <f>+((14/144)*2*$N$3)+((12/60)*52)</f>
        <v>10.629902808664855</v>
      </c>
      <c r="N217" s="142">
        <f t="shared" si="155"/>
        <v>10.629902808664855</v>
      </c>
      <c r="O217" s="143"/>
      <c r="P217" s="131">
        <f t="shared" si="152"/>
        <v>10.629902808664855</v>
      </c>
      <c r="Q217" s="131"/>
      <c r="R217" s="131"/>
      <c r="S217" s="131"/>
      <c r="T217" s="131"/>
      <c r="U217" s="131"/>
      <c r="V217" s="131"/>
      <c r="W217" s="49"/>
      <c r="X217" s="15"/>
      <c r="Y217" s="125"/>
      <c r="Z217" s="126"/>
      <c r="AA217" s="127"/>
      <c r="AB217" s="128"/>
    </row>
    <row r="218" spans="1:28" x14ac:dyDescent="0.35">
      <c r="A218" s="49"/>
      <c r="B218" s="121" t="s">
        <v>968</v>
      </c>
      <c r="C218" s="28" t="s">
        <v>984</v>
      </c>
      <c r="D218" s="28"/>
      <c r="E218" s="49"/>
      <c r="F218" s="121" t="s">
        <v>804</v>
      </c>
      <c r="G218" s="49"/>
      <c r="H218" s="49"/>
      <c r="I218" s="49"/>
      <c r="J218" s="49"/>
      <c r="K218" s="49"/>
      <c r="L218" s="49"/>
      <c r="M218" s="131">
        <f>+((4/144)*2*$N$5)+((12/60)*52)</f>
        <v>10.462037265830199</v>
      </c>
      <c r="N218" s="142">
        <f t="shared" si="155"/>
        <v>10.462037265830199</v>
      </c>
      <c r="O218" s="143"/>
      <c r="P218" s="131">
        <f t="shared" si="152"/>
        <v>10.462037265830199</v>
      </c>
      <c r="Q218" s="131"/>
      <c r="R218" s="131"/>
      <c r="S218" s="131"/>
      <c r="T218" s="131"/>
      <c r="U218" s="131"/>
      <c r="V218" s="131"/>
      <c r="W218" s="49"/>
      <c r="X218" s="15"/>
      <c r="Y218" s="125"/>
      <c r="Z218" s="126"/>
      <c r="AA218" s="127"/>
      <c r="AB218" s="128"/>
    </row>
    <row r="219" spans="1:28" x14ac:dyDescent="0.35">
      <c r="A219" s="49"/>
      <c r="B219" s="121" t="s">
        <v>968</v>
      </c>
      <c r="C219" s="28" t="s">
        <v>985</v>
      </c>
      <c r="D219" s="28"/>
      <c r="E219" s="49"/>
      <c r="F219" s="121" t="s">
        <v>804</v>
      </c>
      <c r="G219" s="49"/>
      <c r="H219" s="49"/>
      <c r="I219" s="49"/>
      <c r="J219" s="49"/>
      <c r="K219" s="49"/>
      <c r="L219" s="49"/>
      <c r="M219" s="131">
        <f>+((10/144)*2*$N$5)+((12/60)*52)</f>
        <v>10.555093164575498</v>
      </c>
      <c r="N219" s="142">
        <f t="shared" si="155"/>
        <v>10.555093164575498</v>
      </c>
      <c r="O219" s="143"/>
      <c r="P219" s="131">
        <f t="shared" si="152"/>
        <v>10.555093164575498</v>
      </c>
      <c r="Q219" s="131"/>
      <c r="R219" s="131"/>
      <c r="S219" s="131"/>
      <c r="T219" s="131"/>
      <c r="U219" s="131"/>
      <c r="V219" s="131"/>
      <c r="W219" s="49"/>
      <c r="X219" s="15"/>
      <c r="Y219" s="125"/>
      <c r="Z219" s="126"/>
      <c r="AA219" s="127"/>
      <c r="AB219" s="128"/>
    </row>
    <row r="220" spans="1:28" x14ac:dyDescent="0.35">
      <c r="A220" s="49"/>
      <c r="B220" s="121" t="s">
        <v>968</v>
      </c>
      <c r="C220" s="28" t="s">
        <v>986</v>
      </c>
      <c r="D220" s="28"/>
      <c r="E220" s="49"/>
      <c r="F220" s="121" t="s">
        <v>804</v>
      </c>
      <c r="G220" s="49"/>
      <c r="H220" s="49"/>
      <c r="I220" s="49"/>
      <c r="J220" s="49"/>
      <c r="K220" s="49"/>
      <c r="L220" s="49"/>
      <c r="M220" s="131">
        <f>+((14/144)*2*$N$5)+((12/60)*52)</f>
        <v>10.617130430405696</v>
      </c>
      <c r="N220" s="142">
        <f t="shared" si="155"/>
        <v>10.617130430405696</v>
      </c>
      <c r="O220" s="143"/>
      <c r="P220" s="131">
        <f t="shared" si="152"/>
        <v>10.617130430405696</v>
      </c>
      <c r="Q220" s="131"/>
      <c r="R220" s="131"/>
      <c r="S220" s="131"/>
      <c r="T220" s="131"/>
      <c r="U220" s="131"/>
      <c r="V220" s="131"/>
      <c r="W220" s="49"/>
      <c r="X220" s="15"/>
      <c r="Y220" s="125"/>
      <c r="Z220" s="126"/>
      <c r="AA220" s="127"/>
      <c r="AB220" s="128"/>
    </row>
    <row r="221" spans="1:28" x14ac:dyDescent="0.35">
      <c r="A221" s="49"/>
      <c r="B221" s="121" t="s">
        <v>968</v>
      </c>
      <c r="C221" s="28" t="s">
        <v>987</v>
      </c>
      <c r="D221" s="28"/>
      <c r="E221" s="49"/>
      <c r="F221" s="121" t="s">
        <v>804</v>
      </c>
      <c r="G221" s="49"/>
      <c r="H221" s="49"/>
      <c r="I221" s="49"/>
      <c r="J221" s="49"/>
      <c r="K221" s="49"/>
      <c r="L221" s="49"/>
      <c r="M221" s="131">
        <f>+((4/144)*2*$N$6)+((17/60)*52)</f>
        <v>14.901344086021505</v>
      </c>
      <c r="N221" s="142">
        <f t="shared" si="155"/>
        <v>14.901344086021505</v>
      </c>
      <c r="O221" s="143"/>
      <c r="P221" s="131">
        <f t="shared" si="152"/>
        <v>14.901344086021505</v>
      </c>
      <c r="Q221" s="131"/>
      <c r="R221" s="131"/>
      <c r="S221" s="131"/>
      <c r="T221" s="131"/>
      <c r="U221" s="131"/>
      <c r="V221" s="131"/>
      <c r="W221" s="49"/>
      <c r="X221" s="15"/>
      <c r="Y221" s="125"/>
      <c r="Z221" s="126"/>
      <c r="AA221" s="127"/>
      <c r="AB221" s="128"/>
    </row>
    <row r="222" spans="1:28" x14ac:dyDescent="0.35">
      <c r="A222" s="49"/>
      <c r="B222" s="121" t="s">
        <v>968</v>
      </c>
      <c r="C222" s="28" t="s">
        <v>988</v>
      </c>
      <c r="D222" s="28"/>
      <c r="E222" s="49"/>
      <c r="F222" s="121" t="s">
        <v>804</v>
      </c>
      <c r="G222" s="49"/>
      <c r="H222" s="49"/>
      <c r="I222" s="49"/>
      <c r="J222" s="49"/>
      <c r="K222" s="49"/>
      <c r="L222" s="49"/>
      <c r="M222" s="131">
        <f>+((10/144)*2*$N$6)+((17/60)*52)</f>
        <v>15.153360215053763</v>
      </c>
      <c r="N222" s="142">
        <f t="shared" si="155"/>
        <v>15.153360215053763</v>
      </c>
      <c r="O222" s="143"/>
      <c r="P222" s="131">
        <f t="shared" si="152"/>
        <v>15.153360215053763</v>
      </c>
      <c r="Q222" s="131"/>
      <c r="R222" s="131"/>
      <c r="S222" s="131"/>
      <c r="T222" s="131"/>
      <c r="U222" s="131"/>
      <c r="V222" s="131"/>
      <c r="W222" s="49"/>
      <c r="X222" s="15"/>
      <c r="Y222" s="125"/>
      <c r="Z222" s="126"/>
      <c r="AA222" s="127"/>
      <c r="AB222" s="128"/>
    </row>
    <row r="223" spans="1:28" x14ac:dyDescent="0.35">
      <c r="A223" s="49"/>
      <c r="B223" s="121" t="s">
        <v>968</v>
      </c>
      <c r="C223" s="28" t="s">
        <v>989</v>
      </c>
      <c r="D223" s="28"/>
      <c r="E223" s="49"/>
      <c r="F223" s="121" t="s">
        <v>804</v>
      </c>
      <c r="G223" s="49"/>
      <c r="H223" s="49"/>
      <c r="I223" s="49"/>
      <c r="J223" s="49"/>
      <c r="K223" s="49"/>
      <c r="L223" s="49"/>
      <c r="M223" s="131">
        <f>+((14/144)*2*$N$6)+((17/60)*52)</f>
        <v>15.321370967741935</v>
      </c>
      <c r="N223" s="142">
        <f t="shared" si="155"/>
        <v>15.321370967741935</v>
      </c>
      <c r="O223" s="143"/>
      <c r="P223" s="131">
        <f t="shared" si="152"/>
        <v>15.321370967741935</v>
      </c>
      <c r="Q223" s="131"/>
      <c r="R223" s="131"/>
      <c r="S223" s="131"/>
      <c r="T223" s="131"/>
      <c r="U223" s="131"/>
      <c r="V223" s="131"/>
      <c r="W223" s="49"/>
      <c r="X223" s="15"/>
      <c r="Y223" s="125"/>
      <c r="Z223" s="126"/>
      <c r="AA223" s="127"/>
      <c r="AB223" s="128"/>
    </row>
    <row r="224" spans="1:28" x14ac:dyDescent="0.35">
      <c r="A224" s="49"/>
      <c r="B224" s="121" t="s">
        <v>990</v>
      </c>
      <c r="C224" s="28" t="s">
        <v>991</v>
      </c>
      <c r="D224" s="28"/>
      <c r="E224" s="49"/>
      <c r="F224" s="121" t="s">
        <v>992</v>
      </c>
      <c r="G224" s="49"/>
      <c r="H224" s="49"/>
      <c r="I224" s="49"/>
      <c r="J224" s="49"/>
      <c r="K224" s="49"/>
      <c r="L224" s="49"/>
      <c r="M224" s="131">
        <f>200/1.35</f>
        <v>148.14814814814815</v>
      </c>
      <c r="N224" s="142">
        <f t="shared" si="155"/>
        <v>148.14814814814815</v>
      </c>
      <c r="O224" s="143"/>
      <c r="P224" s="131">
        <f t="shared" si="152"/>
        <v>148.14814814814815</v>
      </c>
      <c r="Q224" s="131"/>
      <c r="R224" s="131"/>
      <c r="S224" s="131"/>
      <c r="T224" s="131"/>
      <c r="U224" s="131"/>
      <c r="V224" s="131"/>
      <c r="W224" s="49"/>
      <c r="X224" s="15"/>
      <c r="Y224" s="125"/>
      <c r="Z224" s="126"/>
      <c r="AA224" s="127"/>
      <c r="AB224" s="128"/>
    </row>
    <row r="225" spans="1:28" x14ac:dyDescent="0.35">
      <c r="A225" s="49"/>
      <c r="B225" s="121" t="s">
        <v>1014</v>
      </c>
      <c r="C225" s="28" t="s">
        <v>994</v>
      </c>
      <c r="D225" s="28"/>
      <c r="E225" s="49"/>
      <c r="F225" s="121" t="s">
        <v>992</v>
      </c>
      <c r="G225" s="49"/>
      <c r="H225" s="49"/>
      <c r="I225" s="49"/>
      <c r="J225" s="49"/>
      <c r="K225" s="49"/>
      <c r="L225" s="49"/>
      <c r="M225" s="131">
        <f>195/1.35</f>
        <v>144.44444444444443</v>
      </c>
      <c r="N225" s="142">
        <f t="shared" si="155"/>
        <v>144.44444444444443</v>
      </c>
      <c r="O225" s="143"/>
      <c r="P225" s="131">
        <f t="shared" si="152"/>
        <v>144.44444444444443</v>
      </c>
      <c r="Q225" s="131"/>
      <c r="R225" s="131"/>
      <c r="S225" s="131"/>
      <c r="T225" s="131"/>
      <c r="U225" s="131"/>
      <c r="V225" s="131"/>
      <c r="W225" s="49"/>
      <c r="X225" s="15"/>
      <c r="Y225" s="125"/>
      <c r="Z225" s="126"/>
      <c r="AA225" s="127"/>
      <c r="AB225" s="128"/>
    </row>
    <row r="226" spans="1:28" x14ac:dyDescent="0.35">
      <c r="A226" s="49"/>
      <c r="B226" s="121" t="s">
        <v>993</v>
      </c>
      <c r="C226" s="28" t="s">
        <v>1006</v>
      </c>
      <c r="D226" s="28"/>
      <c r="E226" s="49"/>
      <c r="F226" s="121" t="s">
        <v>1013</v>
      </c>
      <c r="G226" s="49"/>
      <c r="H226" s="49"/>
      <c r="I226" s="49"/>
      <c r="J226" s="49"/>
      <c r="K226" s="49"/>
      <c r="L226" s="49"/>
      <c r="M226" s="131">
        <v>6.17</v>
      </c>
      <c r="N226" s="142">
        <f t="shared" si="155"/>
        <v>6.17</v>
      </c>
      <c r="O226" s="143"/>
      <c r="P226" s="131">
        <f t="shared" si="152"/>
        <v>6.17</v>
      </c>
      <c r="Q226" s="131"/>
      <c r="R226" s="131"/>
      <c r="S226" s="131"/>
      <c r="T226" s="131"/>
      <c r="U226" s="131"/>
      <c r="V226" s="131"/>
      <c r="W226" s="49"/>
      <c r="X226" s="15"/>
      <c r="Y226" s="125"/>
      <c r="Z226" s="126"/>
      <c r="AA226" s="127"/>
      <c r="AB226" s="128"/>
    </row>
    <row r="227" spans="1:28" x14ac:dyDescent="0.35">
      <c r="A227" s="49"/>
      <c r="B227" s="121" t="s">
        <v>995</v>
      </c>
      <c r="C227" s="28" t="s">
        <v>995</v>
      </c>
      <c r="D227" s="28"/>
      <c r="E227" s="49"/>
      <c r="F227" s="121" t="s">
        <v>996</v>
      </c>
      <c r="G227" s="49"/>
      <c r="H227" s="49"/>
      <c r="I227" s="49"/>
      <c r="J227" s="49"/>
      <c r="K227" s="49"/>
      <c r="L227" s="49"/>
      <c r="M227" s="131">
        <f>125/1.35</f>
        <v>92.592592592592581</v>
      </c>
      <c r="N227" s="142">
        <f t="shared" si="155"/>
        <v>92.592592592592581</v>
      </c>
      <c r="O227" s="143"/>
      <c r="P227" s="131">
        <f t="shared" si="152"/>
        <v>92.592592592592581</v>
      </c>
      <c r="Q227" s="131"/>
      <c r="R227" s="131"/>
      <c r="S227" s="131"/>
      <c r="T227" s="131"/>
      <c r="U227" s="131"/>
      <c r="V227" s="131"/>
      <c r="W227" s="49"/>
      <c r="X227" s="15"/>
      <c r="Y227" s="125"/>
      <c r="Z227" s="126"/>
      <c r="AA227" s="127"/>
      <c r="AB227" s="128"/>
    </row>
    <row r="228" spans="1:28" x14ac:dyDescent="0.35">
      <c r="A228" s="49"/>
      <c r="B228" s="121" t="s">
        <v>1008</v>
      </c>
      <c r="C228" s="28" t="s">
        <v>1009</v>
      </c>
      <c r="D228" s="28"/>
      <c r="E228" s="49"/>
      <c r="F228" s="121" t="s">
        <v>804</v>
      </c>
      <c r="G228" s="49"/>
      <c r="H228" s="49"/>
      <c r="I228" s="49"/>
      <c r="J228" s="49"/>
      <c r="K228" s="49"/>
      <c r="L228" s="49"/>
      <c r="M228" s="131">
        <v>8.25</v>
      </c>
      <c r="N228" s="142">
        <f t="shared" si="155"/>
        <v>8.25</v>
      </c>
      <c r="O228" s="143"/>
      <c r="P228" s="131">
        <f t="shared" si="152"/>
        <v>8.25</v>
      </c>
      <c r="Q228" s="131"/>
      <c r="R228" s="131"/>
      <c r="S228" s="131"/>
      <c r="T228" s="131"/>
      <c r="U228" s="131"/>
      <c r="V228" s="131"/>
      <c r="W228" s="49"/>
      <c r="X228" s="15"/>
      <c r="Y228" s="125"/>
      <c r="Z228" s="126"/>
      <c r="AA228" s="127"/>
      <c r="AB228" s="128"/>
    </row>
    <row r="229" spans="1:28" x14ac:dyDescent="0.35">
      <c r="A229" s="49"/>
      <c r="B229" s="121" t="s">
        <v>1008</v>
      </c>
      <c r="C229" s="28" t="s">
        <v>1010</v>
      </c>
      <c r="D229" s="28"/>
      <c r="E229" s="49"/>
      <c r="F229" s="121" t="s">
        <v>804</v>
      </c>
      <c r="G229" s="49"/>
      <c r="H229" s="49"/>
      <c r="I229" s="49"/>
      <c r="J229" s="49"/>
      <c r="K229" s="49"/>
      <c r="L229" s="49"/>
      <c r="M229" s="131">
        <v>9.5</v>
      </c>
      <c r="N229" s="142">
        <f t="shared" si="155"/>
        <v>9.5</v>
      </c>
      <c r="O229" s="143"/>
      <c r="P229" s="131">
        <f t="shared" si="152"/>
        <v>9.5</v>
      </c>
      <c r="Q229" s="131"/>
      <c r="R229" s="131"/>
      <c r="S229" s="131"/>
      <c r="T229" s="131"/>
      <c r="U229" s="131"/>
      <c r="V229" s="131"/>
      <c r="W229" s="49"/>
      <c r="X229" s="15"/>
      <c r="Y229" s="125"/>
      <c r="Z229" s="126"/>
      <c r="AA229" s="127"/>
      <c r="AB229" s="128"/>
    </row>
    <row r="230" spans="1:28" x14ac:dyDescent="0.35">
      <c r="A230" s="49"/>
      <c r="B230" s="121" t="s">
        <v>1008</v>
      </c>
      <c r="C230" s="28" t="s">
        <v>1011</v>
      </c>
      <c r="D230" s="28"/>
      <c r="E230" s="49"/>
      <c r="F230" s="121" t="s">
        <v>804</v>
      </c>
      <c r="G230" s="49"/>
      <c r="H230" s="49"/>
      <c r="I230" s="49"/>
      <c r="J230" s="49"/>
      <c r="K230" s="49"/>
      <c r="L230" s="49"/>
      <c r="M230" s="131">
        <v>11.5</v>
      </c>
      <c r="N230" s="142">
        <f t="shared" si="155"/>
        <v>11.5</v>
      </c>
      <c r="O230" s="143"/>
      <c r="P230" s="131">
        <f t="shared" si="152"/>
        <v>11.5</v>
      </c>
      <c r="Q230" s="131"/>
      <c r="R230" s="131"/>
      <c r="S230" s="131"/>
      <c r="T230" s="131"/>
      <c r="U230" s="131"/>
      <c r="V230" s="131"/>
      <c r="W230" s="49"/>
      <c r="X230" s="15"/>
      <c r="Y230" s="125"/>
      <c r="Z230" s="126"/>
      <c r="AA230" s="127"/>
      <c r="AB230" s="128"/>
    </row>
    <row r="231" spans="1:28" x14ac:dyDescent="0.35">
      <c r="A231" s="49"/>
      <c r="B231" s="121" t="s">
        <v>1008</v>
      </c>
      <c r="C231" s="28" t="s">
        <v>1012</v>
      </c>
      <c r="D231" s="28"/>
      <c r="E231" s="49"/>
      <c r="F231" s="121" t="s">
        <v>804</v>
      </c>
      <c r="G231" s="49"/>
      <c r="H231" s="49"/>
      <c r="I231" s="49"/>
      <c r="J231" s="49"/>
      <c r="K231" s="49"/>
      <c r="L231" s="49"/>
      <c r="M231" s="131">
        <v>12.75</v>
      </c>
      <c r="N231" s="142">
        <f t="shared" si="155"/>
        <v>12.75</v>
      </c>
      <c r="O231" s="143"/>
      <c r="P231" s="131">
        <f t="shared" si="152"/>
        <v>12.75</v>
      </c>
      <c r="Q231" s="131"/>
      <c r="R231" s="131"/>
      <c r="S231" s="131"/>
      <c r="T231" s="131"/>
      <c r="U231" s="131"/>
      <c r="V231" s="131"/>
      <c r="W231" s="49"/>
      <c r="X231" s="15"/>
      <c r="Y231" s="125"/>
      <c r="Z231" s="126"/>
      <c r="AA231" s="127"/>
      <c r="AB231" s="128"/>
    </row>
    <row r="232" spans="1:28" x14ac:dyDescent="0.35">
      <c r="A232" s="49"/>
      <c r="B232" s="121"/>
      <c r="C232" s="28"/>
      <c r="D232" s="28"/>
      <c r="E232" s="49"/>
      <c r="F232" s="121"/>
      <c r="G232" s="49"/>
      <c r="H232" s="49"/>
      <c r="I232" s="49"/>
      <c r="J232" s="49"/>
      <c r="K232" s="49"/>
      <c r="L232" s="49"/>
      <c r="M232" s="131"/>
      <c r="N232" s="142"/>
      <c r="O232" s="143"/>
      <c r="P232" s="131"/>
      <c r="Q232" s="131"/>
      <c r="R232" s="131"/>
      <c r="S232" s="131"/>
      <c r="T232" s="131"/>
      <c r="U232" s="131"/>
      <c r="V232" s="131"/>
      <c r="W232" s="49"/>
      <c r="X232" s="15"/>
      <c r="Y232" s="125"/>
      <c r="Z232" s="126"/>
      <c r="AA232" s="127"/>
      <c r="AB232" s="128"/>
    </row>
    <row r="233" spans="1:28" x14ac:dyDescent="0.35">
      <c r="A233" s="49"/>
      <c r="B233" s="121"/>
      <c r="C233" s="28"/>
      <c r="D233" s="28"/>
      <c r="E233" s="49"/>
      <c r="F233" s="121"/>
      <c r="G233" s="49"/>
      <c r="H233" s="49"/>
      <c r="I233" s="49"/>
      <c r="J233" s="49"/>
      <c r="K233" s="49"/>
      <c r="L233" s="49"/>
      <c r="M233" s="131"/>
      <c r="N233" s="142"/>
      <c r="O233" s="143"/>
      <c r="P233" s="131"/>
      <c r="Q233" s="131"/>
      <c r="R233" s="131"/>
      <c r="S233" s="131"/>
      <c r="T233" s="131"/>
      <c r="U233" s="131"/>
      <c r="V233" s="131"/>
      <c r="W233" s="49"/>
      <c r="X233" s="15"/>
      <c r="Y233" s="125"/>
      <c r="Z233" s="126"/>
      <c r="AA233" s="127"/>
      <c r="AB233" s="128"/>
    </row>
    <row r="234" spans="1:28" x14ac:dyDescent="0.35">
      <c r="A234" s="49"/>
      <c r="B234" s="121"/>
      <c r="C234" s="28"/>
      <c r="D234" s="28"/>
      <c r="E234" s="49"/>
      <c r="F234" s="121"/>
      <c r="G234" s="49"/>
      <c r="H234" s="49"/>
      <c r="I234" s="49"/>
      <c r="J234" s="49"/>
      <c r="K234" s="49"/>
      <c r="L234" s="49"/>
      <c r="M234" s="131"/>
      <c r="N234" s="142"/>
      <c r="O234" s="143"/>
      <c r="P234" s="131"/>
      <c r="Q234" s="131"/>
      <c r="R234" s="131"/>
      <c r="S234" s="131"/>
      <c r="T234" s="131"/>
      <c r="U234" s="131"/>
      <c r="V234" s="131"/>
      <c r="W234" s="49"/>
      <c r="X234" s="15"/>
      <c r="Y234" s="125"/>
      <c r="Z234" s="126"/>
      <c r="AA234" s="127"/>
      <c r="AB234" s="128"/>
    </row>
    <row r="235" spans="1:28" x14ac:dyDescent="0.35">
      <c r="A235" s="49"/>
      <c r="B235" s="121"/>
      <c r="C235" s="28"/>
      <c r="D235" s="28"/>
      <c r="E235" s="49"/>
      <c r="F235" s="121"/>
      <c r="G235" s="49"/>
      <c r="H235" s="49"/>
      <c r="I235" s="49"/>
      <c r="J235" s="49"/>
      <c r="K235" s="49"/>
      <c r="L235" s="49"/>
      <c r="M235" s="131"/>
      <c r="N235" s="142"/>
      <c r="O235" s="143"/>
      <c r="P235" s="131"/>
      <c r="Q235" s="131"/>
      <c r="R235" s="131"/>
      <c r="S235" s="131"/>
      <c r="T235" s="131"/>
      <c r="U235" s="131"/>
      <c r="V235" s="131"/>
      <c r="W235" s="49"/>
      <c r="X235" s="15"/>
      <c r="Y235" s="125"/>
      <c r="Z235" s="126"/>
      <c r="AA235" s="127"/>
      <c r="AB235" s="128"/>
    </row>
    <row r="236" spans="1:28" x14ac:dyDescent="0.35">
      <c r="A236" s="49"/>
      <c r="B236" s="121"/>
      <c r="C236" s="28"/>
      <c r="D236" s="28"/>
      <c r="E236" s="49"/>
      <c r="F236" s="121"/>
      <c r="G236" s="49"/>
      <c r="H236" s="49"/>
      <c r="I236" s="49"/>
      <c r="J236" s="49"/>
      <c r="K236" s="49"/>
      <c r="L236" s="49"/>
      <c r="M236" s="131"/>
      <c r="N236" s="142"/>
      <c r="O236" s="143"/>
      <c r="P236" s="131"/>
      <c r="Q236" s="131"/>
      <c r="R236" s="131"/>
      <c r="S236" s="131"/>
      <c r="T236" s="131"/>
      <c r="U236" s="131"/>
      <c r="V236" s="131"/>
      <c r="W236" s="49"/>
      <c r="X236" s="15"/>
      <c r="Y236" s="125"/>
      <c r="Z236" s="126"/>
      <c r="AA236" s="127"/>
      <c r="AB236" s="128"/>
    </row>
    <row r="237" spans="1:28" x14ac:dyDescent="0.35">
      <c r="A237" s="49"/>
      <c r="B237" s="121"/>
      <c r="C237" s="28"/>
      <c r="D237" s="28"/>
      <c r="E237" s="49"/>
      <c r="F237" s="121"/>
      <c r="G237" s="49"/>
      <c r="H237" s="49"/>
      <c r="I237" s="49"/>
      <c r="J237" s="49"/>
      <c r="K237" s="49"/>
      <c r="L237" s="49"/>
      <c r="M237" s="131"/>
      <c r="N237" s="142"/>
      <c r="O237" s="143"/>
      <c r="P237" s="131"/>
      <c r="Q237" s="131"/>
      <c r="R237" s="131"/>
      <c r="S237" s="131"/>
      <c r="T237" s="131"/>
      <c r="U237" s="131"/>
      <c r="V237" s="131"/>
      <c r="W237" s="49"/>
      <c r="X237" s="15"/>
      <c r="Y237" s="125"/>
      <c r="Z237" s="126"/>
      <c r="AA237" s="127"/>
      <c r="AB237" s="128"/>
    </row>
    <row r="238" spans="1:28" x14ac:dyDescent="0.35">
      <c r="A238" s="49"/>
      <c r="B238" s="121"/>
      <c r="C238" s="28"/>
      <c r="D238" s="28"/>
      <c r="E238" s="49"/>
      <c r="F238" s="121"/>
      <c r="G238" s="49"/>
      <c r="H238" s="49"/>
      <c r="I238" s="49"/>
      <c r="J238" s="49"/>
      <c r="K238" s="49"/>
      <c r="L238" s="49"/>
      <c r="M238" s="131"/>
      <c r="N238" s="142"/>
      <c r="O238" s="143"/>
      <c r="P238" s="131"/>
      <c r="Q238" s="131"/>
      <c r="R238" s="131"/>
      <c r="S238" s="131"/>
      <c r="T238" s="131"/>
      <c r="U238" s="131"/>
      <c r="V238" s="131"/>
      <c r="W238" s="49"/>
      <c r="X238" s="15"/>
      <c r="Y238" s="125"/>
      <c r="Z238" s="126"/>
      <c r="AA238" s="127"/>
      <c r="AB238" s="128"/>
    </row>
  </sheetData>
  <autoFilter ref="A2:W231" xr:uid="{11035BBB-4706-4115-85E6-32164ED7B4D1}"/>
  <mergeCells count="11">
    <mergeCell ref="D3:D17"/>
    <mergeCell ref="AE4:AF4"/>
    <mergeCell ref="AH4:AI4"/>
    <mergeCell ref="AK4:AL4"/>
    <mergeCell ref="AK3:AL3"/>
    <mergeCell ref="AE2:AL2"/>
    <mergeCell ref="O1:P1"/>
    <mergeCell ref="R1:S1"/>
    <mergeCell ref="U1:V1"/>
    <mergeCell ref="AE3:AF3"/>
    <mergeCell ref="AH3:AI3"/>
  </mergeCells>
  <conditionalFormatting sqref="AB199:AB238 AB3:AB197">
    <cfRule type="cellIs" dxfId="16" priority="2" operator="greaterThan">
      <formula>0.01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35DA4-723E-458E-9AA1-85FFC222131C}">
  <sheetPr codeName="Sheet15">
    <tabColor rgb="FFFF0000"/>
  </sheetPr>
  <dimension ref="A1:AP345"/>
  <sheetViews>
    <sheetView tabSelected="1" topLeftCell="A165" zoomScaleNormal="100" workbookViewId="0">
      <selection activeCell="A177" sqref="A177"/>
    </sheetView>
  </sheetViews>
  <sheetFormatPr defaultColWidth="8.58203125" defaultRowHeight="15.5" x14ac:dyDescent="0.35"/>
  <cols>
    <col min="1" max="2" width="19.83203125" style="4" customWidth="1"/>
    <col min="3" max="3" width="39.83203125" style="4" bestFit="1" customWidth="1"/>
    <col min="4" max="4" width="45.58203125" style="3" bestFit="1" customWidth="1"/>
    <col min="5" max="5" width="24" style="4" bestFit="1" customWidth="1"/>
    <col min="6" max="6" width="22.83203125" style="4" bestFit="1" customWidth="1"/>
    <col min="7" max="7" width="27.08203125" style="4" bestFit="1" customWidth="1"/>
    <col min="8" max="8" width="17.5" style="188" bestFit="1" customWidth="1"/>
    <col min="9" max="9" width="24.25" style="4" bestFit="1" customWidth="1"/>
    <col min="10" max="10" width="20.33203125" style="4" bestFit="1" customWidth="1"/>
    <col min="11" max="11" width="17.5" style="188" bestFit="1" customWidth="1"/>
    <col min="12" max="12" width="33.5" style="3" bestFit="1" customWidth="1"/>
    <col min="13" max="13" width="26.08203125" style="3" bestFit="1" customWidth="1"/>
    <col min="14" max="14" width="33.58203125" style="16" bestFit="1" customWidth="1"/>
    <col min="15" max="15" width="32.5" style="4" bestFit="1" customWidth="1"/>
    <col min="16" max="16" width="36.75" style="15" customWidth="1"/>
    <col min="17" max="17" width="29.5" style="4" bestFit="1" customWidth="1"/>
    <col min="18" max="18" width="29.25" style="4" bestFit="1" customWidth="1"/>
    <col min="19" max="19" width="20.58203125" style="4" bestFit="1" customWidth="1"/>
    <col min="20" max="20" width="29" style="4" bestFit="1" customWidth="1"/>
    <col min="21" max="21" width="21" style="4" bestFit="1" customWidth="1"/>
    <col min="22" max="22" width="12.58203125" style="4" bestFit="1" customWidth="1"/>
    <col min="23" max="23" width="21.5" style="4" bestFit="1" customWidth="1"/>
    <col min="24" max="24" width="10.83203125" style="4" bestFit="1" customWidth="1"/>
    <col min="25" max="25" width="16.25" style="4" bestFit="1" customWidth="1"/>
    <col min="26" max="27" width="8.58203125" style="4"/>
    <col min="28" max="28" width="30.08203125" style="4" bestFit="1" customWidth="1"/>
    <col min="29" max="29" width="29" style="4" bestFit="1" customWidth="1"/>
    <col min="30" max="30" width="34.58203125" style="4" bestFit="1" customWidth="1"/>
    <col min="31" max="31" width="33.5" style="4" bestFit="1" customWidth="1"/>
    <col min="32" max="32" width="20.58203125" style="4" bestFit="1" customWidth="1"/>
    <col min="33" max="33" width="29" style="4" bestFit="1" customWidth="1"/>
    <col min="34" max="34" width="20.58203125" style="4" bestFit="1" customWidth="1"/>
    <col min="35" max="35" width="29" style="4" bestFit="1" customWidth="1"/>
    <col min="36" max="36" width="22.33203125" style="4" bestFit="1" customWidth="1"/>
    <col min="37" max="37" width="19.25" style="4" bestFit="1" customWidth="1"/>
    <col min="38" max="38" width="25.33203125" style="4" bestFit="1" customWidth="1"/>
    <col min="39" max="16384" width="8.58203125" style="4"/>
  </cols>
  <sheetData>
    <row r="1" spans="1:38" ht="31" x14ac:dyDescent="0.35">
      <c r="K1" s="934" t="s">
        <v>278</v>
      </c>
      <c r="L1" s="934"/>
      <c r="M1" s="19" t="s">
        <v>279</v>
      </c>
      <c r="N1" s="567" t="s">
        <v>280</v>
      </c>
      <c r="O1" s="998" t="s">
        <v>1064</v>
      </c>
      <c r="P1" s="999"/>
      <c r="Q1" s="999"/>
      <c r="R1" s="999"/>
      <c r="S1" s="999"/>
      <c r="T1" s="1000"/>
    </row>
    <row r="2" spans="1:38" x14ac:dyDescent="0.35">
      <c r="A2" s="908" t="str">
        <f>'Door - Step 2'!A30</f>
        <v>DOOR TYPE DETAILS</v>
      </c>
      <c r="B2" s="942"/>
      <c r="C2" s="31" t="str">
        <f>'Door - Step 2'!C30</f>
        <v>Door Type</v>
      </c>
      <c r="D2" s="19" t="str">
        <f>'Door - Step 2'!D30</f>
        <v>Overlap Doors - Swing door</v>
      </c>
      <c r="K2" s="71" t="s">
        <v>281</v>
      </c>
      <c r="L2" s="19">
        <v>8.3330000000000001E-2</v>
      </c>
      <c r="M2" s="175"/>
      <c r="N2" s="983">
        <f>+M2*L2</f>
        <v>0</v>
      </c>
      <c r="O2" s="985" t="s">
        <v>282</v>
      </c>
      <c r="P2" s="931"/>
      <c r="Q2" s="931"/>
      <c r="R2" s="931"/>
      <c r="S2" s="979"/>
      <c r="T2" s="442"/>
      <c r="U2" s="162" t="s">
        <v>283</v>
      </c>
      <c r="W2" s="162" t="s">
        <v>284</v>
      </c>
      <c r="Y2" s="162" t="s">
        <v>285</v>
      </c>
      <c r="AB2" s="162" t="s">
        <v>286</v>
      </c>
      <c r="AD2" s="47" t="s">
        <v>37</v>
      </c>
      <c r="AE2" s="47" t="s">
        <v>287</v>
      </c>
      <c r="AF2" s="47" t="s">
        <v>288</v>
      </c>
      <c r="AG2" s="4" t="s">
        <v>137</v>
      </c>
      <c r="AI2" s="4" t="s">
        <v>289</v>
      </c>
    </row>
    <row r="3" spans="1:38" x14ac:dyDescent="0.35">
      <c r="A3" s="909"/>
      <c r="B3" s="943"/>
      <c r="C3" s="31" t="str">
        <f>'Door - Step 2'!C31</f>
        <v xml:space="preserve">Cooler / Freezer </v>
      </c>
      <c r="D3" s="19" t="str">
        <f>'Door - Step 2'!D31</f>
        <v>Cooler</v>
      </c>
      <c r="K3" s="935"/>
      <c r="L3" s="936"/>
      <c r="M3" s="19" t="s">
        <v>290</v>
      </c>
      <c r="N3" s="567" t="s">
        <v>291</v>
      </c>
      <c r="O3" s="986" t="s">
        <v>292</v>
      </c>
      <c r="P3" s="19">
        <v>2.2200000000000002</v>
      </c>
      <c r="Q3" s="987"/>
      <c r="R3" s="979"/>
      <c r="S3" s="979"/>
      <c r="T3" s="442"/>
      <c r="U3" s="4" t="s">
        <v>293</v>
      </c>
      <c r="W3" s="4" t="s">
        <v>294</v>
      </c>
      <c r="Y3" s="4" t="s">
        <v>295</v>
      </c>
      <c r="Z3" s="194">
        <f>18*'Calculation Sheet - BOM '!$L$2</f>
        <v>1.4999400000000001</v>
      </c>
      <c r="AB3" s="4" t="s">
        <v>57</v>
      </c>
      <c r="AD3" s="4" t="s">
        <v>40</v>
      </c>
      <c r="AE3" s="4" t="s">
        <v>296</v>
      </c>
      <c r="AF3" s="4" t="s">
        <v>297</v>
      </c>
      <c r="AG3" s="4" t="s">
        <v>185</v>
      </c>
      <c r="AH3" s="4" t="str">
        <f>+IF('Door - Step 2'!$D$30=Controller!$A$16,"Swing","Sliding/Bi-Parting")</f>
        <v>Swing</v>
      </c>
      <c r="AI3" s="4" t="s">
        <v>298</v>
      </c>
      <c r="AJ3" s="4" t="s">
        <v>81</v>
      </c>
    </row>
    <row r="4" spans="1:38" x14ac:dyDescent="0.35">
      <c r="A4" s="909"/>
      <c r="B4" s="943"/>
      <c r="C4" s="31" t="str">
        <f>'Door - Step 2'!C32</f>
        <v>Frame Structure</v>
      </c>
      <c r="D4" s="19" t="str">
        <f>'Door - Step 2'!D32</f>
        <v>Aluminium</v>
      </c>
      <c r="K4" s="71" t="s">
        <v>299</v>
      </c>
      <c r="L4" s="19">
        <f>+L2*L2</f>
        <v>6.9438889000000004E-3</v>
      </c>
      <c r="M4" s="175">
        <f>34*36</f>
        <v>1224</v>
      </c>
      <c r="N4" s="984">
        <f>+L4*M4</f>
        <v>8.4993200136000002</v>
      </c>
      <c r="O4" s="986" t="s">
        <v>300</v>
      </c>
      <c r="P4" s="502">
        <v>2.65</v>
      </c>
      <c r="Q4" s="987"/>
      <c r="R4" s="979"/>
      <c r="S4" s="979"/>
      <c r="T4" s="442"/>
      <c r="U4" s="4" t="s">
        <v>301</v>
      </c>
      <c r="W4" s="4" t="s">
        <v>302</v>
      </c>
      <c r="Y4" s="4" t="s">
        <v>303</v>
      </c>
      <c r="Z4" s="194">
        <f>24*'Calculation Sheet - BOM '!$L$2</f>
        <v>1.9999199999999999</v>
      </c>
      <c r="AB4" s="4" t="s">
        <v>79</v>
      </c>
      <c r="AD4" s="4" t="s">
        <v>304</v>
      </c>
      <c r="AE4" s="4" t="s">
        <v>305</v>
      </c>
      <c r="AF4" s="4" t="s">
        <v>306</v>
      </c>
      <c r="AG4" s="4" t="s">
        <v>138</v>
      </c>
      <c r="AI4" s="4" t="s">
        <v>301</v>
      </c>
      <c r="AJ4" s="4" t="s">
        <v>66</v>
      </c>
    </row>
    <row r="5" spans="1:38" x14ac:dyDescent="0.35">
      <c r="A5" s="909"/>
      <c r="B5" s="943"/>
      <c r="C5" s="31" t="str">
        <f>'Door - Step 2'!C33</f>
        <v>Motorized/Manual</v>
      </c>
      <c r="D5" s="19" t="str">
        <f>'Door - Step 2'!D33</f>
        <v>Manual</v>
      </c>
      <c r="M5" s="3" t="s">
        <v>307</v>
      </c>
      <c r="N5" s="16" t="s">
        <v>280</v>
      </c>
      <c r="O5" s="986" t="s">
        <v>308</v>
      </c>
      <c r="P5" s="71">
        <f>+P4*'Cost Sheet'!Z1</f>
        <v>3.8424999999999998</v>
      </c>
      <c r="Q5" s="987"/>
      <c r="R5" s="979"/>
      <c r="S5" s="979"/>
      <c r="T5" s="442"/>
      <c r="W5" s="4" t="s">
        <v>309</v>
      </c>
      <c r="Y5" s="4" t="s">
        <v>310</v>
      </c>
      <c r="Z5" s="194">
        <f>36*'Calculation Sheet - BOM '!$L$2</f>
        <v>2.9998800000000001</v>
      </c>
    </row>
    <row r="6" spans="1:38" x14ac:dyDescent="0.35">
      <c r="A6" s="909"/>
      <c r="B6" s="943"/>
      <c r="C6" s="46" t="str">
        <f>'Door - Step 2'!C34</f>
        <v>Width (Inches)</v>
      </c>
      <c r="D6" s="46">
        <f>+'Door - Step 2'!$D34</f>
        <v>34</v>
      </c>
      <c r="K6" s="188" t="s">
        <v>311</v>
      </c>
      <c r="L6" s="3">
        <v>3.28084</v>
      </c>
      <c r="M6" s="3">
        <v>1</v>
      </c>
      <c r="N6" s="16">
        <f>+L6*M6</f>
        <v>3.28084</v>
      </c>
      <c r="O6" s="988" t="s">
        <v>312</v>
      </c>
      <c r="P6" s="118" t="s">
        <v>313</v>
      </c>
      <c r="Q6" s="118" t="s">
        <v>314</v>
      </c>
      <c r="R6" s="118" t="s">
        <v>315</v>
      </c>
      <c r="S6" s="118" t="s">
        <v>316</v>
      </c>
      <c r="T6" s="989" t="s">
        <v>317</v>
      </c>
      <c r="W6" s="4" t="s">
        <v>93</v>
      </c>
      <c r="Y6" s="4" t="s">
        <v>318</v>
      </c>
      <c r="Z6" s="194">
        <f>48*'Calculation Sheet - BOM '!$L$2</f>
        <v>3.9998399999999998</v>
      </c>
    </row>
    <row r="7" spans="1:38" ht="42" customHeight="1" x14ac:dyDescent="0.35">
      <c r="A7" s="909"/>
      <c r="B7" s="943"/>
      <c r="C7" s="46" t="str">
        <f>'Door - Step 2'!C35</f>
        <v>Height (inches)</v>
      </c>
      <c r="D7" s="46">
        <f>+'Door - Step 2'!$D35</f>
        <v>65</v>
      </c>
      <c r="O7" s="990">
        <v>0.56000000000000005</v>
      </c>
      <c r="P7" s="19">
        <v>3</v>
      </c>
      <c r="Q7" s="124">
        <f>O7*$P$5</f>
        <v>2.1518000000000002</v>
      </c>
      <c r="R7" s="163">
        <f>+Q7/144</f>
        <v>1.4943055555555557E-2</v>
      </c>
      <c r="S7" s="164">
        <v>0</v>
      </c>
      <c r="T7" s="991">
        <f>+R7/(1-S7)</f>
        <v>1.4943055555555557E-2</v>
      </c>
      <c r="W7" s="4" t="s">
        <v>319</v>
      </c>
      <c r="AB7" s="119" t="s">
        <v>320</v>
      </c>
      <c r="AC7" s="160" t="s">
        <v>321</v>
      </c>
      <c r="AD7" s="160" t="s">
        <v>322</v>
      </c>
      <c r="AE7" s="160" t="s">
        <v>323</v>
      </c>
      <c r="AF7" s="160" t="s">
        <v>324</v>
      </c>
      <c r="AG7" s="160" t="s">
        <v>134</v>
      </c>
      <c r="AH7" s="160" t="s">
        <v>325</v>
      </c>
      <c r="AI7" s="160" t="s">
        <v>326</v>
      </c>
      <c r="AJ7" s="160" t="s">
        <v>327</v>
      </c>
      <c r="AK7" s="160" t="s">
        <v>328</v>
      </c>
      <c r="AL7" s="160" t="s">
        <v>329</v>
      </c>
    </row>
    <row r="8" spans="1:38" x14ac:dyDescent="0.35">
      <c r="A8" s="909"/>
      <c r="B8" s="943"/>
      <c r="C8" s="46" t="str">
        <f>'Door - Step 2'!C36</f>
        <v>Depth (Inches)</v>
      </c>
      <c r="D8" s="46">
        <f>+'Door - Step 2'!$D36</f>
        <v>4</v>
      </c>
      <c r="O8" s="990">
        <v>0.74</v>
      </c>
      <c r="P8" s="19">
        <v>4</v>
      </c>
      <c r="Q8" s="124">
        <f>O8*$P$5</f>
        <v>2.8434499999999998</v>
      </c>
      <c r="R8" s="163">
        <f>+Q8/144</f>
        <v>1.9746180555555555E-2</v>
      </c>
      <c r="S8" s="164">
        <v>0</v>
      </c>
      <c r="T8" s="991">
        <f t="shared" ref="T8:T11" si="0">+R8/(1-S8)</f>
        <v>1.9746180555555555E-2</v>
      </c>
      <c r="Y8" s="162" t="s">
        <v>330</v>
      </c>
      <c r="AB8" s="28" t="s">
        <v>306</v>
      </c>
      <c r="AC8" s="71">
        <f>+'Cost Sheet'!$N$36</f>
        <v>0.34</v>
      </c>
      <c r="AD8" s="171" t="s">
        <v>331</v>
      </c>
      <c r="AE8" s="30"/>
      <c r="AF8" s="71">
        <f>+AC8*12</f>
        <v>4.08</v>
      </c>
      <c r="AG8" s="71">
        <f>+'Accessories Install - Labour'!$F$16</f>
        <v>34.666666666666664</v>
      </c>
      <c r="AH8" s="71">
        <f>+AG8+AF8</f>
        <v>38.746666666666663</v>
      </c>
      <c r="AI8" s="71"/>
      <c r="AJ8" s="71">
        <f>+AF8</f>
        <v>4.08</v>
      </c>
      <c r="AK8" s="71">
        <f>+AG8</f>
        <v>34.666666666666664</v>
      </c>
      <c r="AL8" s="71">
        <f>+AK8+AJ8</f>
        <v>38.746666666666663</v>
      </c>
    </row>
    <row r="9" spans="1:38" x14ac:dyDescent="0.35">
      <c r="A9" s="909"/>
      <c r="B9" s="943"/>
      <c r="C9" s="21" t="s">
        <v>67</v>
      </c>
      <c r="D9" s="46">
        <f>+'Door - Step 2'!$D37</f>
        <v>4</v>
      </c>
      <c r="O9" s="990">
        <v>0.93</v>
      </c>
      <c r="P9" s="19">
        <v>5</v>
      </c>
      <c r="Q9" s="124">
        <f>O9*$P$5</f>
        <v>3.5735250000000001</v>
      </c>
      <c r="R9" s="163">
        <f>+Q9/144</f>
        <v>2.4816145833333334E-2</v>
      </c>
      <c r="S9" s="164">
        <v>0</v>
      </c>
      <c r="T9" s="991">
        <f t="shared" si="0"/>
        <v>2.4816145833333334E-2</v>
      </c>
      <c r="W9" s="162" t="s">
        <v>197</v>
      </c>
      <c r="Y9" s="4" t="s">
        <v>86</v>
      </c>
      <c r="AB9" s="119"/>
    </row>
    <row r="10" spans="1:38" x14ac:dyDescent="0.35">
      <c r="A10" s="909"/>
      <c r="B10" s="943"/>
      <c r="C10" s="78" t="str">
        <f>'Door - Step 2'!C38</f>
        <v>QUANTITY (COUNT)</v>
      </c>
      <c r="D10" s="46">
        <f>+'Door - Step 2'!$D38</f>
        <v>1</v>
      </c>
      <c r="O10" s="990">
        <v>1.1100000000000001</v>
      </c>
      <c r="P10" s="19">
        <v>6</v>
      </c>
      <c r="Q10" s="124">
        <f>O10*$P$5</f>
        <v>4.2651750000000002</v>
      </c>
      <c r="R10" s="163">
        <f>+Q10/144</f>
        <v>2.9619270833333336E-2</v>
      </c>
      <c r="S10" s="164">
        <v>0</v>
      </c>
      <c r="T10" s="991">
        <f t="shared" si="0"/>
        <v>2.9619270833333336E-2</v>
      </c>
      <c r="W10" s="4" t="s">
        <v>85</v>
      </c>
      <c r="Y10" s="4" t="s">
        <v>53</v>
      </c>
    </row>
    <row r="11" spans="1:38" ht="16" thickBot="1" x14ac:dyDescent="0.4">
      <c r="D11" s="105"/>
      <c r="E11" s="931" t="s">
        <v>332</v>
      </c>
      <c r="F11" s="931"/>
      <c r="G11" s="931"/>
      <c r="H11" s="931"/>
      <c r="I11" s="931"/>
      <c r="J11" s="931" t="s">
        <v>265</v>
      </c>
      <c r="K11" s="931"/>
      <c r="L11" s="931"/>
      <c r="N11" s="169" t="s">
        <v>333</v>
      </c>
      <c r="O11" s="992">
        <f>+P11*O7/P7</f>
        <v>0.28000000000000003</v>
      </c>
      <c r="P11" s="993">
        <v>1.5</v>
      </c>
      <c r="Q11" s="994">
        <f>O11*$P$5</f>
        <v>1.0759000000000001</v>
      </c>
      <c r="R11" s="995">
        <f>+Q11/144</f>
        <v>7.4715277777777783E-3</v>
      </c>
      <c r="S11" s="996">
        <v>0</v>
      </c>
      <c r="T11" s="997">
        <f t="shared" si="0"/>
        <v>7.4715277777777783E-3</v>
      </c>
      <c r="W11" s="4" t="s">
        <v>48</v>
      </c>
    </row>
    <row r="12" spans="1:38" ht="44" thickBot="1" x14ac:dyDescent="0.4">
      <c r="A12" s="543" t="str">
        <f>'Door - Step 2'!A41</f>
        <v>DOOR AND OPTIONS SPECS</v>
      </c>
      <c r="B12" s="77" t="str">
        <f>'Door - Step 2'!B41</f>
        <v>Feature</v>
      </c>
      <c r="C12" s="77" t="str">
        <f>'Door - Step 2'!C41</f>
        <v>Door Panel and Frame</v>
      </c>
      <c r="D12" s="150">
        <f>'Door - Step 2'!D41</f>
        <v>0</v>
      </c>
      <c r="E12" s="160" t="s">
        <v>321</v>
      </c>
      <c r="F12" s="160" t="s">
        <v>334</v>
      </c>
      <c r="G12" s="160" t="s">
        <v>322</v>
      </c>
      <c r="H12" s="220" t="s">
        <v>335</v>
      </c>
      <c r="I12" s="160" t="s">
        <v>336</v>
      </c>
      <c r="J12" s="160" t="s">
        <v>337</v>
      </c>
      <c r="K12" s="220" t="s">
        <v>338</v>
      </c>
      <c r="L12" s="160" t="s">
        <v>339</v>
      </c>
      <c r="N12" s="172" t="s">
        <v>340</v>
      </c>
      <c r="O12" s="3">
        <v>5.75</v>
      </c>
    </row>
    <row r="13" spans="1:38" ht="62" x14ac:dyDescent="0.35">
      <c r="A13" s="544"/>
      <c r="B13" s="21" t="str">
        <f>'Door - Step 2'!B42</f>
        <v>Main</v>
      </c>
      <c r="C13" s="21" t="str">
        <f>'Door - Step 2'!C42</f>
        <v>Door Panel</v>
      </c>
      <c r="D13" s="121" t="str">
        <f>'Door - Step 2'!D42</f>
        <v>26 Ga. White - Stucco Embossed Finish</v>
      </c>
      <c r="E13" s="71">
        <f>_xlfn.IFNA(INDEX('Cost Sheet'!$N:$N,MATCH($D13,'Cost Sheet'!$C:$C,0)),0)</f>
        <v>1.1823573017049667</v>
      </c>
      <c r="F13" s="30">
        <f>+((($D$6*$D$7)*2)+(($D$6+$D$7)*$D$8*2))*('Calculation Sheet - BOM '!$L$2*'Calculation Sheet - BOM '!$L$2)</f>
        <v>36.191548946800005</v>
      </c>
      <c r="G13" s="49" t="s">
        <v>341</v>
      </c>
      <c r="H13" s="71">
        <f>('Cost Sheet'!$N$26*5*4)+((($D$6+$D$7)*2*$D$8)*('Calculation Sheet - BOM '!$L$2*'Calculation Sheet - BOM '!$L$2)*'Cost Sheet'!$N$27)+((($D$6+$D$7)*2)*'Calculation Sheet - BOM '!$L$2*'Cost Sheet'!$N$67)+((($D$6+$D$7)*2)*'Calculation Sheet - BOM '!$L$2*'Cost Sheet'!$N$68)</f>
        <v>50.806754235037502</v>
      </c>
      <c r="I13" s="71">
        <f>+(E13*F13)+H13+IF(D7&lt;144,0,IF(D7&gt;144,(2*D7*L2)))</f>
        <v>93.598096392299183</v>
      </c>
      <c r="J13" s="71">
        <f>+E13</f>
        <v>1.1823573017049667</v>
      </c>
      <c r="K13" s="71">
        <f>+H13</f>
        <v>50.806754235037502</v>
      </c>
      <c r="L13" s="71">
        <f>_xlfn.IFNA(I13*(1+(INDEX('Product Mark-up'!$F$4:$F$8,MATCH('Calculation Sheet - BOM '!$D$2,'Product Mark-up'!$C$4:$C$8,0)))),0)</f>
        <v>93.598096392299183</v>
      </c>
      <c r="N13" s="1001" t="s">
        <v>1063</v>
      </c>
      <c r="O13" s="1002"/>
      <c r="P13" s="1002"/>
      <c r="Q13" s="1002"/>
      <c r="R13" s="1002"/>
      <c r="S13" s="1002"/>
      <c r="T13" s="1002"/>
      <c r="U13" s="1002"/>
      <c r="V13" s="1002"/>
      <c r="W13" s="1002"/>
      <c r="X13" s="1003"/>
      <c r="AB13" s="941" t="s">
        <v>342</v>
      </c>
      <c r="AC13" s="941"/>
      <c r="AD13" s="941"/>
      <c r="AE13" s="941"/>
      <c r="AF13" s="941"/>
      <c r="AG13" s="941"/>
      <c r="AH13" s="941"/>
      <c r="AI13" s="941"/>
      <c r="AJ13" s="941"/>
      <c r="AK13" s="941"/>
      <c r="AL13" s="941"/>
    </row>
    <row r="14" spans="1:38" ht="43.5" x14ac:dyDescent="0.35">
      <c r="A14" s="544"/>
      <c r="B14" s="21" t="str">
        <f>'Door - Step 2'!B43</f>
        <v>Main</v>
      </c>
      <c r="C14" s="21" t="str">
        <f>'Door - Step 2'!C43</f>
        <v>Face Frame</v>
      </c>
      <c r="D14" s="121" t="str">
        <f>'Door - Step 2'!D43</f>
        <v>Aluminium Frame - Standard</v>
      </c>
      <c r="E14" s="71">
        <f>_xlfn.IFNA(INDEX(O$14:O$24,MATCH($D14,$N$14:$N$24,0)),0)</f>
        <v>11.36</v>
      </c>
      <c r="F14" s="30">
        <f>_xlfn.IFNA(INDEX($Q$14:$Q$24,MATCH($D14,$N$14:$N$24,0)),0)</f>
        <v>15.582710000000001</v>
      </c>
      <c r="G14" s="49"/>
      <c r="H14" s="71"/>
      <c r="I14" s="71">
        <f>IF('Doors - Step 1'!$C$11=Controller!$A$17,(INDEX('Calculation Sheet - BOM '!$T$51:$T$52,MATCH('Calculation Sheet - BOM '!$D$14,'Calculation Sheet - BOM '!$N$51:$N$52,0))),
IF('Doors - Step 1'!$E$11="Interior",(_xlfn.IFNA(INDEX(T14:T24,MATCH($D14,$N$14:$N$24,0)),0)),IF(AND('Doors - Step 1'!$E$11="Exterior",'Doors - Step 1'!$E$12="Exterior Door - with sweep seal"),_xlfn.IFNA(INDEX(T14:T24,MATCH($D14,$N$14:$N$24,0)),0),IF(AND('Doors - Step 1'!$E$11="Exterior",'Doors - Step 1'!$E$12="Exterior Door - with step sill"),_xlfn.IFNA(INDEX(AH14:AH24,MATCH($D14,$AB$14:$AB$24,0)),0)))))</f>
        <v>246.35291893333334</v>
      </c>
      <c r="J14" s="71">
        <f t="shared" ref="J14:J30" si="1">+E14</f>
        <v>11.36</v>
      </c>
      <c r="K14" s="71">
        <f t="shared" ref="K14:K30" si="2">+H14</f>
        <v>0</v>
      </c>
      <c r="L14" s="71">
        <f>_xlfn.IFNA(I14*(1+(INDEX('Product Mark-up'!$F$4:$F$8,MATCH('Calculation Sheet - BOM '!$D$2,'Product Mark-up'!$C$4:$C$8,0)))),0)</f>
        <v>246.35291893333334</v>
      </c>
      <c r="N14" s="335" t="s">
        <v>343</v>
      </c>
      <c r="O14" s="160" t="s">
        <v>321</v>
      </c>
      <c r="P14" s="160" t="s">
        <v>322</v>
      </c>
      <c r="Q14" s="160" t="s">
        <v>323</v>
      </c>
      <c r="R14" s="160" t="s">
        <v>324</v>
      </c>
      <c r="S14" s="160" t="s">
        <v>134</v>
      </c>
      <c r="T14" s="160" t="s">
        <v>325</v>
      </c>
      <c r="U14" s="160" t="s">
        <v>326</v>
      </c>
      <c r="V14" s="160" t="s">
        <v>327</v>
      </c>
      <c r="W14" s="160" t="s">
        <v>328</v>
      </c>
      <c r="X14" s="974" t="s">
        <v>329</v>
      </c>
      <c r="AB14" s="119" t="s">
        <v>343</v>
      </c>
      <c r="AC14" s="160" t="s">
        <v>321</v>
      </c>
      <c r="AD14" s="160" t="s">
        <v>322</v>
      </c>
      <c r="AE14" s="160" t="s">
        <v>323</v>
      </c>
      <c r="AF14" s="160" t="s">
        <v>324</v>
      </c>
      <c r="AG14" s="160" t="s">
        <v>134</v>
      </c>
      <c r="AH14" s="160" t="s">
        <v>325</v>
      </c>
      <c r="AI14" s="160" t="s">
        <v>326</v>
      </c>
      <c r="AJ14" s="160" t="s">
        <v>327</v>
      </c>
      <c r="AK14" s="160" t="s">
        <v>328</v>
      </c>
      <c r="AL14" s="160" t="s">
        <v>329</v>
      </c>
    </row>
    <row r="15" spans="1:38" x14ac:dyDescent="0.35">
      <c r="A15" s="544"/>
      <c r="B15" s="21" t="str">
        <f>'Door - Step 2'!B44</f>
        <v>Option</v>
      </c>
      <c r="C15" s="21" t="str">
        <f>'Door - Step 2'!C44</f>
        <v>Inside Jamb</v>
      </c>
      <c r="D15" s="121" t="str">
        <f>'Door - Step 2'!D44</f>
        <v>Aluminium Frame - Standard</v>
      </c>
      <c r="E15" s="71">
        <f>_xlfn.IFNA(INDEX(O$26:O$36,MATCH($D15,$N$26:$N$36,0)),0)</f>
        <v>3.8724791666666665</v>
      </c>
      <c r="F15" s="30">
        <f>_xlfn.IFNA(INDEX($Q$26:$Q$36,MATCH($D15,$N$26:$N$36,0)),0)</f>
        <v>0.90270555699999999</v>
      </c>
      <c r="G15" s="49"/>
      <c r="H15" s="71"/>
      <c r="I15" s="71">
        <f>_xlfn.IFNA(INDEX(T26:T36,MATCH($D15,$N$26:$N$36,0)),0)</f>
        <v>55.495708463116728</v>
      </c>
      <c r="J15" s="71">
        <f t="shared" si="1"/>
        <v>3.8724791666666665</v>
      </c>
      <c r="K15" s="71">
        <f t="shared" si="2"/>
        <v>0</v>
      </c>
      <c r="L15" s="71">
        <f>_xlfn.IFNA(I15*(1+(INDEX('Product Mark-up'!$F$4:$F$8,MATCH('Calculation Sheet - BOM '!$D$2,'Product Mark-up'!$C$4:$C$8,0)))),0)</f>
        <v>55.495708463116728</v>
      </c>
      <c r="N15" s="975" t="s">
        <v>344</v>
      </c>
      <c r="O15" s="71">
        <f>+IF($D$3="Freezer",'Cost Sheet'!$N$22,'Cost Sheet'!$N$21)</f>
        <v>11.36</v>
      </c>
      <c r="P15" s="171" t="s">
        <v>345</v>
      </c>
      <c r="Q15" s="30">
        <f>((($D$6)+(($D$7+($O$12*2))*2))*'Calculation Sheet - BOM '!$L$2)</f>
        <v>15.582710000000001</v>
      </c>
      <c r="R15" s="71">
        <f>+Q15*O15</f>
        <v>177.0195856</v>
      </c>
      <c r="S15" s="1004" cm="1">
        <f t="array" ref="S15">IF(OR(('Door - Step 2'!$D$30=Controller!$A$16),('Door - Step 2'!$D$30=Controller!$A$17)),
(INDEX('Door and Panel Labor Exp. '!$J$5:$M$22,MATCH(MIN(IF('Door and Panel Labor Exp. '!$D$5:$D$22&gt;=('Door - Step 2'!$D$34*'Door - Step 2'!$D$35),'Door and Panel Labor Exp. '!$D$5:$D$22)),'Door and Panel Labor Exp. '!$D$5:$D$22,0),MATCH('Door - Step 2'!$D$31,'Door and Panel Labor Exp. '!$J$1:$M$1,0))),
IF(OR('Door - Step 2'!$D$30=Controller!$A$14,'Door - Step 2'!$D$30=Controller!$A$15),(INDEX('Door and Panel Labor Exp. '!$J$23:$M$40,MATCH(MIN(IF('Door and Panel Labor Exp. '!$D$23:$D$40&gt;=('Door - Step 2'!$D$34*'Door - Step 2'!$D$35),'Door and Panel Labor Exp. '!$D$23:$D$40)),'Door and Panel Labor Exp. '!$D$23:$D$40,0),MATCH('Door - Step 2'!$D$31,'Door and Panel Labor Exp. '!$J$1:$M$1,0))),
IF('Door - Step 2'!$D$30=Controller!$A$13,(INDEX('Door and Panel Labor Exp. '!$J$41:$M$59,MATCH(MIN(IF('Door and Panel Labor Exp. '!$D$41:$D$59&gt;=('Door - Step 2'!$D$34*'Door - Step 2'!$D$35),'Door and Panel Labor Exp. '!$D$41:$D$59)),'Door and Panel Labor Exp. '!$D$41:$D$59,0),MATCH('Door - Step 2'!$D$31,'Door and Panel Labor Exp. '!$J$1:$M$1,0))),
0)))</f>
        <v>69.333333333333329</v>
      </c>
      <c r="T15" s="71">
        <f t="shared" ref="T15:T24" si="3">+R15+S15</f>
        <v>246.35291893333334</v>
      </c>
      <c r="U15" s="71">
        <f>+IF($D$3="Freezer",'Cost Sheet'!$P$22,'Cost Sheet'!$P$21)</f>
        <v>11.36</v>
      </c>
      <c r="V15" s="71">
        <f>+R15</f>
        <v>177.0195856</v>
      </c>
      <c r="W15" s="71">
        <f>+S15</f>
        <v>69.333333333333329</v>
      </c>
      <c r="X15" s="355">
        <f>_xlfn.IFNA(T15*(1+(INDEX('Product Mark-up'!$F$4:$F$8,MATCH('Calculation Sheet - BOM '!$D$2,'Product Mark-up'!$C$4:$C$8,0)))),0)</f>
        <v>246.35291893333334</v>
      </c>
      <c r="AB15" s="28" t="s">
        <v>344</v>
      </c>
      <c r="AC15" s="71">
        <f>+IF($D$3="Freezer",'Cost Sheet'!$N$22,'Cost Sheet'!$N$21)</f>
        <v>11.36</v>
      </c>
      <c r="AD15" s="171" t="s">
        <v>345</v>
      </c>
      <c r="AE15" s="30">
        <f>((($D$6*2)+(($D$7+($O$12*2))*2))*'Calculation Sheet - BOM '!$L$2)</f>
        <v>18.415929999999999</v>
      </c>
      <c r="AF15" s="71">
        <f>+AE15*AC15</f>
        <v>209.20496479999997</v>
      </c>
      <c r="AG15" s="71" cm="1">
        <f t="array" ref="AG15">IF(OR(('Door - Step 2'!$D$30=Controller!$A$16),('Door - Step 2'!$D$30=Controller!$A$17)),
(INDEX('Door and Panel Labor Exp. '!$J$5:$M$22,MATCH(MIN(IF('Door and Panel Labor Exp. '!$D$5:$D$22&gt;=('Door - Step 2'!$D$34*'Door - Step 2'!$D$35),'Door and Panel Labor Exp. '!$D$5:$D$22)),'Door and Panel Labor Exp. '!$D$5:$D$22,0),MATCH('Door - Step 2'!$D$31,'Door and Panel Labor Exp. '!$J$1:$M$1,0))),
IF(OR('Door - Step 2'!$D$30=Controller!$A$14,'Door - Step 2'!$D$30=Controller!$A$15),(INDEX('Door and Panel Labor Exp. '!$J$23:$M$40,MATCH(MIN(IF('Door and Panel Labor Exp. '!$D$23:$D$40&gt;=('Door - Step 2'!$D$34*'Door - Step 2'!$D$35),'Door and Panel Labor Exp. '!$D$23:$D$40)),'Door and Panel Labor Exp. '!$D$23:$D$40,0),MATCH('Door - Step 2'!$D$31,'Door and Panel Labor Exp. '!$J$1:$M$1,0))),
IF('Door - Step 2'!$D$30=Controller!$A$13,(INDEX('Door and Panel Labor Exp. '!$J$41:$M$59,MATCH(MIN(IF('Door and Panel Labor Exp. '!$D$41:$D$59&gt;=('Door - Step 2'!$D$34*'Door - Step 2'!$D$35),'Door and Panel Labor Exp. '!$D$41:$D$59)),'Door and Panel Labor Exp. '!$D$41:$D$59,0),MATCH('Door - Step 2'!$D$31,'Door and Panel Labor Exp. '!$J$1:$M$1,0))),
0)))</f>
        <v>69.333333333333329</v>
      </c>
      <c r="AH15" s="71">
        <f>+AF15+AG15+IF('Doors - Step 1'!$E$12='Calculation Sheet - BOM '!$AE$3,'Accessories Install - Labour'!$F$83,0)</f>
        <v>278.53829813333329</v>
      </c>
      <c r="AI15" s="71">
        <f>+IF($D$3="Freezer",'Cost Sheet'!$P$22,'Cost Sheet'!$P$21)</f>
        <v>11.36</v>
      </c>
      <c r="AJ15" s="71">
        <f>+AF15</f>
        <v>209.20496479999997</v>
      </c>
      <c r="AK15" s="71">
        <f>+AG15</f>
        <v>69.333333333333329</v>
      </c>
      <c r="AL15" s="71">
        <f>_xlfn.IFNA(AH15*(1+(INDEX('Product Mark-up'!$F$4:$F$8,MATCH('Calculation Sheet - BOM '!$D$2,'Product Mark-up'!$C$4:$C$8,0)))),0)</f>
        <v>278.53829813333329</v>
      </c>
    </row>
    <row r="16" spans="1:38" ht="31" x14ac:dyDescent="0.35">
      <c r="A16" s="544"/>
      <c r="B16" s="21" t="str">
        <f>'Door - Step 2'!B45</f>
        <v>Option</v>
      </c>
      <c r="C16" s="21" t="str">
        <f>'Door - Step 2'!C45</f>
        <v>Back Frame</v>
      </c>
      <c r="D16" s="121" t="str">
        <f>'Door - Step 2'!D45</f>
        <v>Aluminium Frame - Standard</v>
      </c>
      <c r="E16" s="71">
        <f>_xlfn.IFNA(INDEX(O$38:O$58,MATCH($D16,$N$38:$N$58,0)),0)</f>
        <v>3.8724791666666665</v>
      </c>
      <c r="F16" s="30">
        <f>_xlfn.IFNA(INDEX($Q$38:$Q$58,MATCH($D16,$N$38:$N$58,0)),0)</f>
        <v>9.7422761267000002</v>
      </c>
      <c r="G16" s="49"/>
      <c r="H16" s="71"/>
      <c r="I16" s="71">
        <f>_xlfn.IFNA(INDEX(T38:T58,MATCH($D16,$N$38:$N$58,0)),0)</f>
        <v>72.393428003226433</v>
      </c>
      <c r="J16" s="71">
        <f t="shared" si="1"/>
        <v>3.8724791666666665</v>
      </c>
      <c r="K16" s="71">
        <f t="shared" si="2"/>
        <v>0</v>
      </c>
      <c r="L16" s="71">
        <f>_xlfn.IFNA(I16*(1+(INDEX('Product Mark-up'!$F$4:$F$8,MATCH('Calculation Sheet - BOM '!$D$2,'Product Mark-up'!$C$4:$C$8,0)))),0)</f>
        <v>72.393428003226433</v>
      </c>
      <c r="N16" s="975" t="s">
        <v>346</v>
      </c>
      <c r="O16" s="71">
        <f>+$O$15+'Cost Sheet'!$N$10</f>
        <v>12.956203623813632</v>
      </c>
      <c r="P16" s="49" t="s">
        <v>347</v>
      </c>
      <c r="Q16" s="30">
        <f>((($D$6)+(($D$7+($O$12*2))*2))*'Calculation Sheet - BOM '!$L$2)</f>
        <v>15.582710000000001</v>
      </c>
      <c r="R16" s="71">
        <f>+Q16*O16</f>
        <v>201.89276377083692</v>
      </c>
      <c r="S16" s="1004" cm="1">
        <f t="array" ref="S16">IF(OR(('Door - Step 2'!$D$30=Controller!$A$16),('Door - Step 2'!$D$30=Controller!$A$17)),
(INDEX('Door and Panel Labor Exp. '!$J$5:$M$22,MATCH(MIN(IF('Door and Panel Labor Exp. '!$D$5:$D$22&gt;=('Door - Step 2'!$D$34*'Door - Step 2'!$D$35),'Door and Panel Labor Exp. '!$D$5:$D$22)),'Door and Panel Labor Exp. '!$D$5:$D$22,0),MATCH('Door - Step 2'!$D$31,'Door and Panel Labor Exp. '!$J$1:$M$1,0))),
IF(OR('Door - Step 2'!$D$30=Controller!$A$14,'Door - Step 2'!$D$30=Controller!$A$15),(INDEX('Door and Panel Labor Exp. '!$J$23:$M$40,MATCH(MIN(IF('Door and Panel Labor Exp. '!$D$23:$D$40&gt;=('Door - Step 2'!$D$34*'Door - Step 2'!$D$35),'Door and Panel Labor Exp. '!$D$23:$D$40)),'Door and Panel Labor Exp. '!$D$23:$D$40,0),MATCH('Door - Step 2'!$D$31,'Door and Panel Labor Exp. '!$J$1:$M$1,0))),
IF('Door - Step 2'!$D$30=Controller!$A$13,(INDEX('Door and Panel Labor Exp. '!$J$41:$M$59,MATCH(MIN(IF('Door and Panel Labor Exp. '!$D$41:$D$59&gt;=('Door - Step 2'!$D$34*'Door - Step 2'!$D$35),'Door and Panel Labor Exp. '!$D$41:$D$59)),'Door and Panel Labor Exp. '!$D$41:$D$59,0),MATCH('Door - Step 2'!$D$31,'Door and Panel Labor Exp. '!$J$1:$M$1,0))),
0)))</f>
        <v>69.333333333333329</v>
      </c>
      <c r="T16" s="71">
        <f t="shared" si="3"/>
        <v>271.22609710417026</v>
      </c>
      <c r="U16" s="71">
        <f>+$U$15+'Cost Sheet'!$P$10</f>
        <v>12.956203623813632</v>
      </c>
      <c r="V16" s="71">
        <f t="shared" ref="V16:V24" si="4">+R16</f>
        <v>201.89276377083692</v>
      </c>
      <c r="W16" s="71">
        <f t="shared" ref="W16:W24" si="5">+S16</f>
        <v>69.333333333333329</v>
      </c>
      <c r="X16" s="355">
        <f>_xlfn.IFNA(T16*(1+(INDEX('Product Mark-up'!$F$4:$F$8,MATCH('Calculation Sheet - BOM '!$D$2,'Product Mark-up'!$C$4:$C$8,0)))),0)</f>
        <v>271.22609710417026</v>
      </c>
      <c r="AB16" s="28" t="s">
        <v>346</v>
      </c>
      <c r="AC16" s="71">
        <f>+$O$15+'Cost Sheet'!$N$10</f>
        <v>12.956203623813632</v>
      </c>
      <c r="AD16" s="49" t="s">
        <v>347</v>
      </c>
      <c r="AE16" s="30">
        <f>((($D$6*2)+(($D$7+($O$12*2))*2))*'Calculation Sheet - BOM '!$L$2)</f>
        <v>18.415929999999999</v>
      </c>
      <c r="AF16" s="71">
        <f>+AE16*AC16</f>
        <v>238.60053900189817</v>
      </c>
      <c r="AG16" s="71" cm="1">
        <f t="array" ref="AG16">IF(OR(('Door - Step 2'!$D$30=Controller!$A$16),('Door - Step 2'!$D$30=Controller!$A$17)),
(INDEX('Door and Panel Labor Exp. '!$J$5:$M$22,MATCH(MIN(IF('Door and Panel Labor Exp. '!$D$5:$D$22&gt;=('Door - Step 2'!$D$34*'Door - Step 2'!$D$35),'Door and Panel Labor Exp. '!$D$5:$D$22)),'Door and Panel Labor Exp. '!$D$5:$D$22,0),MATCH('Door - Step 2'!$D$31,'Door and Panel Labor Exp. '!$J$1:$M$1,0))),
IF(OR('Door - Step 2'!$D$30=Controller!$A$14,'Door - Step 2'!$D$30=Controller!$A$15),(INDEX('Door and Panel Labor Exp. '!$J$23:$M$40,MATCH(MIN(IF('Door and Panel Labor Exp. '!$D$23:$D$40&gt;=('Door - Step 2'!$D$34*'Door - Step 2'!$D$35),'Door and Panel Labor Exp. '!$D$23:$D$40)),'Door and Panel Labor Exp. '!$D$23:$D$40,0),MATCH('Door - Step 2'!$D$31,'Door and Panel Labor Exp. '!$J$1:$M$1,0))),
IF('Door - Step 2'!$D$30=Controller!$A$13,(INDEX('Door and Panel Labor Exp. '!$J$41:$M$59,MATCH(MIN(IF('Door and Panel Labor Exp. '!$D$41:$D$59&gt;=('Door - Step 2'!$D$34*'Door - Step 2'!$D$35),'Door and Panel Labor Exp. '!$D$41:$D$59)),'Door and Panel Labor Exp. '!$D$41:$D$59,0),MATCH('Door - Step 2'!$D$31,'Door and Panel Labor Exp. '!$J$1:$M$1,0))),
0)))</f>
        <v>69.333333333333329</v>
      </c>
      <c r="AH16" s="71">
        <f>+AF16+AG16+IF('Doors - Step 1'!$E$12='Calculation Sheet - BOM '!$AE$3,'Accessories Install - Labour'!$F$83,0)</f>
        <v>307.93387233523151</v>
      </c>
      <c r="AI16" s="71">
        <f>+$U$15+'Cost Sheet'!$P$10</f>
        <v>12.956203623813632</v>
      </c>
      <c r="AJ16" s="71">
        <f t="shared" ref="AJ16:AJ24" si="6">+AF16</f>
        <v>238.60053900189817</v>
      </c>
      <c r="AK16" s="71">
        <f t="shared" ref="AK16:AK24" si="7">+AG16</f>
        <v>69.333333333333329</v>
      </c>
      <c r="AL16" s="71">
        <f>_xlfn.IFNA(AH16*(1+(INDEX('Product Mark-up'!$F$4:$F$8,MATCH('Calculation Sheet - BOM '!$D$2,'Product Mark-up'!$C$4:$C$8,0)))),0)</f>
        <v>307.93387233523151</v>
      </c>
    </row>
    <row r="17" spans="1:38" ht="31" x14ac:dyDescent="0.35">
      <c r="A17" s="544"/>
      <c r="B17" s="21" t="str">
        <f>'Door - Step 2'!B46</f>
        <v>Option</v>
      </c>
      <c r="C17" s="21" t="str">
        <f>'Door - Step 2'!C46</f>
        <v>Freezer Door</v>
      </c>
      <c r="D17" s="121">
        <f>'Door - Step 2'!D46</f>
        <v>0</v>
      </c>
      <c r="E17" s="19"/>
      <c r="F17" s="20"/>
      <c r="G17" s="20"/>
      <c r="H17" s="71"/>
      <c r="I17" s="71">
        <f>IF($D17=0,0,'Cost Sheet'!$N$28)</f>
        <v>0</v>
      </c>
      <c r="J17" s="20">
        <f t="shared" si="1"/>
        <v>0</v>
      </c>
      <c r="K17" s="71">
        <f t="shared" si="2"/>
        <v>0</v>
      </c>
      <c r="L17" s="71">
        <f>_xlfn.IFNA(I17*(1+(INDEX('Product Mark-up'!$F$4:$F$8,MATCH('Calculation Sheet - BOM '!$D$2,'Product Mark-up'!$C$4:$C$8,0)))),0)</f>
        <v>0</v>
      </c>
      <c r="N17" s="975" t="s">
        <v>348</v>
      </c>
      <c r="O17" s="71">
        <f>+$O$15+'Cost Sheet'!$N$3</f>
        <v>12.542357301704966</v>
      </c>
      <c r="P17" s="49" t="s">
        <v>349</v>
      </c>
      <c r="Q17" s="30">
        <f>((($D$6)+(($D$7+($O$12*2))*2))*'Calculation Sheet - BOM '!$L$2)</f>
        <v>15.582710000000001</v>
      </c>
      <c r="R17" s="71">
        <f>+Q17*O17</f>
        <v>195.44391654885101</v>
      </c>
      <c r="S17" s="1004" cm="1">
        <f t="array" ref="S17">IF(OR(('Door - Step 2'!$D$30=Controller!$A$16),('Door - Step 2'!$D$30=Controller!$A$17)),
(INDEX('Door and Panel Labor Exp. '!$J$5:$M$22,MATCH(MIN(IF('Door and Panel Labor Exp. '!$D$5:$D$22&gt;=('Door - Step 2'!$D$34*'Door - Step 2'!$D$35),'Door and Panel Labor Exp. '!$D$5:$D$22)),'Door and Panel Labor Exp. '!$D$5:$D$22,0),MATCH('Door - Step 2'!$D$31,'Door and Panel Labor Exp. '!$J$1:$M$1,0))),
IF(OR('Door - Step 2'!$D$30=Controller!$A$14,'Door - Step 2'!$D$30=Controller!$A$15),(INDEX('Door and Panel Labor Exp. '!$J$23:$M$40,MATCH(MIN(IF('Door and Panel Labor Exp. '!$D$23:$D$40&gt;=('Door - Step 2'!$D$34*'Door - Step 2'!$D$35),'Door and Panel Labor Exp. '!$D$23:$D$40)),'Door and Panel Labor Exp. '!$D$23:$D$40,0),MATCH('Door - Step 2'!$D$31,'Door and Panel Labor Exp. '!$J$1:$M$1,0))),
IF('Door - Step 2'!$D$30=Controller!$A$13,(INDEX('Door and Panel Labor Exp. '!$J$41:$M$59,MATCH(MIN(IF('Door and Panel Labor Exp. '!$D$41:$D$59&gt;=('Door - Step 2'!$D$34*'Door - Step 2'!$D$35),'Door and Panel Labor Exp. '!$D$41:$D$59)),'Door and Panel Labor Exp. '!$D$41:$D$59,0),MATCH('Door - Step 2'!$D$31,'Door and Panel Labor Exp. '!$J$1:$M$1,0))),
0)))</f>
        <v>69.333333333333329</v>
      </c>
      <c r="T17" s="71">
        <f t="shared" si="3"/>
        <v>264.77724988218432</v>
      </c>
      <c r="U17" s="71">
        <f>+$U$15+'Cost Sheet'!$P$3</f>
        <v>12.542357301704966</v>
      </c>
      <c r="V17" s="71">
        <f t="shared" si="4"/>
        <v>195.44391654885101</v>
      </c>
      <c r="W17" s="71">
        <f t="shared" si="5"/>
        <v>69.333333333333329</v>
      </c>
      <c r="X17" s="355">
        <f>_xlfn.IFNA(T17*(1+(INDEX('Product Mark-up'!$F$4:$F$8,MATCH('Calculation Sheet - BOM '!$D$2,'Product Mark-up'!$C$4:$C$8,0)))),0)</f>
        <v>264.77724988218432</v>
      </c>
      <c r="AB17" s="28" t="s">
        <v>348</v>
      </c>
      <c r="AC17" s="71">
        <f>+$O$15+'Cost Sheet'!$N$3</f>
        <v>12.542357301704966</v>
      </c>
      <c r="AD17" s="49" t="s">
        <v>349</v>
      </c>
      <c r="AE17" s="30">
        <f>((($D$6*2)+(($D$7+($O$12*2))*2))*'Calculation Sheet - BOM '!$L$2)</f>
        <v>18.415929999999999</v>
      </c>
      <c r="AF17" s="71">
        <f>+AE17*AC17</f>
        <v>230.97917410318752</v>
      </c>
      <c r="AG17" s="71" cm="1">
        <f t="array" ref="AG17">IF(OR(('Door - Step 2'!$D$30=Controller!$A$16),('Door - Step 2'!$D$30=Controller!$A$17)),
(INDEX('Door and Panel Labor Exp. '!$J$5:$M$22,MATCH(MIN(IF('Door and Panel Labor Exp. '!$D$5:$D$22&gt;=('Door - Step 2'!$D$34*'Door - Step 2'!$D$35),'Door and Panel Labor Exp. '!$D$5:$D$22)),'Door and Panel Labor Exp. '!$D$5:$D$22,0),MATCH('Door - Step 2'!$D$31,'Door and Panel Labor Exp. '!$J$1:$M$1,0))),
IF(OR('Door - Step 2'!$D$30=Controller!$A$14,'Door - Step 2'!$D$30=Controller!$A$15),(INDEX('Door and Panel Labor Exp. '!$J$23:$M$40,MATCH(MIN(IF('Door and Panel Labor Exp. '!$D$23:$D$40&gt;=('Door - Step 2'!$D$34*'Door - Step 2'!$D$35),'Door and Panel Labor Exp. '!$D$23:$D$40)),'Door and Panel Labor Exp. '!$D$23:$D$40,0),MATCH('Door - Step 2'!$D$31,'Door and Panel Labor Exp. '!$J$1:$M$1,0))),
IF('Door - Step 2'!$D$30=Controller!$A$13,(INDEX('Door and Panel Labor Exp. '!$J$41:$M$59,MATCH(MIN(IF('Door and Panel Labor Exp. '!$D$41:$D$59&gt;=('Door - Step 2'!$D$34*'Door - Step 2'!$D$35),'Door and Panel Labor Exp. '!$D$41:$D$59)),'Door and Panel Labor Exp. '!$D$41:$D$59,0),MATCH('Door - Step 2'!$D$31,'Door and Panel Labor Exp. '!$J$1:$M$1,0))),
0)))</f>
        <v>69.333333333333329</v>
      </c>
      <c r="AH17" s="71">
        <f>+AF17+AG17+IF('Doors - Step 1'!$E$12='Calculation Sheet - BOM '!$AE$3,'Accessories Install - Labour'!$F$83,0)</f>
        <v>300.31250743652083</v>
      </c>
      <c r="AI17" s="71">
        <f>+$U$15+'Cost Sheet'!$P$3</f>
        <v>12.542357301704966</v>
      </c>
      <c r="AJ17" s="71">
        <f t="shared" si="6"/>
        <v>230.97917410318752</v>
      </c>
      <c r="AK17" s="71">
        <f t="shared" si="7"/>
        <v>69.333333333333329</v>
      </c>
      <c r="AL17" s="71">
        <f>_xlfn.IFNA(AH17*(1+(INDEX('Product Mark-up'!$F$4:$F$8,MATCH('Calculation Sheet - BOM '!$D$2,'Product Mark-up'!$C$4:$C$8,0)))),0)</f>
        <v>300.31250743652083</v>
      </c>
    </row>
    <row r="18" spans="1:38" ht="31" x14ac:dyDescent="0.35">
      <c r="A18" s="544"/>
      <c r="B18" s="21" t="str">
        <f>'Door - Step 2'!B47</f>
        <v>Option</v>
      </c>
      <c r="C18" s="21" t="str">
        <f>'Door - Step 2'!C47</f>
        <v>Kick Plate Material</v>
      </c>
      <c r="D18" s="121" t="str">
        <f>'Door - Step 2'!D47</f>
        <v>1/8" T Aluminium Tread Plate</v>
      </c>
      <c r="E18" s="940">
        <f>_xlfn.IFNA((INDEX('Cost Sheet'!$N:$N,MATCH('Door - Step 2'!$D$47,'Cost Sheet'!$C:$C,0))),0)</f>
        <v>2.9627348993288591</v>
      </c>
      <c r="F18" s="947">
        <f>IF(D20="Interior and Exterior",(2*(($D$6*'Calculation Sheet - BOM '!$L$2)*(INDEX('Calculation Sheet - BOM '!$Z$3:$Z$6,MATCH('Door - Step 2'!$D$48,'Calculation Sheet - BOM '!$Y$3:$Y$6,0))))),(($D$6*'Calculation Sheet - BOM '!$L$2)*(INDEX('Calculation Sheet - BOM '!$Z$3:$Z$6,MATCH('Door - Step 2'!$D$48,'Calculation Sheet - BOM '!$Y$3:$Y$6,0)))))</f>
        <v>5.6662133423999999</v>
      </c>
      <c r="G18" s="950" t="s">
        <v>133</v>
      </c>
      <c r="H18" s="944">
        <f>+IF(D19=0,0,IF(D20="Interior and Exterior",(2*INDEX('Accessories Install - Labour'!$E:$E,MATCH('Calculation Sheet - BOM '!$D19,'Accessories Install - Labour'!$C:$C,0))),INDEX('Accessories Install - Labour'!$E:$E,MATCH('Calculation Sheet - BOM '!$D19,'Accessories Install - Labour'!$C:$C,0))))</f>
        <v>30.333333333333332</v>
      </c>
      <c r="I18" s="940">
        <f>(E18*F18)+H18</f>
        <v>47.120821349904631</v>
      </c>
      <c r="J18" s="940">
        <f t="shared" si="1"/>
        <v>2.9627348993288591</v>
      </c>
      <c r="K18" s="944">
        <f t="shared" si="2"/>
        <v>30.333333333333332</v>
      </c>
      <c r="L18" s="940">
        <f>_xlfn.IFNA(I18*(1+(INDEX('Product Mark-up'!$F$4:$F$8,MATCH('Calculation Sheet - BOM '!$D$2,'Product Mark-up'!$C$4:$C$8,0)))),0)</f>
        <v>47.120821349904631</v>
      </c>
      <c r="N18" s="975" t="s">
        <v>350</v>
      </c>
      <c r="O18" s="71">
        <f>+$O$15+'Cost Sheet'!$N$5</f>
        <v>12.476670784943579</v>
      </c>
      <c r="P18" s="49" t="s">
        <v>349</v>
      </c>
      <c r="Q18" s="30">
        <f>((($D$6)+(($D$7+($O$12*2))*2))*'Calculation Sheet - BOM '!$L$2)</f>
        <v>15.582710000000001</v>
      </c>
      <c r="R18" s="71">
        <f>+Q18*O18</f>
        <v>194.42034260724816</v>
      </c>
      <c r="S18" s="1004" cm="1">
        <f t="array" ref="S18">IF(OR(('Door - Step 2'!$D$30=Controller!$A$16),('Door - Step 2'!$D$30=Controller!$A$17)),
(INDEX('Door and Panel Labor Exp. '!$J$5:$M$22,MATCH(MIN(IF('Door and Panel Labor Exp. '!$D$5:$D$22&gt;=('Door - Step 2'!$D$34*'Door - Step 2'!$D$35),'Door and Panel Labor Exp. '!$D$5:$D$22)),'Door and Panel Labor Exp. '!$D$5:$D$22,0),MATCH('Door - Step 2'!$D$31,'Door and Panel Labor Exp. '!$J$1:$M$1,0))),
IF(OR('Door - Step 2'!$D$30=Controller!$A$14,'Door - Step 2'!$D$30=Controller!$A$15),(INDEX('Door and Panel Labor Exp. '!$J$23:$M$40,MATCH(MIN(IF('Door and Panel Labor Exp. '!$D$23:$D$40&gt;=('Door - Step 2'!$D$34*'Door - Step 2'!$D$35),'Door and Panel Labor Exp. '!$D$23:$D$40)),'Door and Panel Labor Exp. '!$D$23:$D$40,0),MATCH('Door - Step 2'!$D$31,'Door and Panel Labor Exp. '!$J$1:$M$1,0))),
IF('Door - Step 2'!$D$30=Controller!$A$13,(INDEX('Door and Panel Labor Exp. '!$J$41:$M$59,MATCH(MIN(IF('Door and Panel Labor Exp. '!$D$41:$D$59&gt;=('Door - Step 2'!$D$34*'Door - Step 2'!$D$35),'Door and Panel Labor Exp. '!$D$41:$D$59)),'Door and Panel Labor Exp. '!$D$41:$D$59,0),MATCH('Door - Step 2'!$D$31,'Door and Panel Labor Exp. '!$J$1:$M$1,0))),
0)))</f>
        <v>69.333333333333329</v>
      </c>
      <c r="T18" s="71">
        <f t="shared" si="3"/>
        <v>263.7536759405815</v>
      </c>
      <c r="U18" s="71">
        <f>+$U$15+'Cost Sheet'!$P$5</f>
        <v>12.476670784943579</v>
      </c>
      <c r="V18" s="71">
        <f t="shared" si="4"/>
        <v>194.42034260724816</v>
      </c>
      <c r="W18" s="71">
        <f t="shared" si="5"/>
        <v>69.333333333333329</v>
      </c>
      <c r="X18" s="355">
        <f>_xlfn.IFNA(T18*(1+(INDEX('Product Mark-up'!$F$4:$F$8,MATCH('Calculation Sheet - BOM '!$D$2,'Product Mark-up'!$C$4:$C$8,0)))),0)</f>
        <v>263.7536759405815</v>
      </c>
      <c r="AB18" s="28" t="s">
        <v>350</v>
      </c>
      <c r="AC18" s="71">
        <f>+$O$15+'Cost Sheet'!$N$5</f>
        <v>12.476670784943579</v>
      </c>
      <c r="AD18" s="49" t="s">
        <v>349</v>
      </c>
      <c r="AE18" s="30">
        <f>((($D$6*2)+(($D$7+($O$12*2))*2))*'Calculation Sheet - BOM '!$L$2)</f>
        <v>18.415929999999999</v>
      </c>
      <c r="AF18" s="71">
        <f>+AE18*AC18</f>
        <v>229.76949580856601</v>
      </c>
      <c r="AG18" s="71" cm="1">
        <f t="array" ref="AG18">IF(OR(('Door - Step 2'!$D$30=Controller!$A$16),('Door - Step 2'!$D$30=Controller!$A$17)),
(INDEX('Door and Panel Labor Exp. '!$J$5:$M$22,MATCH(MIN(IF('Door and Panel Labor Exp. '!$D$5:$D$22&gt;=('Door - Step 2'!$D$34*'Door - Step 2'!$D$35),'Door and Panel Labor Exp. '!$D$5:$D$22)),'Door and Panel Labor Exp. '!$D$5:$D$22,0),MATCH('Door - Step 2'!$D$31,'Door and Panel Labor Exp. '!$J$1:$M$1,0))),
IF(OR('Door - Step 2'!$D$30=Controller!$A$14,'Door - Step 2'!$D$30=Controller!$A$15),(INDEX('Door and Panel Labor Exp. '!$J$23:$M$40,MATCH(MIN(IF('Door and Panel Labor Exp. '!$D$23:$D$40&gt;=('Door - Step 2'!$D$34*'Door - Step 2'!$D$35),'Door and Panel Labor Exp. '!$D$23:$D$40)),'Door and Panel Labor Exp. '!$D$23:$D$40,0),MATCH('Door - Step 2'!$D$31,'Door and Panel Labor Exp. '!$J$1:$M$1,0))),
IF('Door - Step 2'!$D$30=Controller!$A$13,(INDEX('Door and Panel Labor Exp. '!$J$41:$M$59,MATCH(MIN(IF('Door and Panel Labor Exp. '!$D$41:$D$59&gt;=('Door - Step 2'!$D$34*'Door - Step 2'!$D$35),'Door and Panel Labor Exp. '!$D$41:$D$59)),'Door and Panel Labor Exp. '!$D$41:$D$59,0),MATCH('Door - Step 2'!$D$31,'Door and Panel Labor Exp. '!$J$1:$M$1,0))),
0)))</f>
        <v>69.333333333333329</v>
      </c>
      <c r="AH18" s="71">
        <f>+AF18+AG18+IF('Doors - Step 1'!$E$12='Calculation Sheet - BOM '!$AE$3,'Accessories Install - Labour'!$F$83,0)</f>
        <v>299.10282914189935</v>
      </c>
      <c r="AI18" s="71">
        <f>+$U$15+'Cost Sheet'!$P$5</f>
        <v>12.476670784943579</v>
      </c>
      <c r="AJ18" s="71">
        <f t="shared" si="6"/>
        <v>229.76949580856601</v>
      </c>
      <c r="AK18" s="71">
        <f t="shared" si="7"/>
        <v>69.333333333333329</v>
      </c>
      <c r="AL18" s="71">
        <f>_xlfn.IFNA(AH18*(1+(INDEX('Product Mark-up'!$F$4:$F$8,MATCH('Calculation Sheet - BOM '!$D$2,'Product Mark-up'!$C$4:$C$8,0)))),0)</f>
        <v>299.10282914189935</v>
      </c>
    </row>
    <row r="19" spans="1:38" ht="31" x14ac:dyDescent="0.35">
      <c r="A19" s="544"/>
      <c r="B19" s="21" t="str">
        <f>'Door - Step 2'!B48</f>
        <v>Option</v>
      </c>
      <c r="C19" s="181" t="str">
        <f>'Door - Step 2'!C48</f>
        <v>Kick Plate Size</v>
      </c>
      <c r="D19" s="121" t="str">
        <f>'Door - Step 2'!D48</f>
        <v>24"H</v>
      </c>
      <c r="E19" s="940"/>
      <c r="F19" s="948"/>
      <c r="G19" s="951"/>
      <c r="H19" s="945"/>
      <c r="I19" s="940"/>
      <c r="J19" s="940">
        <f t="shared" si="1"/>
        <v>0</v>
      </c>
      <c r="K19" s="945">
        <f t="shared" si="2"/>
        <v>0</v>
      </c>
      <c r="L19" s="940">
        <f>_xlfn.IFNA(I19*(1+(INDEX('Product Mark-up'!$F$4:$F$8,MATCH('Calculation Sheet - BOM '!$D$2,'Product Mark-up'!$C$4:$C$8,0)))),0)</f>
        <v>0</v>
      </c>
      <c r="N19" s="975" t="s">
        <v>351</v>
      </c>
      <c r="O19" s="71">
        <f>+'Cost Sheet'!$N$27+'Cost Sheet'!$N$10</f>
        <v>2.7368286238136323</v>
      </c>
      <c r="P19" s="49" t="s">
        <v>352</v>
      </c>
      <c r="Q19" s="30">
        <f>SUM((($O$12*($D$7+$O$12))*2),($O$12*$D$6))*$L$4</f>
        <v>7.0072518862124999</v>
      </c>
      <c r="R19" s="71">
        <f>+O19*Q19*2</f>
        <v>38.355295072916874</v>
      </c>
      <c r="S19" s="1004" cm="1">
        <f t="array" ref="S19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T19" s="71">
        <f t="shared" si="3"/>
        <v>263.68862840625019</v>
      </c>
      <c r="U19" s="71">
        <f>+'Cost Sheet'!$P$27+'Cost Sheet'!$P$10</f>
        <v>2.7368286238136323</v>
      </c>
      <c r="V19" s="71">
        <f t="shared" si="4"/>
        <v>38.355295072916874</v>
      </c>
      <c r="W19" s="71">
        <f t="shared" si="5"/>
        <v>225.33333333333331</v>
      </c>
      <c r="X19" s="355">
        <f>_xlfn.IFNA(T19*(1+(INDEX('Product Mark-up'!$F$4:$F$8,MATCH('Calculation Sheet - BOM '!$D$2,'Product Mark-up'!$C$4:$C$8,0)))),0)</f>
        <v>263.68862840625019</v>
      </c>
      <c r="AB19" s="28" t="s">
        <v>351</v>
      </c>
      <c r="AC19" s="71">
        <f>+'Cost Sheet'!$N$27+'Cost Sheet'!$N$10</f>
        <v>2.7368286238136323</v>
      </c>
      <c r="AD19" s="49" t="s">
        <v>352</v>
      </c>
      <c r="AE19" s="30">
        <f>SUM((($O$12*($D$7+(2*$O$12)))),($O$12*($D$6+(2*$O$12))))*2*$L$4</f>
        <v>9.7422761267000002</v>
      </c>
      <c r="AF19" s="71">
        <f>+AC19*AE19*2</f>
        <v>53.325880329297533</v>
      </c>
      <c r="AG19" s="71" cm="1">
        <f t="array" ref="AG19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AH19" s="71">
        <f>+AF19+AG19+IF('Doors - Step 1'!$E$12='Calculation Sheet - BOM '!$AE$3,'Accessories Install - Labour'!$F$83,0)</f>
        <v>278.65921366263086</v>
      </c>
      <c r="AI19" s="71">
        <f>+'Cost Sheet'!$P$27+'Cost Sheet'!$P$10</f>
        <v>2.7368286238136323</v>
      </c>
      <c r="AJ19" s="71">
        <f t="shared" si="6"/>
        <v>53.325880329297533</v>
      </c>
      <c r="AK19" s="71">
        <f t="shared" si="7"/>
        <v>225.33333333333331</v>
      </c>
      <c r="AL19" s="71">
        <f>_xlfn.IFNA(AH19*(1+(INDEX('Product Mark-up'!$F$4:$F$8,MATCH('Calculation Sheet - BOM '!$D$2,'Product Mark-up'!$C$4:$C$8,0)))),0)</f>
        <v>278.65921366263086</v>
      </c>
    </row>
    <row r="20" spans="1:38" ht="31" x14ac:dyDescent="0.35">
      <c r="A20" s="544"/>
      <c r="B20" s="21" t="str">
        <f>'Door - Step 2'!B49</f>
        <v>Option</v>
      </c>
      <c r="C20" s="181" t="str">
        <f>'Door - Step 2'!C49</f>
        <v>Kick Plate Location</v>
      </c>
      <c r="D20" s="121" t="str">
        <f>'Door - Step 2'!D49</f>
        <v>Exterior</v>
      </c>
      <c r="E20" s="940"/>
      <c r="F20" s="949"/>
      <c r="G20" s="952"/>
      <c r="H20" s="946"/>
      <c r="I20" s="940"/>
      <c r="J20" s="940">
        <f t="shared" si="1"/>
        <v>0</v>
      </c>
      <c r="K20" s="946">
        <f t="shared" si="2"/>
        <v>0</v>
      </c>
      <c r="L20" s="940">
        <f>_xlfn.IFNA(I20*(1+(INDEX('Product Mark-up'!$F$4:$F$8,MATCH('Calculation Sheet - BOM '!$D$2,'Product Mark-up'!$C$4:$C$8,0)))),0)</f>
        <v>0</v>
      </c>
      <c r="N20" s="975" t="s">
        <v>353</v>
      </c>
      <c r="O20" s="71">
        <f>+'Cost Sheet'!$N$27+'Cost Sheet'!$N$3</f>
        <v>2.3229823017049664</v>
      </c>
      <c r="P20" s="49" t="s">
        <v>352</v>
      </c>
      <c r="Q20" s="30">
        <f t="shared" ref="Q20:Q21" si="8">SUM((($O$12*($D$7+$O$12))*2),($O$12*$D$6))*$L$4</f>
        <v>7.0072518862124999</v>
      </c>
      <c r="R20" s="71">
        <f>+O20*Q20*2</f>
        <v>32.555444230520763</v>
      </c>
      <c r="S20" s="1004" cm="1">
        <f t="array" ref="S20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T20" s="71">
        <f t="shared" si="3"/>
        <v>257.88877756385409</v>
      </c>
      <c r="U20" s="71">
        <f>+'Cost Sheet'!$P$27+'Cost Sheet'!$P$3</f>
        <v>2.3229823017049664</v>
      </c>
      <c r="V20" s="71">
        <f t="shared" si="4"/>
        <v>32.555444230520763</v>
      </c>
      <c r="W20" s="71">
        <f t="shared" si="5"/>
        <v>225.33333333333331</v>
      </c>
      <c r="X20" s="355">
        <f>_xlfn.IFNA(T20*(1+(INDEX('Product Mark-up'!$F$4:$F$8,MATCH('Calculation Sheet - BOM '!$D$2,'Product Mark-up'!$C$4:$C$8,0)))),0)</f>
        <v>257.88877756385409</v>
      </c>
      <c r="AB20" s="28" t="s">
        <v>353</v>
      </c>
      <c r="AC20" s="71">
        <f>+'Cost Sheet'!$N$27+'Cost Sheet'!$N$3</f>
        <v>2.3229823017049664</v>
      </c>
      <c r="AD20" s="49" t="s">
        <v>352</v>
      </c>
      <c r="AE20" s="30">
        <f>SUM((($O$12*($D$7+(2*$O$12)))),($O$12*($D$6+(2*$O$12))))*2*$L$4</f>
        <v>9.7422761267000002</v>
      </c>
      <c r="AF20" s="71">
        <f>+AC20*AE20*2</f>
        <v>45.262270041293824</v>
      </c>
      <c r="AG20" s="71" cm="1">
        <f t="array" ref="AG20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AH20" s="71">
        <f>+AF20+AG20+IF('Doors - Step 1'!$E$12='Calculation Sheet - BOM '!$AE$3,'Accessories Install - Labour'!$F$83,0)</f>
        <v>270.59560337462716</v>
      </c>
      <c r="AI20" s="71">
        <f>+'Cost Sheet'!$P$27+'Cost Sheet'!$P$3</f>
        <v>2.3229823017049664</v>
      </c>
      <c r="AJ20" s="71">
        <f t="shared" si="6"/>
        <v>45.262270041293824</v>
      </c>
      <c r="AK20" s="71">
        <f t="shared" si="7"/>
        <v>225.33333333333331</v>
      </c>
      <c r="AL20" s="71">
        <f>_xlfn.IFNA(AH20*(1+(INDEX('Product Mark-up'!$F$4:$F$8,MATCH('Calculation Sheet - BOM '!$D$2,'Product Mark-up'!$C$4:$C$8,0)))),0)</f>
        <v>270.59560337462716</v>
      </c>
    </row>
    <row r="21" spans="1:38" ht="31" x14ac:dyDescent="0.35">
      <c r="A21" s="544"/>
      <c r="B21" s="21" t="str">
        <f>'Door - Step 2'!B50</f>
        <v>Option</v>
      </c>
      <c r="C21" s="21" t="str">
        <f>'Door - Step 2'!C50</f>
        <v>ViewPort Window Size</v>
      </c>
      <c r="D21" s="121">
        <f>'Door - Step 2'!D50</f>
        <v>0</v>
      </c>
      <c r="E21" s="71">
        <f>IF($D21=0,0,(INDEX('Cost Sheet'!$N:$N,MATCH('Door - Step 2'!$D50,'Cost Sheet'!$C:$C,0))+((2*(15+21))*'Calculation Sheet - BOM '!$L$2*'Cost Sheet'!$N$65)))</f>
        <v>0</v>
      </c>
      <c r="F21" s="20"/>
      <c r="G21" s="121" t="s">
        <v>354</v>
      </c>
      <c r="H21" s="71"/>
      <c r="I21" s="71">
        <f>+E21+H21</f>
        <v>0</v>
      </c>
      <c r="J21" s="71">
        <f t="shared" si="1"/>
        <v>0</v>
      </c>
      <c r="K21" s="71">
        <f t="shared" si="2"/>
        <v>0</v>
      </c>
      <c r="L21" s="71">
        <f>_xlfn.IFNA(I21*(1+(INDEX('Product Mark-up'!$F$4:$F$8,MATCH('Calculation Sheet - BOM '!$D$2,'Product Mark-up'!$C$4:$C$8,0)))),0)</f>
        <v>0</v>
      </c>
      <c r="N21" s="975" t="s">
        <v>355</v>
      </c>
      <c r="O21" s="71">
        <f>+'Cost Sheet'!$N$27+'Cost Sheet'!$N$5</f>
        <v>2.2572957849435795</v>
      </c>
      <c r="P21" s="49" t="s">
        <v>352</v>
      </c>
      <c r="Q21" s="30">
        <f t="shared" si="8"/>
        <v>7.0072518862124999</v>
      </c>
      <c r="R21" s="71">
        <f>+O21*Q21*2</f>
        <v>31.634880293570845</v>
      </c>
      <c r="S21" s="1004" cm="1">
        <f t="array" ref="S21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T21" s="71">
        <f t="shared" si="3"/>
        <v>256.96821362690417</v>
      </c>
      <c r="U21" s="71">
        <f>+'Cost Sheet'!$P$27+'Cost Sheet'!$P$5</f>
        <v>2.2572957849435795</v>
      </c>
      <c r="V21" s="71">
        <f t="shared" si="4"/>
        <v>31.634880293570845</v>
      </c>
      <c r="W21" s="71">
        <f t="shared" si="5"/>
        <v>225.33333333333331</v>
      </c>
      <c r="X21" s="355">
        <f>_xlfn.IFNA(T21*(1+(INDEX('Product Mark-up'!$F$4:$F$8,MATCH('Calculation Sheet - BOM '!$D$2,'Product Mark-up'!$C$4:$C$8,0)))),0)</f>
        <v>256.96821362690417</v>
      </c>
      <c r="AB21" s="28" t="s">
        <v>355</v>
      </c>
      <c r="AC21" s="71">
        <f>+'Cost Sheet'!$N$27+'Cost Sheet'!$N$5</f>
        <v>2.2572957849435795</v>
      </c>
      <c r="AD21" s="49" t="s">
        <v>352</v>
      </c>
      <c r="AE21" s="30">
        <f>SUM((($O$12*($D$7+(2*$O$12)))),($O$12*($D$6+(2*$O$12))))*2*$L$4</f>
        <v>9.7422761267000002</v>
      </c>
      <c r="AF21" s="71">
        <f>+AC21*AE21*2</f>
        <v>43.982397673112743</v>
      </c>
      <c r="AG21" s="71" cm="1">
        <f t="array" ref="AG21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AH21" s="71">
        <f>+AF21+AG21+IF('Doors - Step 1'!$E$12='Calculation Sheet - BOM '!$AE$3,'Accessories Install - Labour'!$F$83,0)</f>
        <v>269.31573100644607</v>
      </c>
      <c r="AI21" s="71">
        <f>+'Cost Sheet'!$P$27+'Cost Sheet'!$P$5</f>
        <v>2.2572957849435795</v>
      </c>
      <c r="AJ21" s="71">
        <f t="shared" si="6"/>
        <v>43.982397673112743</v>
      </c>
      <c r="AK21" s="71">
        <f t="shared" si="7"/>
        <v>225.33333333333331</v>
      </c>
      <c r="AL21" s="71">
        <f>_xlfn.IFNA(AH21*(1+(INDEX('Product Mark-up'!$F$4:$F$8,MATCH('Calculation Sheet - BOM '!$D$2,'Product Mark-up'!$C$4:$C$8,0)))),0)</f>
        <v>269.31573100644607</v>
      </c>
    </row>
    <row r="22" spans="1:38" ht="31" x14ac:dyDescent="0.35">
      <c r="A22" s="544"/>
      <c r="B22" s="21" t="str">
        <f>'Door - Step 2'!B51</f>
        <v>Option</v>
      </c>
      <c r="C22" s="181" t="str">
        <f>'Door - Step 2'!C51</f>
        <v>ViewPort Window Type</v>
      </c>
      <c r="D22" s="121">
        <f>'Door - Step 2'!D51</f>
        <v>0</v>
      </c>
      <c r="E22" s="19"/>
      <c r="F22" s="20"/>
      <c r="G22" s="19" t="s">
        <v>133</v>
      </c>
      <c r="H22" s="71">
        <f>+IF(D22=0,0,IF(D22="Insulated",'Accessories Install - Labour'!$F$9,'Accessories Install - Labour'!$F$10))</f>
        <v>0</v>
      </c>
      <c r="I22" s="71">
        <f>+H22</f>
        <v>0</v>
      </c>
      <c r="J22" s="20">
        <f t="shared" si="1"/>
        <v>0</v>
      </c>
      <c r="K22" s="71">
        <f t="shared" si="2"/>
        <v>0</v>
      </c>
      <c r="L22" s="71">
        <f>_xlfn.IFNA(I22*(1+(INDEX('Product Mark-up'!$F$4:$F$8,MATCH('Calculation Sheet - BOM '!$D$2,'Product Mark-up'!$C$4:$C$8,0)))),0)</f>
        <v>0</v>
      </c>
      <c r="N22" s="975" t="s">
        <v>356</v>
      </c>
      <c r="O22" s="71">
        <f>+'Cost Sheet'!$N$24+'Cost Sheet'!$N$10</f>
        <v>6.0253702904802982</v>
      </c>
      <c r="P22" s="49" t="s">
        <v>347</v>
      </c>
      <c r="Q22" s="30">
        <f>((($D$6*2)+(($D$7+($O$12*2))*2))*'Calculation Sheet - BOM '!$L$2)</f>
        <v>18.415929999999999</v>
      </c>
      <c r="R22" s="71">
        <f>('Cost Sheet'!$N$24*$Q22)+('Cost Sheet'!$N$6*$Q$21)</f>
        <v>102.75850923787381</v>
      </c>
      <c r="S22" s="1004" cm="1">
        <f t="array" ref="S22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T22" s="71">
        <f t="shared" si="3"/>
        <v>328.09184257120711</v>
      </c>
      <c r="U22" s="71">
        <f>+'Cost Sheet'!$P$24+'Cost Sheet'!$P$10</f>
        <v>6.0253702904802982</v>
      </c>
      <c r="V22" s="71">
        <f t="shared" si="4"/>
        <v>102.75850923787381</v>
      </c>
      <c r="W22" s="71">
        <f t="shared" si="5"/>
        <v>225.33333333333331</v>
      </c>
      <c r="X22" s="355">
        <f>_xlfn.IFNA(T22*(1+(INDEX('Product Mark-up'!$F$4:$F$8,MATCH('Calculation Sheet - BOM '!$D$2,'Product Mark-up'!$C$4:$C$8,0)))),0)</f>
        <v>328.09184257120711</v>
      </c>
      <c r="AB22" s="28" t="s">
        <v>356</v>
      </c>
      <c r="AC22" s="71">
        <f>+'Cost Sheet'!$N$24+'Cost Sheet'!$N$6</f>
        <v>7.4533602150537632</v>
      </c>
      <c r="AD22" s="49" t="s">
        <v>347</v>
      </c>
      <c r="AE22" s="30">
        <f>((($D$6*2)+(($D$7+($O$12*2))*2))*'Calculation Sheet - BOM '!$L$2)</f>
        <v>18.415929999999999</v>
      </c>
      <c r="AF22" s="71">
        <f>('Cost Sheet'!$N$24*$Q22)+('Cost Sheet'!$N$6*$Q$21)</f>
        <v>102.75850923787381</v>
      </c>
      <c r="AG22" s="71" cm="1">
        <f t="array" ref="AG22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AH22" s="71">
        <f>+AF22+AG22+IF('Doors - Step 1'!$E$12='Calculation Sheet - BOM '!$AE$3,'Accessories Install - Labour'!$F$83,0)</f>
        <v>328.09184257120711</v>
      </c>
      <c r="AI22" s="71">
        <f>+'Cost Sheet'!$P$24+'Cost Sheet'!$P$6</f>
        <v>7.4533602150537632</v>
      </c>
      <c r="AJ22" s="71">
        <f t="shared" si="6"/>
        <v>102.75850923787381</v>
      </c>
      <c r="AK22" s="71">
        <f t="shared" si="7"/>
        <v>225.33333333333331</v>
      </c>
      <c r="AL22" s="71">
        <f>_xlfn.IFNA(AH22*(1+(INDEX('Product Mark-up'!$F$4:$F$8,MATCH('Calculation Sheet - BOM '!$D$2,'Product Mark-up'!$C$4:$C$8,0)))),0)</f>
        <v>328.09184257120711</v>
      </c>
    </row>
    <row r="23" spans="1:38" ht="31" x14ac:dyDescent="0.35">
      <c r="A23" s="544"/>
      <c r="B23" s="21" t="str">
        <f>'Door - Step 2'!B52</f>
        <v>Not Required</v>
      </c>
      <c r="C23" s="21" t="str">
        <f>'Door - Step 2'!C52</f>
        <v>Motion Sensor</v>
      </c>
      <c r="D23" s="121">
        <f>'Door - Step 2'!D52</f>
        <v>0</v>
      </c>
      <c r="E23" s="71">
        <f>IF($D23=0,0,(INDEX('Cost Sheet'!$N:$N,MATCH('Door - Step 2'!$D52,'Cost Sheet'!$C:$C,0))))</f>
        <v>0</v>
      </c>
      <c r="F23" s="20"/>
      <c r="G23" s="19" t="s">
        <v>133</v>
      </c>
      <c r="H23" s="71"/>
      <c r="I23" s="71">
        <f>IF($D23=0,0,(INDEX('Cost Sheet'!$N:$N,MATCH('Door - Step 2'!$D52,'Cost Sheet'!$C:$C,0))))</f>
        <v>0</v>
      </c>
      <c r="J23" s="20">
        <f t="shared" si="1"/>
        <v>0</v>
      </c>
      <c r="K23" s="71">
        <f t="shared" si="2"/>
        <v>0</v>
      </c>
      <c r="L23" s="71">
        <f>_xlfn.IFNA(I23*(1+(INDEX('Product Mark-up'!$F$4:$F$8,MATCH('Calculation Sheet - BOM '!$D$2,'Product Mark-up'!$C$4:$C$8,0)))),0)</f>
        <v>0</v>
      </c>
      <c r="N23" s="975" t="s">
        <v>55</v>
      </c>
      <c r="O23" s="71">
        <f>+'Cost Sheet'!$N$24+'Cost Sheet'!$N$3</f>
        <v>5.6115239683716327</v>
      </c>
      <c r="P23" s="49" t="s">
        <v>349</v>
      </c>
      <c r="Q23" s="30">
        <f>((($D$6*2)+(($D$7+($O$12*2))*2))*'Calculation Sheet - BOM '!$L$2)</f>
        <v>18.415929999999999</v>
      </c>
      <c r="R23" s="71">
        <f>('Cost Sheet'!$N$24*$Q23)+('Cost Sheet'!$N$3*$Q$21)</f>
        <v>89.852298724215899</v>
      </c>
      <c r="S23" s="1004" cm="1">
        <f t="array" ref="S23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T23" s="71">
        <f t="shared" si="3"/>
        <v>315.18563205754924</v>
      </c>
      <c r="U23" s="71">
        <f>+'Cost Sheet'!$P$24+'Cost Sheet'!$P$3</f>
        <v>5.6115239683716327</v>
      </c>
      <c r="V23" s="71">
        <f t="shared" si="4"/>
        <v>89.852298724215899</v>
      </c>
      <c r="W23" s="71">
        <f t="shared" si="5"/>
        <v>225.33333333333331</v>
      </c>
      <c r="X23" s="355">
        <f>_xlfn.IFNA(T23*(1+(INDEX('Product Mark-up'!$F$4:$F$8,MATCH('Calculation Sheet - BOM '!$D$2,'Product Mark-up'!$C$4:$C$8,0)))),0)</f>
        <v>315.18563205754924</v>
      </c>
      <c r="AB23" s="28" t="s">
        <v>55</v>
      </c>
      <c r="AC23" s="71">
        <f>+'Cost Sheet'!$N$24+'Cost Sheet'!$N$3</f>
        <v>5.6115239683716327</v>
      </c>
      <c r="AD23" s="49" t="s">
        <v>349</v>
      </c>
      <c r="AE23" s="30">
        <f>((($D$6*2)+(($D$7+($O$12*2))*2))*'Calculation Sheet - BOM '!$L$2)</f>
        <v>18.415929999999999</v>
      </c>
      <c r="AF23" s="71">
        <f>('Cost Sheet'!$N$24*$Q23)+('Cost Sheet'!$N$3*$Q$21)</f>
        <v>89.852298724215899</v>
      </c>
      <c r="AG23" s="71" cm="1">
        <f t="array" ref="AG23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AH23" s="71">
        <f>+AF23+AG23+IF('Doors - Step 1'!$E$12='Calculation Sheet - BOM '!$AE$3,'Accessories Install - Labour'!$F$83,0)</f>
        <v>315.18563205754924</v>
      </c>
      <c r="AI23" s="71">
        <f>+'Cost Sheet'!$P$24+'Cost Sheet'!$P$3</f>
        <v>5.6115239683716327</v>
      </c>
      <c r="AJ23" s="71">
        <f t="shared" si="6"/>
        <v>89.852298724215899</v>
      </c>
      <c r="AK23" s="71">
        <f t="shared" si="7"/>
        <v>225.33333333333331</v>
      </c>
      <c r="AL23" s="71">
        <f>_xlfn.IFNA(AH23*(1+(INDEX('Product Mark-up'!$F$4:$F$8,MATCH('Calculation Sheet - BOM '!$D$2,'Product Mark-up'!$C$4:$C$8,0)))),0)</f>
        <v>315.18563205754924</v>
      </c>
    </row>
    <row r="24" spans="1:38" ht="31" x14ac:dyDescent="0.35">
      <c r="A24" s="544"/>
      <c r="B24" s="21" t="str">
        <f>'Door - Step 2'!B53</f>
        <v>Not Required</v>
      </c>
      <c r="C24" s="21" t="str">
        <f>'Door - Step 2'!C53</f>
        <v>Additional Heater Location</v>
      </c>
      <c r="D24" s="121">
        <f>'Door - Step 2'!D53</f>
        <v>0</v>
      </c>
      <c r="E24" s="71">
        <f>IF($D24=0,0,(E81*4*((($D$6+$D$7)*2)*$L$2)))</f>
        <v>0</v>
      </c>
      <c r="F24" s="20"/>
      <c r="G24" s="20"/>
      <c r="H24" s="71"/>
      <c r="I24" s="71">
        <f>IF($D24=0,0,(I81*4*((($D$6+$D$7)*2)*$L$2)))</f>
        <v>0</v>
      </c>
      <c r="J24" s="20">
        <f t="shared" si="1"/>
        <v>0</v>
      </c>
      <c r="K24" s="71">
        <f t="shared" si="2"/>
        <v>0</v>
      </c>
      <c r="L24" s="71">
        <f>_xlfn.IFNA(I24*(1+(INDEX('Product Mark-up'!$F$4:$F$8,MATCH('Calculation Sheet - BOM '!$D$2,'Product Mark-up'!$C$4:$C$8,0)))),0)</f>
        <v>0</v>
      </c>
      <c r="N24" s="975" t="s">
        <v>357</v>
      </c>
      <c r="O24" s="71">
        <f>+'Cost Sheet'!$N$24+'Cost Sheet'!$N$5</f>
        <v>5.5458374516102458</v>
      </c>
      <c r="P24" s="49" t="s">
        <v>349</v>
      </c>
      <c r="Q24" s="30">
        <f>((($D$6*2)+(($D$7+($O$12*2))*2))*'Calculation Sheet - BOM '!$L$2)</f>
        <v>18.415929999999999</v>
      </c>
      <c r="R24" s="71">
        <f>('Cost Sheet'!$N$24*$Q24)+('Cost Sheet'!$N$5*$Q$21)</f>
        <v>89.39201675574094</v>
      </c>
      <c r="S24" s="1004" cm="1">
        <f t="array" ref="S24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T24" s="71">
        <f t="shared" si="3"/>
        <v>314.72535008907425</v>
      </c>
      <c r="U24" s="71">
        <f>+'Cost Sheet'!$P$24+'Cost Sheet'!$P$5</f>
        <v>5.5458374516102458</v>
      </c>
      <c r="V24" s="71">
        <f t="shared" si="4"/>
        <v>89.39201675574094</v>
      </c>
      <c r="W24" s="71">
        <f t="shared" si="5"/>
        <v>225.33333333333331</v>
      </c>
      <c r="X24" s="355">
        <f>_xlfn.IFNA(T24*(1+(INDEX('Product Mark-up'!$F$4:$F$8,MATCH('Calculation Sheet - BOM '!$D$2,'Product Mark-up'!$C$4:$C$8,0)))),0)</f>
        <v>314.72535008907425</v>
      </c>
      <c r="AB24" s="28" t="s">
        <v>357</v>
      </c>
      <c r="AC24" s="71">
        <f>+'Cost Sheet'!$N$24+'Cost Sheet'!$N$5</f>
        <v>5.5458374516102458</v>
      </c>
      <c r="AD24" s="49" t="s">
        <v>349</v>
      </c>
      <c r="AE24" s="30">
        <f>((($D$6*2)+(($D$7+($O$12*2))*2))*'Calculation Sheet - BOM '!$L$2)</f>
        <v>18.415929999999999</v>
      </c>
      <c r="AF24" s="71">
        <f>('Cost Sheet'!$N$24*$Q24)+('Cost Sheet'!$N$5*$Q$21)</f>
        <v>89.39201675574094</v>
      </c>
      <c r="AG24" s="71" cm="1">
        <f t="array" ref="AG24">IF(OR(('Door - Step 2'!$D$30=Controller!$A$16),('Door - Step 2'!$D$30=Controller!$A$17)),
(INDEX('Door and Panel Labor Exp. '!$N$5:$Q$22,MATCH(MIN(IF('Door and Panel Labor Exp. '!$D$5:$D$22&gt;=('Door - Step 2'!$D$34*'Door - Step 2'!$D$35),'Door and Panel Labor Exp. '!$D$5:$D$22)),'Door and Panel Labor Exp. '!$D$5:$D$22,0),MATCH('Door - Step 2'!$D$31,'Door and Panel Labor Exp. '!$N$1:$Q$1,0))),
IF(OR('Door - Step 2'!$D$30=Controller!$A$14,'Door - Step 2'!$D$30=Controller!$A$15),(INDEX('Door and Panel Labor Exp. '!$N$23:$Q$40,MATCH(MIN(IF('Door and Panel Labor Exp. '!$D$23:$D$40&gt;=('Door - Step 2'!$D$34*'Door - Step 2'!$D$35),'Door and Panel Labor Exp. '!$D$23:$D$40)),'Door and Panel Labor Exp. '!$D$23:$D$40,0),MATCH('Door - Step 2'!$D$31,'Door and Panel Labor Exp. '!$N$1:$Q$1,0))),
IF('Door - Step 2'!$D$30=Controller!$A$13,(INDEX('Door and Panel Labor Exp. '!$N$41:$Q$59,MATCH(MIN(IF('Door and Panel Labor Exp. '!$D$41:$D$59&gt;=('Door - Step 2'!$D$34*'Door - Step 2'!$D$35),'Door and Panel Labor Exp. '!$D$41:$D$59)),'Door and Panel Labor Exp. '!$D$41:$D$59,0),MATCH('Door - Step 2'!$D$31,'Door and Panel Labor Exp. '!$N$1:$Q$1,0))),
0)))</f>
        <v>225.33333333333331</v>
      </c>
      <c r="AH24" s="71">
        <f>+AF24+AG24+IF('Doors - Step 1'!$E$12='Calculation Sheet - BOM '!$AE$3,'Accessories Install - Labour'!$F$83,0)</f>
        <v>314.72535008907425</v>
      </c>
      <c r="AI24" s="71">
        <f>+'Cost Sheet'!$P$24+'Cost Sheet'!$P$5</f>
        <v>5.5458374516102458</v>
      </c>
      <c r="AJ24" s="71">
        <f t="shared" si="6"/>
        <v>89.39201675574094</v>
      </c>
      <c r="AK24" s="71">
        <f t="shared" si="7"/>
        <v>225.33333333333331</v>
      </c>
      <c r="AL24" s="71">
        <f>_xlfn.IFNA(AH24*(1+(INDEX('Product Mark-up'!$F$4:$F$8,MATCH('Calculation Sheet - BOM '!$D$2,'Product Mark-up'!$C$4:$C$8,0)))),0)</f>
        <v>314.72535008907425</v>
      </c>
    </row>
    <row r="25" spans="1:38" x14ac:dyDescent="0.35">
      <c r="A25" s="544"/>
      <c r="B25" s="21" t="str">
        <f>'Door - Step 2'!B54</f>
        <v/>
      </c>
      <c r="C25" s="21">
        <f>'Door - Step 2'!C54</f>
        <v>0</v>
      </c>
      <c r="D25" s="121">
        <f>'Door - Step 2'!D54</f>
        <v>0</v>
      </c>
      <c r="E25" s="71">
        <f>IF($D25=0,0,(INDEX('Cost Sheet'!$N:$N,MATCH('Door - Step 2'!$D54,'Cost Sheet'!$C:$C,0))))*2</f>
        <v>0</v>
      </c>
      <c r="F25" s="20"/>
      <c r="G25" s="19" t="s">
        <v>133</v>
      </c>
      <c r="H25" s="71">
        <f>+'Accessories Install - Labour'!$E$15*2</f>
        <v>26</v>
      </c>
      <c r="I25" s="71">
        <f>IF($D25=0,0,(INDEX('Cost Sheet'!$N:$N,MATCH('Door - Step 2'!$D54,'Cost Sheet'!$C:$C,0))))+H25</f>
        <v>26</v>
      </c>
      <c r="J25" s="71">
        <f t="shared" si="1"/>
        <v>0</v>
      </c>
      <c r="K25" s="71">
        <f t="shared" si="2"/>
        <v>26</v>
      </c>
      <c r="L25" s="71">
        <f>_xlfn.IFNA(I25*(1+(INDEX('Product Mark-up'!$F$4:$F$8,MATCH('Calculation Sheet - BOM '!$D$2,'Product Mark-up'!$C$4:$C$8,0)))),0)</f>
        <v>26</v>
      </c>
      <c r="N25" s="976"/>
      <c r="O25" s="977"/>
      <c r="P25" s="977"/>
      <c r="Q25" s="977"/>
      <c r="R25" s="977"/>
      <c r="S25" s="977"/>
      <c r="T25" s="977"/>
      <c r="U25" s="977"/>
      <c r="V25" s="977"/>
      <c r="W25" s="977"/>
      <c r="X25" s="978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</row>
    <row r="26" spans="1:38" ht="43.5" x14ac:dyDescent="0.35">
      <c r="A26" s="544"/>
      <c r="B26" s="21" t="str">
        <f>'Door - Step 2'!B55</f>
        <v/>
      </c>
      <c r="C26" s="21">
        <f>'Door - Step 2'!C55</f>
        <v>0</v>
      </c>
      <c r="D26" s="121">
        <f>'Door - Step 2'!D55</f>
        <v>0</v>
      </c>
      <c r="E26" s="71">
        <f>IF($D26=0,0,(INDEX('Cost Sheet'!$N:$N,MATCH('Door - Step 2'!$D55,'Cost Sheet'!$C:$C,0))))</f>
        <v>0</v>
      </c>
      <c r="F26" s="20"/>
      <c r="G26" s="19" t="s">
        <v>133</v>
      </c>
      <c r="H26" s="71">
        <f>+'Accessories Install - Labour'!$E$17</f>
        <v>21.666666666666668</v>
      </c>
      <c r="I26" s="71">
        <f>+E26+H26</f>
        <v>21.666666666666668</v>
      </c>
      <c r="J26" s="71">
        <f t="shared" si="1"/>
        <v>0</v>
      </c>
      <c r="K26" s="71">
        <f t="shared" si="2"/>
        <v>21.666666666666668</v>
      </c>
      <c r="L26" s="71">
        <f>_xlfn.IFNA(I26*(1+(INDEX('Product Mark-up'!$F$4:$F$8,MATCH('Calculation Sheet - BOM '!$D$2,'Product Mark-up'!$C$4:$C$8,0)))),0)</f>
        <v>21.666666666666668</v>
      </c>
      <c r="N26" s="335" t="s">
        <v>358</v>
      </c>
      <c r="O26" s="160" t="s">
        <v>321</v>
      </c>
      <c r="P26" s="160" t="s">
        <v>322</v>
      </c>
      <c r="Q26" s="160" t="s">
        <v>323</v>
      </c>
      <c r="R26" s="160" t="s">
        <v>324</v>
      </c>
      <c r="S26" s="160" t="s">
        <v>134</v>
      </c>
      <c r="T26" s="160" t="s">
        <v>325</v>
      </c>
      <c r="U26" s="160" t="s">
        <v>326</v>
      </c>
      <c r="V26" s="160" t="s">
        <v>327</v>
      </c>
      <c r="W26" s="160" t="s">
        <v>328</v>
      </c>
      <c r="X26" s="974" t="s">
        <v>329</v>
      </c>
      <c r="AB26" s="119" t="s">
        <v>358</v>
      </c>
      <c r="AC26" s="160" t="s">
        <v>321</v>
      </c>
      <c r="AD26" s="160" t="s">
        <v>322</v>
      </c>
      <c r="AE26" s="160" t="s">
        <v>323</v>
      </c>
      <c r="AF26" s="160" t="s">
        <v>324</v>
      </c>
      <c r="AG26" s="160" t="s">
        <v>134</v>
      </c>
      <c r="AH26" s="160" t="s">
        <v>325</v>
      </c>
      <c r="AI26" s="160" t="s">
        <v>326</v>
      </c>
      <c r="AJ26" s="160" t="s">
        <v>327</v>
      </c>
      <c r="AK26" s="160" t="s">
        <v>328</v>
      </c>
      <c r="AL26" s="160" t="s">
        <v>329</v>
      </c>
    </row>
    <row r="27" spans="1:38" x14ac:dyDescent="0.35">
      <c r="A27" s="544"/>
      <c r="B27" s="21" t="str">
        <f>'Door - Step 2'!B56</f>
        <v/>
      </c>
      <c r="C27" s="21">
        <f>'Door - Step 2'!C56</f>
        <v>0</v>
      </c>
      <c r="D27" s="121">
        <f>'Door - Step 2'!D56</f>
        <v>0</v>
      </c>
      <c r="E27" s="71">
        <f>IF($D27=0,0,(INDEX('Cost Sheet'!$N:$N,MATCH('Door - Step 2'!$D56,'Cost Sheet'!$C:$C,0))))</f>
        <v>0</v>
      </c>
      <c r="F27" s="20"/>
      <c r="G27" s="19" t="s">
        <v>133</v>
      </c>
      <c r="H27" s="71">
        <f>+IF($D27=0,0,INDEX('Accessories Install - Labour'!$E:$E,MATCH('Calculation Sheet - BOM '!$D27,'Accessories Install - Labour'!$C:$C,0)))</f>
        <v>0</v>
      </c>
      <c r="I27" s="71">
        <f>+E27+H27</f>
        <v>0</v>
      </c>
      <c r="J27" s="71">
        <f t="shared" si="1"/>
        <v>0</v>
      </c>
      <c r="K27" s="71">
        <f t="shared" si="2"/>
        <v>0</v>
      </c>
      <c r="L27" s="71">
        <f>_xlfn.IFNA(I27*(1+(INDEX('Product Mark-up'!$F$4:$F$8,MATCH('Calculation Sheet - BOM '!$D$2,'Product Mark-up'!$C$4:$C$8,0)))),0)</f>
        <v>0</v>
      </c>
      <c r="N27" s="975" t="s">
        <v>344</v>
      </c>
      <c r="O27" s="71">
        <f>+'Cost Sheet'!$N$15</f>
        <v>3.8724791666666665</v>
      </c>
      <c r="P27" s="49" t="s">
        <v>359</v>
      </c>
      <c r="Q27" s="30">
        <f>+(($D$7*1)*$L$4)*2</f>
        <v>0.90270555699999999</v>
      </c>
      <c r="R27" s="71">
        <f>+Q27*O27</f>
        <v>3.495708463116729</v>
      </c>
      <c r="S27" s="71">
        <f>+S15*0.75</f>
        <v>52</v>
      </c>
      <c r="T27" s="71">
        <f t="shared" ref="T27:T36" si="9">+R27+S27</f>
        <v>55.495708463116728</v>
      </c>
      <c r="U27" s="71">
        <f>+'Cost Sheet'!$N$15</f>
        <v>3.8724791666666665</v>
      </c>
      <c r="V27" s="71">
        <f>+R27</f>
        <v>3.495708463116729</v>
      </c>
      <c r="W27" s="71">
        <f>+S27</f>
        <v>52</v>
      </c>
      <c r="X27" s="355">
        <f>_xlfn.IFNA(T27*(1+(INDEX('Product Mark-up'!$F$4:$F$8,MATCH('Calculation Sheet - BOM '!$D$2,'Product Mark-up'!$C$4:$C$8,0)))),0)</f>
        <v>55.495708463116728</v>
      </c>
      <c r="AB27" s="28" t="s">
        <v>344</v>
      </c>
      <c r="AC27" s="71">
        <f>+'Cost Sheet'!$N$15</f>
        <v>3.8724791666666665</v>
      </c>
      <c r="AD27" s="49" t="s">
        <v>359</v>
      </c>
      <c r="AE27" s="30">
        <f>+(($D$7*1)*$L$4)*2</f>
        <v>0.90270555699999999</v>
      </c>
      <c r="AF27" s="71">
        <f>+AE27*AC27</f>
        <v>3.495708463116729</v>
      </c>
      <c r="AG27" s="71">
        <f>+AG15*0.75</f>
        <v>52</v>
      </c>
      <c r="AH27" s="71">
        <f t="shared" ref="AH27:AH36" si="10">+AF27+AG27</f>
        <v>55.495708463116728</v>
      </c>
      <c r="AI27" s="71">
        <f>+'Cost Sheet'!$N$15</f>
        <v>3.8724791666666665</v>
      </c>
      <c r="AJ27" s="71">
        <f>+AF27</f>
        <v>3.495708463116729</v>
      </c>
      <c r="AK27" s="71">
        <f>+AG27</f>
        <v>52</v>
      </c>
      <c r="AL27" s="71">
        <f>_xlfn.IFNA(AH27*(1+(INDEX('Product Mark-up'!$F$4:$F$8,MATCH('Calculation Sheet - BOM '!$D$2,'Product Mark-up'!$C$4:$C$8,0)))),0)</f>
        <v>55.495708463116728</v>
      </c>
    </row>
    <row r="28" spans="1:38" ht="31" x14ac:dyDescent="0.35">
      <c r="A28" s="544"/>
      <c r="B28" s="21" t="str">
        <f>'Door - Step 2'!B57</f>
        <v/>
      </c>
      <c r="C28" s="21">
        <f>'Door - Step 2'!C57</f>
        <v>0</v>
      </c>
      <c r="D28" s="121">
        <f>'Door - Step 2'!D57</f>
        <v>0</v>
      </c>
      <c r="E28" s="71">
        <f>IF($D28=0,0,(INDEX('Cost Sheet'!$N:$N,MATCH('Door - Step 2'!$D57,'Cost Sheet'!$C:$C,0))))</f>
        <v>0</v>
      </c>
      <c r="F28" s="20"/>
      <c r="G28" s="19" t="s">
        <v>133</v>
      </c>
      <c r="H28" s="71">
        <f>+IF($D28=0,0,INDEX('Accessories Install - Labour'!$E:$E,MATCH('Calculation Sheet - BOM '!$D28,'Accessories Install - Labour'!$C:$C,0)))</f>
        <v>0</v>
      </c>
      <c r="I28" s="71">
        <f>+E28+H28</f>
        <v>0</v>
      </c>
      <c r="J28" s="71">
        <f t="shared" si="1"/>
        <v>0</v>
      </c>
      <c r="K28" s="71">
        <f t="shared" si="2"/>
        <v>0</v>
      </c>
      <c r="L28" s="71">
        <f>_xlfn.IFNA(I28*(1+(INDEX('Product Mark-up'!$F$4:$F$8,MATCH('Calculation Sheet - BOM '!$D$2,'Product Mark-up'!$C$4:$C$8,0)))),0)</f>
        <v>0</v>
      </c>
      <c r="N28" s="975" t="s">
        <v>346</v>
      </c>
      <c r="O28" s="71">
        <f>+$O$27+'Cost Sheet'!$N$10</f>
        <v>5.4686827904802993</v>
      </c>
      <c r="P28" s="49" t="s">
        <v>360</v>
      </c>
      <c r="Q28" s="30">
        <f>+(($D$7*1)*$L$4)*2</f>
        <v>0.90270555699999999</v>
      </c>
      <c r="R28" s="71">
        <f>($O$27*$Q$27)+('Cost Sheet'!$N$10*2*$Q$31)</f>
        <v>15.022923513677556</v>
      </c>
      <c r="S28" s="71">
        <f>+S16*0.75</f>
        <v>52</v>
      </c>
      <c r="T28" s="71">
        <f t="shared" si="9"/>
        <v>67.022923513677554</v>
      </c>
      <c r="U28" s="71">
        <f>+$O$27+'Cost Sheet'!$N$10</f>
        <v>5.4686827904802993</v>
      </c>
      <c r="V28" s="71">
        <f t="shared" ref="V28:V36" si="11">+R28</f>
        <v>15.022923513677556</v>
      </c>
      <c r="W28" s="71">
        <f t="shared" ref="W28:W36" si="12">+S28</f>
        <v>52</v>
      </c>
      <c r="X28" s="355">
        <f>_xlfn.IFNA(T28*(1+(INDEX('Product Mark-up'!$F$4:$F$8,MATCH('Calculation Sheet - BOM '!$D$2,'Product Mark-up'!$C$4:$C$8,0)))),0)</f>
        <v>67.022923513677554</v>
      </c>
      <c r="AB28" s="28" t="s">
        <v>346</v>
      </c>
      <c r="AC28" s="71">
        <f>+$O$27+'Cost Sheet'!$N$10</f>
        <v>5.4686827904802993</v>
      </c>
      <c r="AD28" s="49" t="s">
        <v>360</v>
      </c>
      <c r="AE28" s="30">
        <f>+(($D$7*1)*$L$4)*2</f>
        <v>0.90270555699999999</v>
      </c>
      <c r="AF28" s="71">
        <f>($O$27*$Q$27)+('Cost Sheet'!$N$10*2*$Q$31)</f>
        <v>15.022923513677556</v>
      </c>
      <c r="AG28" s="71">
        <f>+AG16*0.75</f>
        <v>52</v>
      </c>
      <c r="AH28" s="71">
        <f t="shared" si="10"/>
        <v>67.022923513677554</v>
      </c>
      <c r="AI28" s="71">
        <f>+$O$27+'Cost Sheet'!$N$10</f>
        <v>5.4686827904802993</v>
      </c>
      <c r="AJ28" s="71">
        <f t="shared" ref="AJ28:AJ36" si="13">+AF28</f>
        <v>15.022923513677556</v>
      </c>
      <c r="AK28" s="71">
        <f t="shared" ref="AK28:AK36" si="14">+AG28</f>
        <v>52</v>
      </c>
      <c r="AL28" s="71">
        <f>_xlfn.IFNA(AH28*(1+(INDEX('Product Mark-up'!$F$4:$F$8,MATCH('Calculation Sheet - BOM '!$D$2,'Product Mark-up'!$C$4:$C$8,0)))),0)</f>
        <v>67.022923513677554</v>
      </c>
    </row>
    <row r="29" spans="1:38" ht="31" x14ac:dyDescent="0.35">
      <c r="A29" s="544"/>
      <c r="B29" s="21" t="str">
        <f>'Door - Step 2'!B58</f>
        <v/>
      </c>
      <c r="C29" s="21">
        <f>'Door - Step 2'!C58</f>
        <v>0</v>
      </c>
      <c r="D29" s="121">
        <f>'Door - Step 2'!D58</f>
        <v>0</v>
      </c>
      <c r="E29" s="71">
        <f>IF($D29=0,0,(INDEX('Cost Sheet'!$N:$N,MATCH('Door - Step 2'!$D58,'Cost Sheet'!$C:$C,0))))</f>
        <v>0</v>
      </c>
      <c r="G29" s="19" t="s">
        <v>133</v>
      </c>
      <c r="H29" s="71">
        <f>+IF($D29=0,0,INDEX('Accessories Install - Labour'!$E:$E,MATCH('Calculation Sheet - BOM '!$D29,'Accessories Install - Labour'!$C:$C,0)))</f>
        <v>0</v>
      </c>
      <c r="I29" s="71">
        <f>IFERROR(E29+H29,E29)</f>
        <v>0</v>
      </c>
      <c r="J29" s="71">
        <f t="shared" si="1"/>
        <v>0</v>
      </c>
      <c r="K29" s="71">
        <f t="shared" si="2"/>
        <v>0</v>
      </c>
      <c r="L29" s="71">
        <f>_xlfn.IFNA(I29*(1+(INDEX('Product Mark-up'!$F$4:$F$8,MATCH('Calculation Sheet - BOM '!$D$2,'Product Mark-up'!$C$4:$C$8,0)))),0)</f>
        <v>0</v>
      </c>
      <c r="N29" s="975" t="s">
        <v>348</v>
      </c>
      <c r="O29" s="71">
        <f>+$O$27+'Cost Sheet'!$N$3</f>
        <v>5.0548364683716329</v>
      </c>
      <c r="P29" s="49" t="s">
        <v>361</v>
      </c>
      <c r="Q29" s="30">
        <f>+(($D$7*1)*$L$4)*2</f>
        <v>0.90270555699999999</v>
      </c>
      <c r="R29" s="71">
        <f>($O$27*$Q$27)+('Cost Sheet'!$N$3*2*$Q$31)</f>
        <v>12.034272515985521</v>
      </c>
      <c r="S29" s="71">
        <f>+S17*0.75</f>
        <v>52</v>
      </c>
      <c r="T29" s="71">
        <f t="shared" si="9"/>
        <v>64.034272515985521</v>
      </c>
      <c r="U29" s="71">
        <f>+$O$27+'Cost Sheet'!$N$3</f>
        <v>5.0548364683716329</v>
      </c>
      <c r="V29" s="71">
        <f t="shared" si="11"/>
        <v>12.034272515985521</v>
      </c>
      <c r="W29" s="71">
        <f t="shared" si="12"/>
        <v>52</v>
      </c>
      <c r="X29" s="355">
        <f>_xlfn.IFNA(T29*(1+(INDEX('Product Mark-up'!$F$4:$F$8,MATCH('Calculation Sheet - BOM '!$D$2,'Product Mark-up'!$C$4:$C$8,0)))),0)</f>
        <v>64.034272515985521</v>
      </c>
      <c r="AB29" s="28" t="s">
        <v>348</v>
      </c>
      <c r="AC29" s="71">
        <f>+$O$27+'Cost Sheet'!$N$3</f>
        <v>5.0548364683716329</v>
      </c>
      <c r="AD29" s="49" t="s">
        <v>361</v>
      </c>
      <c r="AE29" s="30">
        <f>+(($D$7*1)*$L$4)*2</f>
        <v>0.90270555699999999</v>
      </c>
      <c r="AF29" s="71">
        <f>($O$27*$Q$27)+('Cost Sheet'!$N$3*2*$Q$31)</f>
        <v>12.034272515985521</v>
      </c>
      <c r="AG29" s="71">
        <f>+AG17*0.75</f>
        <v>52</v>
      </c>
      <c r="AH29" s="71">
        <f t="shared" si="10"/>
        <v>64.034272515985521</v>
      </c>
      <c r="AI29" s="71">
        <f>+$O$27+'Cost Sheet'!$N$3</f>
        <v>5.0548364683716329</v>
      </c>
      <c r="AJ29" s="71">
        <f t="shared" si="13"/>
        <v>12.034272515985521</v>
      </c>
      <c r="AK29" s="71">
        <f t="shared" si="14"/>
        <v>52</v>
      </c>
      <c r="AL29" s="71">
        <f>_xlfn.IFNA(AH29*(1+(INDEX('Product Mark-up'!$F$4:$F$8,MATCH('Calculation Sheet - BOM '!$D$2,'Product Mark-up'!$C$4:$C$8,0)))),0)</f>
        <v>64.034272515985521</v>
      </c>
    </row>
    <row r="30" spans="1:38" ht="31" x14ac:dyDescent="0.35">
      <c r="A30" s="544"/>
      <c r="B30" s="21" t="str">
        <f>'Door - Step 2'!B59</f>
        <v/>
      </c>
      <c r="C30" s="21">
        <f>'Door - Step 2'!C59</f>
        <v>0</v>
      </c>
      <c r="D30" s="121">
        <f>'Door - Step 2'!D59</f>
        <v>0</v>
      </c>
      <c r="E30" s="71">
        <f>IF($D30=0,0,(INDEX('Cost Sheet'!$N:$N,MATCH('Door - Step 2'!$D59,'Cost Sheet'!$C:$C,0))))</f>
        <v>0</v>
      </c>
      <c r="G30" s="19" t="s">
        <v>133</v>
      </c>
      <c r="H30" s="71">
        <f>+IF($D30=0,0,INDEX('Accessories Install - Labour'!$E:$E,MATCH('Calculation Sheet - BOM '!$D30,'Accessories Install - Labour'!$C:$C,0)))</f>
        <v>0</v>
      </c>
      <c r="I30" s="71">
        <f>+E30+H30</f>
        <v>0</v>
      </c>
      <c r="J30" s="71">
        <f t="shared" si="1"/>
        <v>0</v>
      </c>
      <c r="K30" s="71">
        <f t="shared" si="2"/>
        <v>0</v>
      </c>
      <c r="L30" s="71">
        <f>_xlfn.IFNA(I30*(1+(INDEX('Product Mark-up'!$F$4:$F$8,MATCH('Calculation Sheet - BOM '!$D$2,'Product Mark-up'!$C$4:$C$8,0)))),0)</f>
        <v>0</v>
      </c>
      <c r="N30" s="975" t="s">
        <v>350</v>
      </c>
      <c r="O30" s="71">
        <f>+$O$27+'Cost Sheet'!$N$5</f>
        <v>4.989149951610246</v>
      </c>
      <c r="P30" s="49" t="s">
        <v>361</v>
      </c>
      <c r="Q30" s="30">
        <f>+(($D$7*1)*$L$4)*2</f>
        <v>0.90270555699999999</v>
      </c>
      <c r="R30" s="71">
        <f>($O$27*$Q$27)+('Cost Sheet'!$N$5*2*$Q$31)</f>
        <v>11.559907846381698</v>
      </c>
      <c r="S30" s="71">
        <f>+S18*0.75</f>
        <v>52</v>
      </c>
      <c r="T30" s="71">
        <f t="shared" si="9"/>
        <v>63.559907846381698</v>
      </c>
      <c r="U30" s="71">
        <f>+$O$27+'Cost Sheet'!$N$5</f>
        <v>4.989149951610246</v>
      </c>
      <c r="V30" s="71">
        <f t="shared" si="11"/>
        <v>11.559907846381698</v>
      </c>
      <c r="W30" s="71">
        <f t="shared" si="12"/>
        <v>52</v>
      </c>
      <c r="X30" s="355">
        <f>_xlfn.IFNA(T30*(1+(INDEX('Product Mark-up'!$F$4:$F$8,MATCH('Calculation Sheet - BOM '!$D$2,'Product Mark-up'!$C$4:$C$8,0)))),0)</f>
        <v>63.559907846381698</v>
      </c>
      <c r="AB30" s="28" t="s">
        <v>350</v>
      </c>
      <c r="AC30" s="71">
        <f>+$O$27+'Cost Sheet'!$N$5</f>
        <v>4.989149951610246</v>
      </c>
      <c r="AD30" s="49" t="s">
        <v>361</v>
      </c>
      <c r="AE30" s="30">
        <f>+(($D$7*1)*$L$4)*2</f>
        <v>0.90270555699999999</v>
      </c>
      <c r="AF30" s="71">
        <f>($O$27*$Q$27)+('Cost Sheet'!$N$5*2*$Q$31)</f>
        <v>11.559907846381698</v>
      </c>
      <c r="AG30" s="71">
        <f>+AG18*0.75</f>
        <v>52</v>
      </c>
      <c r="AH30" s="71">
        <f t="shared" si="10"/>
        <v>63.559907846381698</v>
      </c>
      <c r="AI30" s="71">
        <f>+$O$27+'Cost Sheet'!$N$5</f>
        <v>4.989149951610246</v>
      </c>
      <c r="AJ30" s="71">
        <f t="shared" si="13"/>
        <v>11.559907846381698</v>
      </c>
      <c r="AK30" s="71">
        <f t="shared" si="14"/>
        <v>52</v>
      </c>
      <c r="AL30" s="71">
        <f>_xlfn.IFNA(AH30*(1+(INDEX('Product Mark-up'!$F$4:$F$8,MATCH('Calculation Sheet - BOM '!$D$2,'Product Mark-up'!$C$4:$C$8,0)))),0)</f>
        <v>63.559907846381698</v>
      </c>
    </row>
    <row r="31" spans="1:38" ht="31" x14ac:dyDescent="0.35">
      <c r="A31" s="544"/>
      <c r="N31" s="975" t="s">
        <v>351</v>
      </c>
      <c r="O31" s="71">
        <f>+'Cost Sheet'!$N$27+'Cost Sheet'!$N$10</f>
        <v>2.7368286238136323</v>
      </c>
      <c r="P31" s="49" t="s">
        <v>362</v>
      </c>
      <c r="Q31" s="30">
        <f>+(($D$7*$D$9)*$L$4)*2</f>
        <v>3.610822228</v>
      </c>
      <c r="R31" s="71">
        <f>+O31*Q31*2</f>
        <v>19.764403258185826</v>
      </c>
      <c r="S31" s="71">
        <f>+S19*0.25</f>
        <v>56.333333333333329</v>
      </c>
      <c r="T31" s="71">
        <f t="shared" si="9"/>
        <v>76.097736591519151</v>
      </c>
      <c r="U31" s="71">
        <f>+'Cost Sheet'!$N$27+'Cost Sheet'!$N$10</f>
        <v>2.7368286238136323</v>
      </c>
      <c r="V31" s="71">
        <f t="shared" si="11"/>
        <v>19.764403258185826</v>
      </c>
      <c r="W31" s="71">
        <f t="shared" si="12"/>
        <v>56.333333333333329</v>
      </c>
      <c r="X31" s="355">
        <f>_xlfn.IFNA(T31*(1+(INDEX('Product Mark-up'!$F$4:$F$8,MATCH('Calculation Sheet - BOM '!$D$2,'Product Mark-up'!$C$4:$C$8,0)))),0)</f>
        <v>76.097736591519151</v>
      </c>
      <c r="AB31" s="28" t="s">
        <v>351</v>
      </c>
      <c r="AC31" s="71">
        <f>+'Cost Sheet'!$N$27+'Cost Sheet'!$N$10</f>
        <v>2.7368286238136323</v>
      </c>
      <c r="AD31" s="49" t="s">
        <v>362</v>
      </c>
      <c r="AE31" s="30">
        <f>+(($D$7*$D$9)*$L$4)*2</f>
        <v>3.610822228</v>
      </c>
      <c r="AF31" s="71">
        <f>+AC31*AE31*2</f>
        <v>19.764403258185826</v>
      </c>
      <c r="AG31" s="71">
        <f t="shared" ref="AG31:AG36" si="15">+AG19*0.25</f>
        <v>56.333333333333329</v>
      </c>
      <c r="AH31" s="71">
        <f t="shared" si="10"/>
        <v>76.097736591519151</v>
      </c>
      <c r="AI31" s="71">
        <f>+'Cost Sheet'!$N$27+'Cost Sheet'!$N$10</f>
        <v>2.7368286238136323</v>
      </c>
      <c r="AJ31" s="71">
        <f t="shared" si="13"/>
        <v>19.764403258185826</v>
      </c>
      <c r="AK31" s="71">
        <f t="shared" si="14"/>
        <v>56.333333333333329</v>
      </c>
      <c r="AL31" s="71">
        <f>_xlfn.IFNA(AH31*(1+(INDEX('Product Mark-up'!$F$4:$F$8,MATCH('Calculation Sheet - BOM '!$D$2,'Product Mark-up'!$C$4:$C$8,0)))),0)</f>
        <v>76.097736591519151</v>
      </c>
    </row>
    <row r="32" spans="1:38" ht="31" x14ac:dyDescent="0.35">
      <c r="A32" s="544"/>
      <c r="B32" s="21" t="str">
        <f>'Door - Step 2'!B61</f>
        <v>Labor</v>
      </c>
      <c r="C32" s="21" t="str">
        <f>'Door - Step 2'!C61</f>
        <v>Labor Expense</v>
      </c>
      <c r="D32" s="121">
        <f>'Door - Step 2'!D61</f>
        <v>0</v>
      </c>
      <c r="E32" s="20"/>
      <c r="F32" s="20"/>
      <c r="G32" s="20"/>
      <c r="H32" s="71"/>
      <c r="I32" s="71" cm="1">
        <f t="array" ref="I32">IF(OR(('Door - Step 2'!$D$30=Controller!$A$16),('Door - Step 2'!$D$30=Controller!$A$17)),
(INDEX('Door and Panel Labor Exp. '!$A$5:$I$22,MATCH(MIN(IF('Door and Panel Labor Exp. '!$D$5:$D$22&gt;=('Door - Step 2'!$D$34*'Door - Step 2'!$D$35),'Door and Panel Labor Exp. '!$D$5:$D$22)),'Door and Panel Labor Exp. '!$D$5:$D$22,0),MATCH('Door - Step 2'!$D$31,'Door and Panel Labor Exp. '!$A$1:$I$1,0))),
IF(OR('Door - Step 2'!$D$30=Controller!$A$14,'Door - Step 2'!$D$30=Controller!$A$15),(INDEX('Door and Panel Labor Exp. '!$A$23:$I$40,MATCH(MIN(IF('Door and Panel Labor Exp. '!$D$23:$D$40&gt;=('Door - Step 2'!$D$34*'Door - Step 2'!$D$35),'Door and Panel Labor Exp. '!$D$23:$D$40)),'Door and Panel Labor Exp. '!$D$23:$D$40,0),MATCH('Door - Step 2'!$D$31,'Door and Panel Labor Exp. '!$A$1:$I$1,0))),
IF('Door - Step 2'!$D$30=Controller!$A$13,(INDEX('Door and Panel Labor Exp. '!$A$41:$I$59,MATCH(MIN(IF('Door and Panel Labor Exp. '!$D$41:$D$59&gt;=('Door - Step 2'!$D$34*'Door - Step 2'!$D$35),'Door and Panel Labor Exp. '!$D$41:$D$59)),'Door and Panel Labor Exp. '!$D$41:$D$59,0),MATCH('Door - Step 2'!$D$31,'Door and Panel Labor Exp. '!$A$1:$I$1,0))),
"Please review the type of door")))</f>
        <v>281.66666666666669</v>
      </c>
      <c r="J32" s="20">
        <f t="shared" ref="J32:J37" si="16">+E32</f>
        <v>0</v>
      </c>
      <c r="K32" s="71">
        <f t="shared" ref="K32:K37" si="17">+H32</f>
        <v>0</v>
      </c>
      <c r="L32" s="71">
        <f>IFERROR(I32*(1+(INDEX('Product Mark-up'!$F$4:$F$8,MATCH('Calculation Sheet - BOM '!$D$2,'Product Mark-up'!$C$4:$C$8,0)))),0)</f>
        <v>281.66666666666669</v>
      </c>
      <c r="N32" s="975" t="s">
        <v>353</v>
      </c>
      <c r="O32" s="71">
        <f>+'Cost Sheet'!$N$27+'Cost Sheet'!$N$3</f>
        <v>2.3229823017049664</v>
      </c>
      <c r="P32" s="49" t="s">
        <v>362</v>
      </c>
      <c r="Q32" s="30">
        <f>+(($D$7*$D$9)*$L$4)*2</f>
        <v>3.610822228</v>
      </c>
      <c r="R32" s="71">
        <f>+O32*Q32*2</f>
        <v>16.775752260493789</v>
      </c>
      <c r="S32" s="71">
        <f t="shared" ref="S32:S36" si="18">+S20*0.25</f>
        <v>56.333333333333329</v>
      </c>
      <c r="T32" s="71">
        <f t="shared" si="9"/>
        <v>73.109085593827118</v>
      </c>
      <c r="U32" s="71">
        <f>+'Cost Sheet'!$N$27+'Cost Sheet'!$N$3</f>
        <v>2.3229823017049664</v>
      </c>
      <c r="V32" s="71">
        <f t="shared" si="11"/>
        <v>16.775752260493789</v>
      </c>
      <c r="W32" s="71">
        <f t="shared" si="12"/>
        <v>56.333333333333329</v>
      </c>
      <c r="X32" s="355">
        <f>_xlfn.IFNA(T32*(1+(INDEX('Product Mark-up'!$F$4:$F$8,MATCH('Calculation Sheet - BOM '!$D$2,'Product Mark-up'!$C$4:$C$8,0)))),0)</f>
        <v>73.109085593827118</v>
      </c>
      <c r="AB32" s="28" t="s">
        <v>353</v>
      </c>
      <c r="AC32" s="71">
        <f>+'Cost Sheet'!$N$27+'Cost Sheet'!$N$3</f>
        <v>2.3229823017049664</v>
      </c>
      <c r="AD32" s="49" t="s">
        <v>362</v>
      </c>
      <c r="AE32" s="30">
        <f>+(($D$7*$D$9)*$L$4)*2</f>
        <v>3.610822228</v>
      </c>
      <c r="AF32" s="71">
        <f>+AC32*AE32*2</f>
        <v>16.775752260493789</v>
      </c>
      <c r="AG32" s="71">
        <f t="shared" si="15"/>
        <v>56.333333333333329</v>
      </c>
      <c r="AH32" s="71">
        <f t="shared" si="10"/>
        <v>73.109085593827118</v>
      </c>
      <c r="AI32" s="71">
        <f>+'Cost Sheet'!$N$27+'Cost Sheet'!$N$3</f>
        <v>2.3229823017049664</v>
      </c>
      <c r="AJ32" s="71">
        <f t="shared" si="13"/>
        <v>16.775752260493789</v>
      </c>
      <c r="AK32" s="71">
        <f t="shared" si="14"/>
        <v>56.333333333333329</v>
      </c>
      <c r="AL32" s="71">
        <f>_xlfn.IFNA(AH32*(1+(INDEX('Product Mark-up'!$F$4:$F$8,MATCH('Calculation Sheet - BOM '!$D$2,'Product Mark-up'!$C$4:$C$8,0)))),0)</f>
        <v>73.109085593827118</v>
      </c>
    </row>
    <row r="33" spans="1:38" ht="31" x14ac:dyDescent="0.35">
      <c r="A33" s="544"/>
      <c r="B33" s="21" t="str">
        <f>'Door - Step 2'!B62</f>
        <v xml:space="preserve">Material </v>
      </c>
      <c r="C33" s="21" t="str">
        <f>'Door - Step 2'!C62</f>
        <v xml:space="preserve">Foam Expense </v>
      </c>
      <c r="D33" s="121">
        <f>'Door - Step 2'!D62</f>
        <v>0</v>
      </c>
      <c r="E33" s="20"/>
      <c r="F33" s="30"/>
      <c r="G33" s="20"/>
      <c r="H33" s="71"/>
      <c r="I33" s="71">
        <f>_xlfn.IFNA('Door - Step 2'!$D$34*'Door - Step 2'!$D$35*(INDEX('Calculation Sheet - BOM '!$R$6:$R$10,MATCH('Door - Step 2'!$D$36,'Calculation Sheet - BOM '!$P$6:$P$10,0))),0)</f>
        <v>43.639059027777776</v>
      </c>
      <c r="J33" s="20">
        <f t="shared" si="16"/>
        <v>0</v>
      </c>
      <c r="K33" s="71">
        <f t="shared" si="17"/>
        <v>0</v>
      </c>
      <c r="L33" s="71">
        <f>_xlfn.IFNA(I33*(1+(INDEX('Product Mark-up'!$F$4:$F$8,MATCH('Calculation Sheet - BOM '!$D$2,'Product Mark-up'!$C$4:$C$8,0)))),0)</f>
        <v>43.639059027777776</v>
      </c>
      <c r="N33" s="975" t="s">
        <v>355</v>
      </c>
      <c r="O33" s="71">
        <f>+'Cost Sheet'!$N$27+'Cost Sheet'!$N$5</f>
        <v>2.2572957849435795</v>
      </c>
      <c r="P33" s="49" t="s">
        <v>362</v>
      </c>
      <c r="Q33" s="30">
        <f>+(($D$7*$D$9)*$L$4)*2</f>
        <v>3.610822228</v>
      </c>
      <c r="R33" s="71">
        <f>+O33*Q33*2</f>
        <v>16.30138759088997</v>
      </c>
      <c r="S33" s="71">
        <f t="shared" si="18"/>
        <v>56.333333333333329</v>
      </c>
      <c r="T33" s="71">
        <f t="shared" si="9"/>
        <v>72.634720924223302</v>
      </c>
      <c r="U33" s="71">
        <f>+'Cost Sheet'!$N$27+'Cost Sheet'!$N$5</f>
        <v>2.2572957849435795</v>
      </c>
      <c r="V33" s="71">
        <f t="shared" si="11"/>
        <v>16.30138759088997</v>
      </c>
      <c r="W33" s="71">
        <f t="shared" si="12"/>
        <v>56.333333333333329</v>
      </c>
      <c r="X33" s="355">
        <f>_xlfn.IFNA(T33*(1+(INDEX('Product Mark-up'!$F$4:$F$8,MATCH('Calculation Sheet - BOM '!$D$2,'Product Mark-up'!$C$4:$C$8,0)))),0)</f>
        <v>72.634720924223302</v>
      </c>
      <c r="AB33" s="28" t="s">
        <v>355</v>
      </c>
      <c r="AC33" s="71">
        <f>+'Cost Sheet'!$N$27+'Cost Sheet'!$N$5</f>
        <v>2.2572957849435795</v>
      </c>
      <c r="AD33" s="49" t="s">
        <v>362</v>
      </c>
      <c r="AE33" s="30">
        <f>+(($D$7*$D$9)*$L$4)*2</f>
        <v>3.610822228</v>
      </c>
      <c r="AF33" s="71">
        <f>+AC33*AE33*2</f>
        <v>16.30138759088997</v>
      </c>
      <c r="AG33" s="71">
        <f t="shared" si="15"/>
        <v>56.333333333333329</v>
      </c>
      <c r="AH33" s="71">
        <f t="shared" si="10"/>
        <v>72.634720924223302</v>
      </c>
      <c r="AI33" s="71">
        <f>+'Cost Sheet'!$N$27+'Cost Sheet'!$N$5</f>
        <v>2.2572957849435795</v>
      </c>
      <c r="AJ33" s="71">
        <f t="shared" si="13"/>
        <v>16.30138759088997</v>
      </c>
      <c r="AK33" s="71">
        <f t="shared" si="14"/>
        <v>56.333333333333329</v>
      </c>
      <c r="AL33" s="71">
        <f>_xlfn.IFNA(AH33*(1+(INDEX('Product Mark-up'!$F$4:$F$8,MATCH('Calculation Sheet - BOM '!$D$2,'Product Mark-up'!$C$4:$C$8,0)))),0)</f>
        <v>72.634720924223302</v>
      </c>
    </row>
    <row r="34" spans="1:38" ht="31" x14ac:dyDescent="0.35">
      <c r="A34" s="544"/>
      <c r="B34" s="21" t="str">
        <f>'Door - Step 2'!B63</f>
        <v xml:space="preserve">Material </v>
      </c>
      <c r="C34" s="21" t="str">
        <f>'Door - Step 2'!C63</f>
        <v>Bottom Sweep</v>
      </c>
      <c r="D34" s="121" t="str">
        <f>'Door - Step 2'!D63</f>
        <v>Yes</v>
      </c>
      <c r="E34" s="71">
        <f>IF(D34="No",0,'Cost Sheet'!$N$72+'Cost Sheet'!$N$67)</f>
        <v>1.68</v>
      </c>
      <c r="F34" s="30">
        <f>(D6+11)*L2</f>
        <v>3.7498499999999999</v>
      </c>
      <c r="G34" s="19" t="s">
        <v>133</v>
      </c>
      <c r="H34" s="71">
        <f>+IF($D34=0,0,IF(D3="Freezer",'Accessories Install - Labour'!$F$29,'Accessories Install - Labour'!$F$28))</f>
        <v>13</v>
      </c>
      <c r="I34" s="71">
        <f>(E34*F34)+H34</f>
        <v>19.299748000000001</v>
      </c>
      <c r="J34" s="20">
        <f t="shared" si="16"/>
        <v>1.68</v>
      </c>
      <c r="K34" s="71">
        <f t="shared" si="17"/>
        <v>13</v>
      </c>
      <c r="L34" s="71">
        <f>_xlfn.IFNA(I34*(1+(INDEX('Product Mark-up'!$F$4:$F$8,MATCH('Calculation Sheet - BOM '!$D$2,'Product Mark-up'!$C$4:$C$8,0)))),0)</f>
        <v>19.299748000000001</v>
      </c>
      <c r="N34" s="975" t="s">
        <v>356</v>
      </c>
      <c r="O34" s="71">
        <f>+'Cost Sheet'!$N$24+'Cost Sheet'!$N$10</f>
        <v>6.0253702904802982</v>
      </c>
      <c r="P34" s="49" t="s">
        <v>347</v>
      </c>
      <c r="Q34" s="30">
        <f t="shared" ref="Q34:Q36" si="19">+($D$7*2*$L$2)</f>
        <v>10.8329</v>
      </c>
      <c r="R34" s="71">
        <f>('Cost Sheet'!$N$24*$Q34)+('Cost Sheet'!$N$6*$Q$33)</f>
        <v>58.900544869623658</v>
      </c>
      <c r="S34" s="71">
        <f t="shared" si="18"/>
        <v>56.333333333333329</v>
      </c>
      <c r="T34" s="71">
        <f t="shared" si="9"/>
        <v>115.23387820295699</v>
      </c>
      <c r="U34" s="71">
        <f>+'Cost Sheet'!$N$24+'Cost Sheet'!$N$10</f>
        <v>6.0253702904802982</v>
      </c>
      <c r="V34" s="71">
        <f t="shared" si="11"/>
        <v>58.900544869623658</v>
      </c>
      <c r="W34" s="71">
        <f t="shared" si="12"/>
        <v>56.333333333333329</v>
      </c>
      <c r="X34" s="355">
        <f>_xlfn.IFNA(T34*(1+(INDEX('Product Mark-up'!$F$4:$F$8,MATCH('Calculation Sheet - BOM '!$D$2,'Product Mark-up'!$C$4:$C$8,0)))),0)</f>
        <v>115.23387820295699</v>
      </c>
      <c r="AB34" s="28" t="s">
        <v>356</v>
      </c>
      <c r="AC34" s="71">
        <f>+'Cost Sheet'!$N$24+'Cost Sheet'!$N$6</f>
        <v>7.4533602150537632</v>
      </c>
      <c r="AD34" s="49" t="s">
        <v>347</v>
      </c>
      <c r="AE34" s="30">
        <f t="shared" ref="AE34:AE36" si="20">+($D$7*2*$L$2)</f>
        <v>10.8329</v>
      </c>
      <c r="AF34" s="71">
        <f>('Cost Sheet'!$N$24*$Q34)+('Cost Sheet'!$N$6*$Q$33)</f>
        <v>58.900544869623658</v>
      </c>
      <c r="AG34" s="71">
        <f t="shared" si="15"/>
        <v>56.333333333333329</v>
      </c>
      <c r="AH34" s="71">
        <f t="shared" si="10"/>
        <v>115.23387820295699</v>
      </c>
      <c r="AI34" s="71">
        <f>+'Cost Sheet'!$N$24+'Cost Sheet'!$N$10</f>
        <v>6.0253702904802982</v>
      </c>
      <c r="AJ34" s="71">
        <f t="shared" si="13"/>
        <v>58.900544869623658</v>
      </c>
      <c r="AK34" s="71">
        <f t="shared" si="14"/>
        <v>56.333333333333329</v>
      </c>
      <c r="AL34" s="71">
        <f>_xlfn.IFNA(AH34*(1+(INDEX('Product Mark-up'!$F$4:$F$8,MATCH('Calculation Sheet - BOM '!$D$2,'Product Mark-up'!$C$4:$C$8,0)))),0)</f>
        <v>115.23387820295699</v>
      </c>
    </row>
    <row r="35" spans="1:38" ht="31" x14ac:dyDescent="0.35">
      <c r="A35" s="544"/>
      <c r="B35" s="21" t="str">
        <f>'Door - Step 2'!B64</f>
        <v xml:space="preserve">Material </v>
      </c>
      <c r="C35" s="21" t="str">
        <f>'Door - Step 2'!C64</f>
        <v>Weather Strip</v>
      </c>
      <c r="D35" s="121" t="str">
        <f>'Door - Step 2'!D64</f>
        <v>No</v>
      </c>
      <c r="E35" s="71">
        <f>IF(D35="No",0,('Cost Sheet'!$N$73+('Cost Sheet'!$N$20)))</f>
        <v>0</v>
      </c>
      <c r="F35" s="30">
        <f>+($D$6+11)*2*L2</f>
        <v>7.4996999999999998</v>
      </c>
      <c r="G35" s="19" t="s">
        <v>133</v>
      </c>
      <c r="H35" s="71">
        <f>+IF($D35=0,0,IF(D3="Freezer",'Accessories Install - Labour'!$F$33,'Accessories Install - Labour'!$F$32))</f>
        <v>39</v>
      </c>
      <c r="I35" s="71">
        <f>IF(D35="No",0,H35+(F35*'Cost Sheet'!N73)+(IF(D8=4,(L2*4*2*'Cost Sheet'!$N$74),(L2*4*2*'Cost Sheet'!$N$75))))</f>
        <v>0</v>
      </c>
      <c r="J35" s="71">
        <f t="shared" si="16"/>
        <v>0</v>
      </c>
      <c r="K35" s="71">
        <f t="shared" si="17"/>
        <v>39</v>
      </c>
      <c r="L35" s="71">
        <f>_xlfn.IFNA(I35*(1+(INDEX('Product Mark-up'!$F$4:$F$8,MATCH('Calculation Sheet - BOM '!$D$2,'Product Mark-up'!$C$4:$C$8,0)))),0)</f>
        <v>0</v>
      </c>
      <c r="N35" s="975" t="s">
        <v>55</v>
      </c>
      <c r="O35" s="71">
        <f>+'Cost Sheet'!$N$24+'Cost Sheet'!$N$3</f>
        <v>5.6115239683716327</v>
      </c>
      <c r="P35" s="49" t="s">
        <v>349</v>
      </c>
      <c r="Q35" s="30">
        <f t="shared" si="19"/>
        <v>10.8329</v>
      </c>
      <c r="R35" s="71">
        <f>('Cost Sheet'!$N$24*$Q35)+('Cost Sheet'!$N$3*$Q$33)</f>
        <v>52.250001609767729</v>
      </c>
      <c r="S35" s="71">
        <f t="shared" si="18"/>
        <v>56.333333333333329</v>
      </c>
      <c r="T35" s="71">
        <f t="shared" si="9"/>
        <v>108.58333494310105</v>
      </c>
      <c r="U35" s="71">
        <f>+'Cost Sheet'!$N$24+'Cost Sheet'!$N$3</f>
        <v>5.6115239683716327</v>
      </c>
      <c r="V35" s="71">
        <f t="shared" si="11"/>
        <v>52.250001609767729</v>
      </c>
      <c r="W35" s="71">
        <f t="shared" si="12"/>
        <v>56.333333333333329</v>
      </c>
      <c r="X35" s="355">
        <f>_xlfn.IFNA(T35*(1+(INDEX('Product Mark-up'!$F$4:$F$8,MATCH('Calculation Sheet - BOM '!$D$2,'Product Mark-up'!$C$4:$C$8,0)))),0)</f>
        <v>108.58333494310105</v>
      </c>
      <c r="AB35" s="28" t="s">
        <v>55</v>
      </c>
      <c r="AC35" s="71">
        <f>+'Cost Sheet'!$N$24+'Cost Sheet'!$N$3</f>
        <v>5.6115239683716327</v>
      </c>
      <c r="AD35" s="49" t="s">
        <v>349</v>
      </c>
      <c r="AE35" s="30">
        <f t="shared" si="20"/>
        <v>10.8329</v>
      </c>
      <c r="AF35" s="71">
        <f>('Cost Sheet'!$N$24*$Q35)+('Cost Sheet'!$N$3*$Q$33)</f>
        <v>52.250001609767729</v>
      </c>
      <c r="AG35" s="71">
        <f t="shared" si="15"/>
        <v>56.333333333333329</v>
      </c>
      <c r="AH35" s="71">
        <f t="shared" si="10"/>
        <v>108.58333494310105</v>
      </c>
      <c r="AI35" s="71">
        <f>+'Cost Sheet'!$N$24+'Cost Sheet'!$N$3</f>
        <v>5.6115239683716327</v>
      </c>
      <c r="AJ35" s="71">
        <f t="shared" si="13"/>
        <v>52.250001609767729</v>
      </c>
      <c r="AK35" s="71">
        <f t="shared" si="14"/>
        <v>56.333333333333329</v>
      </c>
      <c r="AL35" s="71">
        <f>_xlfn.IFNA(AH35*(1+(INDEX('Product Mark-up'!$F$4:$F$8,MATCH('Calculation Sheet - BOM '!$D$2,'Product Mark-up'!$C$4:$C$8,0)))),0)</f>
        <v>108.58333494310105</v>
      </c>
    </row>
    <row r="36" spans="1:38" ht="31" x14ac:dyDescent="0.35">
      <c r="A36" s="544"/>
      <c r="B36" s="21" t="str">
        <f>'Door - Step 2'!B65</f>
        <v xml:space="preserve">Material </v>
      </c>
      <c r="C36" s="21" t="str">
        <f>'Door - Step 2'!C65</f>
        <v>Gasket</v>
      </c>
      <c r="D36" s="121" t="str">
        <f>'Door - Step 2'!D65</f>
        <v xml:space="preserve">Magnet </v>
      </c>
      <c r="E36" s="71">
        <f>+IF(D36="Magnet ",'Cost Sheet'!N79+'Cost Sheet'!N66,'Cost Sheet'!N69+'Cost Sheet'!N67+'Cost Sheet'!N70)</f>
        <v>1.1299999999999999</v>
      </c>
      <c r="F36" s="30">
        <f>+((D6+D7)*2)*L2</f>
        <v>16.49934</v>
      </c>
      <c r="G36" s="19" t="s">
        <v>133</v>
      </c>
      <c r="H36" s="71">
        <f>+IF($D36="Magnet",'Accessories Install - Labour'!F26,'Accessories Install - Labour'!F27)</f>
        <v>21.666666666666668</v>
      </c>
      <c r="I36" s="71">
        <f>(F36*E36)+H36</f>
        <v>40.310920866666663</v>
      </c>
      <c r="J36" s="71">
        <f t="shared" si="16"/>
        <v>1.1299999999999999</v>
      </c>
      <c r="K36" s="71">
        <f t="shared" si="17"/>
        <v>21.666666666666668</v>
      </c>
      <c r="L36" s="71">
        <f>_xlfn.IFNA(I36*(1+(INDEX('Product Mark-up'!$F$4:$F$8,MATCH('Calculation Sheet - BOM '!$D$2,'Product Mark-up'!$C$4:$C$8,0)))),0)</f>
        <v>40.310920866666663</v>
      </c>
      <c r="N36" s="975" t="s">
        <v>357</v>
      </c>
      <c r="O36" s="71">
        <f>+'Cost Sheet'!$N$24+'Cost Sheet'!$N$5</f>
        <v>5.5458374516102458</v>
      </c>
      <c r="P36" s="49" t="s">
        <v>349</v>
      </c>
      <c r="Q36" s="30">
        <f t="shared" si="19"/>
        <v>10.8329</v>
      </c>
      <c r="R36" s="71">
        <f>('Cost Sheet'!$N$24*$Q36)+('Cost Sheet'!$N$5*$Q$33)</f>
        <v>52.012819274965814</v>
      </c>
      <c r="S36" s="71">
        <f t="shared" si="18"/>
        <v>56.333333333333329</v>
      </c>
      <c r="T36" s="71">
        <f t="shared" si="9"/>
        <v>108.34615260829915</v>
      </c>
      <c r="U36" s="71">
        <f>+'Cost Sheet'!$N$24+'Cost Sheet'!$N$5</f>
        <v>5.5458374516102458</v>
      </c>
      <c r="V36" s="71">
        <f t="shared" si="11"/>
        <v>52.012819274965814</v>
      </c>
      <c r="W36" s="71">
        <f t="shared" si="12"/>
        <v>56.333333333333329</v>
      </c>
      <c r="X36" s="355">
        <f>_xlfn.IFNA(T36*(1+(INDEX('Product Mark-up'!$F$4:$F$8,MATCH('Calculation Sheet - BOM '!$D$2,'Product Mark-up'!$C$4:$C$8,0)))),0)</f>
        <v>108.34615260829915</v>
      </c>
      <c r="AB36" s="28" t="s">
        <v>357</v>
      </c>
      <c r="AC36" s="71">
        <f>+'Cost Sheet'!$N$24+'Cost Sheet'!$N$5</f>
        <v>5.5458374516102458</v>
      </c>
      <c r="AD36" s="49" t="s">
        <v>349</v>
      </c>
      <c r="AE36" s="30">
        <f t="shared" si="20"/>
        <v>10.8329</v>
      </c>
      <c r="AF36" s="71">
        <f>('Cost Sheet'!$N$24*$Q36)+('Cost Sheet'!$N$5*$Q$33)</f>
        <v>52.012819274965814</v>
      </c>
      <c r="AG36" s="71">
        <f t="shared" si="15"/>
        <v>56.333333333333329</v>
      </c>
      <c r="AH36" s="71">
        <f t="shared" si="10"/>
        <v>108.34615260829915</v>
      </c>
      <c r="AI36" s="71">
        <f>+'Cost Sheet'!$N$24+'Cost Sheet'!$N$5</f>
        <v>5.5458374516102458</v>
      </c>
      <c r="AJ36" s="71">
        <f t="shared" si="13"/>
        <v>52.012819274965814</v>
      </c>
      <c r="AK36" s="71">
        <f t="shared" si="14"/>
        <v>56.333333333333329</v>
      </c>
      <c r="AL36" s="71">
        <f>_xlfn.IFNA(AH36*(1+(INDEX('Product Mark-up'!$F$4:$F$8,MATCH('Calculation Sheet - BOM '!$D$2,'Product Mark-up'!$C$4:$C$8,0)))),0)</f>
        <v>108.34615260829915</v>
      </c>
    </row>
    <row r="37" spans="1:38" x14ac:dyDescent="0.35">
      <c r="A37" s="544"/>
      <c r="B37" s="21" t="str">
        <f>'Door - Step 2'!B66</f>
        <v xml:space="preserve">Material </v>
      </c>
      <c r="C37" s="21" t="str">
        <f>'Door - Step 2'!C66</f>
        <v xml:space="preserve">Additional Gasket </v>
      </c>
      <c r="D37" s="121" t="str">
        <f>'Door - Step 2'!D66</f>
        <v>Not Required</v>
      </c>
      <c r="E37" s="71" t="e">
        <f>IF($D37=0,0,(INDEX('Cost Sheet'!$N:$N,MATCH('Door - Step 2'!$D66,'Cost Sheet'!$C:$C,0))))</f>
        <v>#N/A</v>
      </c>
      <c r="F37" s="30">
        <f>+((D6+D7)*2)*L2</f>
        <v>16.49934</v>
      </c>
      <c r="G37" s="19" t="s">
        <v>133</v>
      </c>
      <c r="H37" s="71">
        <f>+IF($D37=0,0,'Accessories Install - Labour'!$E$26)</f>
        <v>21.666666666666668</v>
      </c>
      <c r="I37" s="71" t="e">
        <f>(F37*E37)+H37</f>
        <v>#N/A</v>
      </c>
      <c r="J37" s="71" t="e">
        <f t="shared" si="16"/>
        <v>#N/A</v>
      </c>
      <c r="K37" s="71">
        <f t="shared" si="17"/>
        <v>21.666666666666668</v>
      </c>
      <c r="L37" s="71">
        <f>_xlfn.IFNA(I37*(1+(INDEX('Product Mark-up'!$F$4:$F$8,MATCH('Calculation Sheet - BOM '!$D$2,'Product Mark-up'!$C$4:$C$8,0)))),0)</f>
        <v>0</v>
      </c>
      <c r="N37" s="976"/>
      <c r="O37" s="977"/>
      <c r="P37" s="977"/>
      <c r="Q37" s="977"/>
      <c r="R37" s="977"/>
      <c r="S37" s="977"/>
      <c r="T37" s="977"/>
      <c r="U37" s="977"/>
      <c r="V37" s="977"/>
      <c r="W37" s="977"/>
      <c r="X37" s="978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</row>
    <row r="38" spans="1:38" ht="43.5" x14ac:dyDescent="0.35">
      <c r="A38" s="544"/>
      <c r="N38" s="335" t="s">
        <v>363</v>
      </c>
      <c r="O38" s="160" t="s">
        <v>321</v>
      </c>
      <c r="P38" s="160" t="s">
        <v>322</v>
      </c>
      <c r="Q38" s="160" t="s">
        <v>323</v>
      </c>
      <c r="R38" s="160" t="s">
        <v>324</v>
      </c>
      <c r="S38" s="160" t="s">
        <v>134</v>
      </c>
      <c r="T38" s="160" t="s">
        <v>325</v>
      </c>
      <c r="U38" s="160" t="s">
        <v>326</v>
      </c>
      <c r="V38" s="160" t="s">
        <v>327</v>
      </c>
      <c r="W38" s="160" t="s">
        <v>328</v>
      </c>
      <c r="X38" s="974" t="s">
        <v>329</v>
      </c>
      <c r="AB38" s="119" t="s">
        <v>363</v>
      </c>
      <c r="AC38" s="160" t="s">
        <v>321</v>
      </c>
      <c r="AD38" s="160" t="s">
        <v>322</v>
      </c>
      <c r="AE38" s="160" t="s">
        <v>323</v>
      </c>
      <c r="AF38" s="160" t="s">
        <v>324</v>
      </c>
      <c r="AG38" s="160" t="s">
        <v>134</v>
      </c>
      <c r="AH38" s="160" t="s">
        <v>325</v>
      </c>
      <c r="AI38" s="160" t="s">
        <v>326</v>
      </c>
      <c r="AJ38" s="160" t="s">
        <v>327</v>
      </c>
      <c r="AK38" s="160" t="s">
        <v>328</v>
      </c>
      <c r="AL38" s="160" t="s">
        <v>329</v>
      </c>
    </row>
    <row r="39" spans="1:38" x14ac:dyDescent="0.35">
      <c r="A39" s="544"/>
      <c r="E39" s="4">
        <f>34*78</f>
        <v>2652</v>
      </c>
      <c r="F39" s="4">
        <f>60*84</f>
        <v>5040</v>
      </c>
      <c r="G39" s="4">
        <f>+F39/E39</f>
        <v>1.9004524886877827</v>
      </c>
      <c r="N39" s="975" t="s">
        <v>344</v>
      </c>
      <c r="O39" s="71">
        <f>+'Cost Sheet'!$N$15</f>
        <v>3.8724791666666665</v>
      </c>
      <c r="P39" s="49" t="s">
        <v>364</v>
      </c>
      <c r="Q39" s="30">
        <f>SUM((($O$12*($D$7+(2*$O$12)))),($O$12*($D$6+(2*$O$12))))*2*$L$4</f>
        <v>9.7422761267000002</v>
      </c>
      <c r="R39" s="71">
        <f>+Q39*O39</f>
        <v>37.726761336559775</v>
      </c>
      <c r="S39" s="71">
        <f>+S15*0.5</f>
        <v>34.666666666666664</v>
      </c>
      <c r="T39" s="71">
        <f t="shared" ref="T39:T46" si="21">+R39+S39</f>
        <v>72.393428003226433</v>
      </c>
      <c r="U39" s="71">
        <f>+'Cost Sheet'!$N$15</f>
        <v>3.8724791666666665</v>
      </c>
      <c r="V39" s="71">
        <f>+R39</f>
        <v>37.726761336559775</v>
      </c>
      <c r="W39" s="71">
        <f>+S39</f>
        <v>34.666666666666664</v>
      </c>
      <c r="X39" s="355">
        <f>_xlfn.IFNA(T39*(1+(INDEX('Product Mark-up'!$F$4:$F$8,MATCH('Calculation Sheet - BOM '!$D$2,'Product Mark-up'!$C$4:$C$8,0)))),0)</f>
        <v>72.393428003226433</v>
      </c>
      <c r="AB39" s="28" t="s">
        <v>344</v>
      </c>
      <c r="AC39" s="71">
        <f>+'Cost Sheet'!$N$15</f>
        <v>3.8724791666666665</v>
      </c>
      <c r="AD39" s="49" t="s">
        <v>364</v>
      </c>
      <c r="AE39" s="30">
        <f>SUM((($O$12*($D$7+(2*$O$12)))),($O$12*($D$6+(2*$O$12))))*2*$L$4</f>
        <v>9.7422761267000002</v>
      </c>
      <c r="AF39" s="71">
        <f>+AE39*AC39</f>
        <v>37.726761336559775</v>
      </c>
      <c r="AG39" s="71" cm="1">
        <f t="array" ref="AG39">_xlfn.IFNA(IF(OR('Door - Step 2'!$D$30=Controller!$A$13, 'Door - Step 2'!$D$30=Controller!$A$14, 'Door - Step 2'!$D$30=Controller!$A$15),
INDEX('Door and Panel Labor Exp. '!$J$23:$M$40,
 (MATCH(1, ((ABS('Door and Panel Labor Exp. '!$C$23:$C$40 - 'Door - Step 2'!$D$35) = _xlfn.AGGREGATE(15, 3, ABS('Door and Panel Labor Exp. '!$C$23:$C$40 - 'Door - Step 2'!$D$35), 1)) *
 (ABS('Door and Panel Labor Exp. '!$B$23:$B$40 - 'Door - Step 2'!$D$34) = _xlfn.AGGREGATE(15, 3, ABS('Door and Panel Labor Exp. '!$B$23:$B$40 - 'Door - Step 2'!$D$34), 1))), 0)),
 MATCH('Door - Step 2'!$D$31, 'Door and Panel Labor Exp. '!$J$1:$M$1, 0)
),
INDEX('Door and Panel Labor Exp. '!$J$5:$M$16,
 (MATCH(1, ((ABS('Door and Panel Labor Exp. '!$C$5:$C$16 - 'Door - Step 2'!$D$35) = _xlfn.AGGREGATE(15, 3, ABS('Door and Panel Labor Exp. '!$C$5:$C$16 - 'Door - Step 2'!$D$35), 1)) *
 (ABS('Door and Panel Labor Exp. '!$B$5:$B$16 - 'Door - Step 2'!$D$34) = _xlfn.AGGREGATE(15, 3, ABS('Door and Panel Labor Exp. '!$B$5:$B$16 - 'Door - Step 2'!$D$34), 1))), 0)),
 MATCH('Door - Step 2'!$D$31, 'Door and Panel Labor Exp. '!$J$1:$M$1, 0)
)),0)</f>
        <v>69.333333333333329</v>
      </c>
      <c r="AH39" s="71">
        <f t="shared" ref="AH39:AH46" si="22">+AF39+AG39</f>
        <v>107.0600946698931</v>
      </c>
      <c r="AI39" s="71">
        <f>+'Cost Sheet'!$N$15</f>
        <v>3.8724791666666665</v>
      </c>
      <c r="AJ39" s="71">
        <f>+AF39</f>
        <v>37.726761336559775</v>
      </c>
      <c r="AK39" s="71">
        <f>+AG39</f>
        <v>69.333333333333329</v>
      </c>
      <c r="AL39" s="71">
        <f>_xlfn.IFNA(AH39*(1+(INDEX('Product Mark-up'!$F$4:$F$8,MATCH('Calculation Sheet - BOM '!$D$2,'Product Mark-up'!$C$4:$C$8,0)))),0)</f>
        <v>107.0600946698931</v>
      </c>
    </row>
    <row r="40" spans="1:38" ht="31" x14ac:dyDescent="0.35">
      <c r="A40" s="544"/>
      <c r="N40" s="975" t="s">
        <v>346</v>
      </c>
      <c r="O40" s="71">
        <f>+$O$39+'Cost Sheet'!$N$10</f>
        <v>5.4686827904802993</v>
      </c>
      <c r="P40" s="49" t="s">
        <v>365</v>
      </c>
      <c r="Q40" s="30">
        <f t="shared" ref="Q40:Q42" si="23">SUM((($O$12*($D$7+(2*$O$12)))),($O$12*($D$6+(2*$O$12))))*2*$L$4</f>
        <v>9.7422761267000002</v>
      </c>
      <c r="R40" s="71">
        <f>($O$39*$Q$39)+('Cost Sheet'!$N$10*2*$Q$43)</f>
        <v>68.828074251822926</v>
      </c>
      <c r="S40" s="71">
        <f>+S16*0.5</f>
        <v>34.666666666666664</v>
      </c>
      <c r="T40" s="71">
        <f t="shared" si="21"/>
        <v>103.49474091848958</v>
      </c>
      <c r="U40" s="71">
        <f>+$O$39+'Cost Sheet'!$N$10</f>
        <v>5.4686827904802993</v>
      </c>
      <c r="V40" s="71">
        <f t="shared" ref="V40:V48" si="24">+R40</f>
        <v>68.828074251822926</v>
      </c>
      <c r="W40" s="71">
        <f t="shared" ref="W40:W48" si="25">+S40</f>
        <v>34.666666666666664</v>
      </c>
      <c r="X40" s="355">
        <f>_xlfn.IFNA(T40*(1+(INDEX('Product Mark-up'!$F$4:$F$8,MATCH('Calculation Sheet - BOM '!$D$2,'Product Mark-up'!$C$4:$C$8,0)))),0)</f>
        <v>103.49474091848958</v>
      </c>
      <c r="AB40" s="28" t="s">
        <v>346</v>
      </c>
      <c r="AC40" s="71">
        <f>+$O$39+'Cost Sheet'!$N$10</f>
        <v>5.4686827904802993</v>
      </c>
      <c r="AD40" s="49" t="s">
        <v>365</v>
      </c>
      <c r="AE40" s="30">
        <f t="shared" ref="AE40:AE42" si="26">SUM((($O$12*($D$7+(2*$O$12)))),($O$12*($D$6+(2*$O$12))))*2*$L$4</f>
        <v>9.7422761267000002</v>
      </c>
      <c r="AF40" s="71">
        <f>($O$39*$Q$39)+('Cost Sheet'!$N$10*2*$Q$43)</f>
        <v>68.828074251822926</v>
      </c>
      <c r="AG40" s="71" cm="1">
        <f t="array" ref="AG40">_xlfn.IFNA(IF(OR('Door - Step 2'!$D$30=Controller!$A$13, 'Door - Step 2'!$D$30=Controller!$A$14, 'Door - Step 2'!$D$30=Controller!$A$15),
INDEX('Door and Panel Labor Exp. '!$J$23:$M$40,
 (MATCH(1, ((ABS('Door and Panel Labor Exp. '!$C$23:$C$40 - 'Door - Step 2'!$D$35) = _xlfn.AGGREGATE(15, 3, ABS('Door and Panel Labor Exp. '!$C$23:$C$40 - 'Door - Step 2'!$D$35), 1)) *
 (ABS('Door and Panel Labor Exp. '!$B$23:$B$40 - 'Door - Step 2'!$D$34) = _xlfn.AGGREGATE(15, 3, ABS('Door and Panel Labor Exp. '!$B$23:$B$40 - 'Door - Step 2'!$D$34), 1))), 0)),
 MATCH('Door - Step 2'!$D$31, 'Door and Panel Labor Exp. '!$J$1:$M$1, 0)
),
INDEX('Door and Panel Labor Exp. '!$J$5:$M$16,
 (MATCH(1, ((ABS('Door and Panel Labor Exp. '!$C$5:$C$16 - 'Door - Step 2'!$D$35) = _xlfn.AGGREGATE(15, 3, ABS('Door and Panel Labor Exp. '!$C$5:$C$16 - 'Door - Step 2'!$D$35), 1)) *
 (ABS('Door and Panel Labor Exp. '!$B$5:$B$16 - 'Door - Step 2'!$D$34) = _xlfn.AGGREGATE(15, 3, ABS('Door and Panel Labor Exp. '!$B$5:$B$16 - 'Door - Step 2'!$D$34), 1))), 0)),
 MATCH('Door - Step 2'!$D$31, 'Door and Panel Labor Exp. '!$J$1:$M$1, 0)
)),0)</f>
        <v>69.333333333333329</v>
      </c>
      <c r="AH40" s="71">
        <f t="shared" si="22"/>
        <v>138.16140758515627</v>
      </c>
      <c r="AI40" s="71">
        <f>+$O$39+'Cost Sheet'!$N$10</f>
        <v>5.4686827904802993</v>
      </c>
      <c r="AJ40" s="71">
        <f t="shared" ref="AJ40:AJ48" si="27">+AF40</f>
        <v>68.828074251822926</v>
      </c>
      <c r="AK40" s="71">
        <f t="shared" ref="AK40:AK48" si="28">+AG40</f>
        <v>69.333333333333329</v>
      </c>
      <c r="AL40" s="71">
        <f>_xlfn.IFNA(AH40*(1+(INDEX('Product Mark-up'!$F$4:$F$8,MATCH('Calculation Sheet - BOM '!$D$2,'Product Mark-up'!$C$4:$C$8,0)))),0)</f>
        <v>138.16140758515627</v>
      </c>
    </row>
    <row r="41" spans="1:38" ht="43.5" x14ac:dyDescent="0.35">
      <c r="A41" s="544"/>
      <c r="B41" s="226" t="s">
        <v>366</v>
      </c>
      <c r="D41" s="150" t="s">
        <v>82</v>
      </c>
      <c r="E41" s="160" t="s">
        <v>321</v>
      </c>
      <c r="F41" s="160" t="s">
        <v>334</v>
      </c>
      <c r="G41" s="160" t="s">
        <v>322</v>
      </c>
      <c r="H41" s="220" t="s">
        <v>335</v>
      </c>
      <c r="I41" s="160" t="s">
        <v>336</v>
      </c>
      <c r="J41" s="160" t="s">
        <v>337</v>
      </c>
      <c r="K41" s="220" t="s">
        <v>338</v>
      </c>
      <c r="L41" s="160" t="s">
        <v>339</v>
      </c>
      <c r="N41" s="975" t="s">
        <v>348</v>
      </c>
      <c r="O41" s="71">
        <f>+$O$39+'Cost Sheet'!$N$3</f>
        <v>5.0548364683716329</v>
      </c>
      <c r="P41" s="49" t="s">
        <v>367</v>
      </c>
      <c r="Q41" s="30">
        <f t="shared" si="23"/>
        <v>9.7422761267000002</v>
      </c>
      <c r="R41" s="71">
        <f>($O$41*$Q$41)+('Cost Sheet'!$N$3*2*$Q$43)</f>
        <v>72.283315277448949</v>
      </c>
      <c r="S41" s="71">
        <f>+S17*0.5</f>
        <v>34.666666666666664</v>
      </c>
      <c r="T41" s="71">
        <f t="shared" si="21"/>
        <v>106.94998194411562</v>
      </c>
      <c r="U41" s="71">
        <f>+$O$39+'Cost Sheet'!$N$3</f>
        <v>5.0548364683716329</v>
      </c>
      <c r="V41" s="71">
        <f t="shared" si="24"/>
        <v>72.283315277448949</v>
      </c>
      <c r="W41" s="71">
        <f t="shared" si="25"/>
        <v>34.666666666666664</v>
      </c>
      <c r="X41" s="355">
        <f>_xlfn.IFNA(T41*(1+(INDEX('Product Mark-up'!$F$4:$F$8,MATCH('Calculation Sheet - BOM '!$D$2,'Product Mark-up'!$C$4:$C$8,0)))),0)</f>
        <v>106.94998194411562</v>
      </c>
      <c r="AB41" s="28" t="s">
        <v>348</v>
      </c>
      <c r="AC41" s="71">
        <f>+$O$39+'Cost Sheet'!$N$3</f>
        <v>5.0548364683716329</v>
      </c>
      <c r="AD41" s="49" t="s">
        <v>367</v>
      </c>
      <c r="AE41" s="30">
        <f t="shared" si="26"/>
        <v>9.7422761267000002</v>
      </c>
      <c r="AF41" s="71">
        <f>($O$41*$Q$41)+('Cost Sheet'!$N$3*2*$Q$43)</f>
        <v>72.283315277448949</v>
      </c>
      <c r="AG41" s="71" cm="1">
        <f t="array" ref="AG41">_xlfn.IFNA(IF(OR('Door - Step 2'!$D$30=Controller!$A$13, 'Door - Step 2'!$D$30=Controller!$A$14, 'Door - Step 2'!$D$30=Controller!$A$15),
INDEX('Door and Panel Labor Exp. '!$J$23:$M$40,
 (MATCH(1, ((ABS('Door and Panel Labor Exp. '!$C$23:$C$40 - 'Door - Step 2'!$D$35) = _xlfn.AGGREGATE(15, 3, ABS('Door and Panel Labor Exp. '!$C$23:$C$40 - 'Door - Step 2'!$D$35), 1)) *
 (ABS('Door and Panel Labor Exp. '!$B$23:$B$40 - 'Door - Step 2'!$D$34) = _xlfn.AGGREGATE(15, 3, ABS('Door and Panel Labor Exp. '!$B$23:$B$40 - 'Door - Step 2'!$D$34), 1))), 0)),
 MATCH('Door - Step 2'!$D$31, 'Door and Panel Labor Exp. '!$J$1:$M$1, 0)
),
INDEX('Door and Panel Labor Exp. '!$J$5:$M$16,
 (MATCH(1, ((ABS('Door and Panel Labor Exp. '!$C$5:$C$16 - 'Door - Step 2'!$D$35) = _xlfn.AGGREGATE(15, 3, ABS('Door and Panel Labor Exp. '!$C$5:$C$16 - 'Door - Step 2'!$D$35), 1)) *
 (ABS('Door and Panel Labor Exp. '!$B$5:$B$16 - 'Door - Step 2'!$D$34) = _xlfn.AGGREGATE(15, 3, ABS('Door and Panel Labor Exp. '!$B$5:$B$16 - 'Door - Step 2'!$D$34), 1))), 0)),
 MATCH('Door - Step 2'!$D$31, 'Door and Panel Labor Exp. '!$J$1:$M$1, 0)
)),0)</f>
        <v>69.333333333333329</v>
      </c>
      <c r="AH41" s="71">
        <f t="shared" si="22"/>
        <v>141.61664861078228</v>
      </c>
      <c r="AI41" s="71">
        <f>+$O$39+'Cost Sheet'!$N$3</f>
        <v>5.0548364683716329</v>
      </c>
      <c r="AJ41" s="71">
        <f t="shared" si="27"/>
        <v>72.283315277448949</v>
      </c>
      <c r="AK41" s="71">
        <f t="shared" si="28"/>
        <v>69.333333333333329</v>
      </c>
      <c r="AL41" s="71">
        <f>_xlfn.IFNA(AH41*(1+(INDEX('Product Mark-up'!$F$4:$F$8,MATCH('Calculation Sheet - BOM '!$D$2,'Product Mark-up'!$C$4:$C$8,0)))),0)</f>
        <v>141.61664861078228</v>
      </c>
    </row>
    <row r="42" spans="1:38" ht="31" x14ac:dyDescent="0.35">
      <c r="A42" s="544"/>
      <c r="B42" s="227"/>
      <c r="C42" s="21" t="str">
        <f>'Door - Step 2'!C69</f>
        <v xml:space="preserve">Sliding Door Parts </v>
      </c>
      <c r="D42" s="121" t="str">
        <f>+IF(OR($D$2=Controller!$A$16,$D$2=Controller!$A$17),"","SS tube")</f>
        <v/>
      </c>
      <c r="E42" s="71" t="e">
        <f>IF($D42=0,0,(INDEX('Cost Sheet'!$N:$N,MATCH('Door - Step 2'!$D69,'Cost Sheet'!$C:$C,0))))</f>
        <v>#N/A</v>
      </c>
      <c r="F42" s="19">
        <f>+IF(D6=0,0,((D6*2)+17))</f>
        <v>85</v>
      </c>
      <c r="G42" s="19" t="s">
        <v>133</v>
      </c>
      <c r="H42" s="71">
        <f>+IF($D6=0,0,IF($D$6&lt;48,IF('Calculation Sheet - BOM '!$D$5="Manual",'Accessories Install - Labour'!$F$56,'Accessories Install - Labour'!$F$57),IF('Calculation Sheet - BOM '!$D$5="Manual",'Accessories Install - Labour'!$F$58,'Accessories Install - Labour'!$F$59)))</f>
        <v>104</v>
      </c>
      <c r="I42" s="71">
        <f>_xlfn.IFNA(IF(D42=0,0,(E42*F42*L2))+H42,0)</f>
        <v>0</v>
      </c>
      <c r="J42" s="71" t="e">
        <f>IF($D6=0,0,(INDEX('Cost Sheet'!$P:$P,MATCH('Door - Step 2'!$D69,'Cost Sheet'!$C:$C,0))))</f>
        <v>#N/A</v>
      </c>
      <c r="K42" s="71">
        <f t="shared" ref="K42:K53" si="29">+H42</f>
        <v>104</v>
      </c>
      <c r="L42" s="71">
        <f>_xlfn.IFNA(I42*(1+(INDEX('Product Mark-up'!$F$4:$F$8,MATCH('Calculation Sheet - BOM '!$D$2,'Product Mark-up'!$C$4:$C$8,0)))),0)</f>
        <v>0</v>
      </c>
      <c r="N42" s="975" t="s">
        <v>350</v>
      </c>
      <c r="O42" s="71">
        <f>+$O$39+'Cost Sheet'!$N$5</f>
        <v>4.989149951610246</v>
      </c>
      <c r="P42" s="49" t="s">
        <v>367</v>
      </c>
      <c r="Q42" s="30">
        <f t="shared" si="23"/>
        <v>9.7422761267000002</v>
      </c>
      <c r="R42" s="71">
        <f>($O$39*$Q$39)+('Cost Sheet'!$N$5*2*$Q$43)</f>
        <v>59.484591595638143</v>
      </c>
      <c r="S42" s="71">
        <f>+S18*0.5</f>
        <v>34.666666666666664</v>
      </c>
      <c r="T42" s="71">
        <f t="shared" si="21"/>
        <v>94.151258262304808</v>
      </c>
      <c r="U42" s="71">
        <f>+$O$39+'Cost Sheet'!$N$5</f>
        <v>4.989149951610246</v>
      </c>
      <c r="V42" s="71">
        <f t="shared" si="24"/>
        <v>59.484591595638143</v>
      </c>
      <c r="W42" s="71">
        <f t="shared" si="25"/>
        <v>34.666666666666664</v>
      </c>
      <c r="X42" s="355">
        <f>_xlfn.IFNA(T42*(1+(INDEX('Product Mark-up'!$F$4:$F$8,MATCH('Calculation Sheet - BOM '!$D$2,'Product Mark-up'!$C$4:$C$8,0)))),0)</f>
        <v>94.151258262304808</v>
      </c>
      <c r="AB42" s="28" t="s">
        <v>350</v>
      </c>
      <c r="AC42" s="71">
        <f>+$O$39+'Cost Sheet'!$N$5</f>
        <v>4.989149951610246</v>
      </c>
      <c r="AD42" s="49" t="s">
        <v>367</v>
      </c>
      <c r="AE42" s="30">
        <f t="shared" si="26"/>
        <v>9.7422761267000002</v>
      </c>
      <c r="AF42" s="71">
        <f>($O$39*$Q$39)+('Cost Sheet'!$N$5*2*$Q$43)</f>
        <v>59.484591595638143</v>
      </c>
      <c r="AG42" s="71" cm="1">
        <f t="array" ref="AG42">_xlfn.IFNA(IF(OR('Door - Step 2'!$D$30=Controller!$A$13, 'Door - Step 2'!$D$30=Controller!$A$14, 'Door - Step 2'!$D$30=Controller!$A$15),
INDEX('Door and Panel Labor Exp. '!$J$23:$M$40,
 (MATCH(1, ((ABS('Door and Panel Labor Exp. '!$C$23:$C$40 - 'Door - Step 2'!$D$35) = _xlfn.AGGREGATE(15, 3, ABS('Door and Panel Labor Exp. '!$C$23:$C$40 - 'Door - Step 2'!$D$35), 1)) *
 (ABS('Door and Panel Labor Exp. '!$B$23:$B$40 - 'Door - Step 2'!$D$34) = _xlfn.AGGREGATE(15, 3, ABS('Door and Panel Labor Exp. '!$B$23:$B$40 - 'Door - Step 2'!$D$34), 1))), 0)),
 MATCH('Door - Step 2'!$D$31, 'Door and Panel Labor Exp. '!$J$1:$M$1, 0)
),
INDEX('Door and Panel Labor Exp. '!$J$5:$M$16,
 (MATCH(1, ((ABS('Door and Panel Labor Exp. '!$C$5:$C$16 - 'Door - Step 2'!$D$35) = _xlfn.AGGREGATE(15, 3, ABS('Door and Panel Labor Exp. '!$C$5:$C$16 - 'Door - Step 2'!$D$35), 1)) *
 (ABS('Door and Panel Labor Exp. '!$B$5:$B$16 - 'Door - Step 2'!$D$34) = _xlfn.AGGREGATE(15, 3, ABS('Door and Panel Labor Exp. '!$B$5:$B$16 - 'Door - Step 2'!$D$34), 1))), 0)),
 MATCH('Door - Step 2'!$D$31, 'Door and Panel Labor Exp. '!$J$1:$M$1, 0)
)),0)</f>
        <v>69.333333333333329</v>
      </c>
      <c r="AH42" s="71">
        <f t="shared" si="22"/>
        <v>128.81792492897148</v>
      </c>
      <c r="AI42" s="71">
        <f>+$O$39+'Cost Sheet'!$N$5</f>
        <v>4.989149951610246</v>
      </c>
      <c r="AJ42" s="71">
        <f t="shared" si="27"/>
        <v>59.484591595638143</v>
      </c>
      <c r="AK42" s="71">
        <f t="shared" si="28"/>
        <v>69.333333333333329</v>
      </c>
      <c r="AL42" s="71">
        <f>_xlfn.IFNA(AH42*(1+(INDEX('Product Mark-up'!$F$4:$F$8,MATCH('Calculation Sheet - BOM '!$D$2,'Product Mark-up'!$C$4:$C$8,0)))),0)</f>
        <v>128.81792492897148</v>
      </c>
    </row>
    <row r="43" spans="1:38" ht="31" x14ac:dyDescent="0.35">
      <c r="A43" s="544"/>
      <c r="B43" s="227"/>
      <c r="C43" s="21" t="str">
        <f>'Door - Step 2'!C70</f>
        <v xml:space="preserve">Sliding Door Parts </v>
      </c>
      <c r="D43" s="121" t="str">
        <f>+IF(OR($D$2=Controller!$A$16,$D$2=Controller!$A$17),"","Main Roller")</f>
        <v/>
      </c>
      <c r="E43" s="71" t="e">
        <f>IF($D43=0,0,(INDEX('Cost Sheet'!$N:$N,MATCH('Door - Step 2'!$D70,'Cost Sheet'!$C:$C,0))))</f>
        <v>#N/A</v>
      </c>
      <c r="F43" s="20"/>
      <c r="G43" s="19" t="s">
        <v>133</v>
      </c>
      <c r="H43" s="71" t="e">
        <f>+IF($D6=0,0,INDEX('Accessories Install - Labour'!$E:$E,MATCH('Calculation Sheet - BOM '!$D43,'Accessories Install - Labour'!$C:$C,0)))</f>
        <v>#N/A</v>
      </c>
      <c r="I43" s="71">
        <f>_xlfn.IFNA(IF(D6=0,0,(E43+H43)),0)</f>
        <v>0</v>
      </c>
      <c r="J43" s="71" t="e">
        <f>IF($D6=0,0,(INDEX('Cost Sheet'!$P:$P,MATCH('Door - Step 2'!$D70,'Cost Sheet'!$C:$C,0))))</f>
        <v>#N/A</v>
      </c>
      <c r="K43" s="71" t="e">
        <f t="shared" si="29"/>
        <v>#N/A</v>
      </c>
      <c r="L43" s="71">
        <f>_xlfn.IFNA(I43*(1+(INDEX('Product Mark-up'!$F$4:$F$8,MATCH('Calculation Sheet - BOM '!$D$2,'Product Mark-up'!$C$4:$C$8,0)))),0)</f>
        <v>0</v>
      </c>
      <c r="N43" s="975" t="s">
        <v>351</v>
      </c>
      <c r="O43" s="71">
        <f>+'Cost Sheet'!$N$27+'Cost Sheet'!$N$10</f>
        <v>2.7368286238136323</v>
      </c>
      <c r="P43" s="49" t="s">
        <v>352</v>
      </c>
      <c r="Q43" s="30">
        <f>SUM((($O$12*($D$7+(2*$O$12)))),($O$12*($D$6+(2*$O$12))))*2*$L$4</f>
        <v>9.7422761267000002</v>
      </c>
      <c r="R43" s="71">
        <f>+O43*Q43*2</f>
        <v>53.325880329297533</v>
      </c>
      <c r="S43" s="71">
        <f>+S19*0.4</f>
        <v>90.133333333333326</v>
      </c>
      <c r="T43" s="71">
        <f t="shared" si="21"/>
        <v>143.45921366263087</v>
      </c>
      <c r="U43" s="71">
        <f>+'Cost Sheet'!$N$27+'Cost Sheet'!$N$10</f>
        <v>2.7368286238136323</v>
      </c>
      <c r="V43" s="71">
        <f t="shared" si="24"/>
        <v>53.325880329297533</v>
      </c>
      <c r="W43" s="71">
        <f t="shared" si="25"/>
        <v>90.133333333333326</v>
      </c>
      <c r="X43" s="355">
        <f>_xlfn.IFNA(T43*(1+(INDEX('Product Mark-up'!$F$4:$F$8,MATCH('Calculation Sheet - BOM '!$D$2,'Product Mark-up'!$C$4:$C$8,0)))),0)</f>
        <v>143.45921366263087</v>
      </c>
      <c r="AB43" s="28" t="s">
        <v>351</v>
      </c>
      <c r="AC43" s="71">
        <f>+'Cost Sheet'!$N$27+'Cost Sheet'!$N$10</f>
        <v>2.7368286238136323</v>
      </c>
      <c r="AD43" s="49" t="s">
        <v>352</v>
      </c>
      <c r="AE43" s="30">
        <f>SUM((($O$12*($D$7+(2*$O$12)))),($O$12*($D$6+(2*$O$12))))*2*$L$4</f>
        <v>9.7422761267000002</v>
      </c>
      <c r="AF43" s="71">
        <f>+AC43*AE43*2</f>
        <v>53.325880329297533</v>
      </c>
      <c r="AG43" s="71">
        <f t="shared" ref="AG43:AG48" si="30">+AG19*0.4</f>
        <v>90.133333333333326</v>
      </c>
      <c r="AH43" s="71">
        <f t="shared" si="22"/>
        <v>143.45921366263087</v>
      </c>
      <c r="AI43" s="71">
        <f>+'Cost Sheet'!$N$27+'Cost Sheet'!$N$10</f>
        <v>2.7368286238136323</v>
      </c>
      <c r="AJ43" s="71">
        <f t="shared" si="27"/>
        <v>53.325880329297533</v>
      </c>
      <c r="AK43" s="71">
        <f t="shared" si="28"/>
        <v>90.133333333333326</v>
      </c>
      <c r="AL43" s="71">
        <f>_xlfn.IFNA(AH43*(1+(INDEX('Product Mark-up'!$F$4:$F$8,MATCH('Calculation Sheet - BOM '!$D$2,'Product Mark-up'!$C$4:$C$8,0)))),0)</f>
        <v>143.45921366263087</v>
      </c>
    </row>
    <row r="44" spans="1:38" ht="31" x14ac:dyDescent="0.35">
      <c r="A44" s="544"/>
      <c r="B44" s="227"/>
      <c r="C44" s="21" t="str">
        <f>'Door - Step 2'!C71</f>
        <v xml:space="preserve">Sliding Door Parts </v>
      </c>
      <c r="D44" s="121" t="str">
        <f>+IF(OR($D$2=Controller!$A$16,$D$2=Controller!$A$17),"","Bottom Stay Roller")</f>
        <v/>
      </c>
      <c r="E44" s="71" t="e">
        <f>IF($D44=0,0,(INDEX('Cost Sheet'!$N:$N,MATCH('Door - Step 2'!$D71,'Cost Sheet'!$C:$C,0))))</f>
        <v>#N/A</v>
      </c>
      <c r="F44" s="20"/>
      <c r="G44" s="19" t="s">
        <v>133</v>
      </c>
      <c r="H44" s="71">
        <f>+IF($D6=0,0,IF($D$6&lt;48,'Accessories Install - Labour'!$F$62,'Accessories Install - Labour'!$F$63))</f>
        <v>52</v>
      </c>
      <c r="I44" s="71">
        <f>_xlfn.IFNA(IF(D6=0,0,(E44+H44)),0)</f>
        <v>0</v>
      </c>
      <c r="J44" s="71" t="e">
        <f>IF($D6=0,0,(INDEX('Cost Sheet'!$P:$P,MATCH('Door - Step 2'!$D71,'Cost Sheet'!$C:$C,0))))</f>
        <v>#N/A</v>
      </c>
      <c r="K44" s="71">
        <f t="shared" si="29"/>
        <v>52</v>
      </c>
      <c r="L44" s="71">
        <f>_xlfn.IFNA(I44*(1+(INDEX('Product Mark-up'!$F$4:$F$8,MATCH('Calculation Sheet - BOM '!$D$2,'Product Mark-up'!$C$4:$C$8,0)))),0)</f>
        <v>0</v>
      </c>
      <c r="N44" s="975" t="s">
        <v>353</v>
      </c>
      <c r="O44" s="71">
        <f>+'Cost Sheet'!$N$27+'Cost Sheet'!$N$3</f>
        <v>2.3229823017049664</v>
      </c>
      <c r="P44" s="49" t="s">
        <v>352</v>
      </c>
      <c r="Q44" s="30">
        <f>SUM((($O$12*($D$7+(2*$O$12)))),($O$12*($D$6+(2*$O$12))))*2*$L$4</f>
        <v>9.7422761267000002</v>
      </c>
      <c r="R44" s="71">
        <f>+O44*Q44*2</f>
        <v>45.262270041293824</v>
      </c>
      <c r="S44" s="71">
        <f t="shared" ref="S44:S48" si="31">+S20*0.4</f>
        <v>90.133333333333326</v>
      </c>
      <c r="T44" s="71">
        <f t="shared" si="21"/>
        <v>135.39560337462714</v>
      </c>
      <c r="U44" s="71">
        <f>+'Cost Sheet'!$N$27+'Cost Sheet'!$N$3</f>
        <v>2.3229823017049664</v>
      </c>
      <c r="V44" s="71">
        <f t="shared" si="24"/>
        <v>45.262270041293824</v>
      </c>
      <c r="W44" s="71">
        <f t="shared" si="25"/>
        <v>90.133333333333326</v>
      </c>
      <c r="X44" s="355">
        <f>_xlfn.IFNA(T44*(1+(INDEX('Product Mark-up'!$F$4:$F$8,MATCH('Calculation Sheet - BOM '!$D$2,'Product Mark-up'!$C$4:$C$8,0)))),0)</f>
        <v>135.39560337462714</v>
      </c>
      <c r="AB44" s="28" t="s">
        <v>353</v>
      </c>
      <c r="AC44" s="71">
        <f>+'Cost Sheet'!$N$27+'Cost Sheet'!$N$3</f>
        <v>2.3229823017049664</v>
      </c>
      <c r="AD44" s="49" t="s">
        <v>352</v>
      </c>
      <c r="AE44" s="30">
        <f>SUM((($O$12*($D$7+(2*$O$12)))),($O$12*($D$6+(2*$O$12))))*2*$L$4</f>
        <v>9.7422761267000002</v>
      </c>
      <c r="AF44" s="71">
        <f>+AC44*AE44*2</f>
        <v>45.262270041293824</v>
      </c>
      <c r="AG44" s="71">
        <f t="shared" si="30"/>
        <v>90.133333333333326</v>
      </c>
      <c r="AH44" s="71">
        <f t="shared" si="22"/>
        <v>135.39560337462714</v>
      </c>
      <c r="AI44" s="71">
        <f>+'Cost Sheet'!$N$27+'Cost Sheet'!$N$3</f>
        <v>2.3229823017049664</v>
      </c>
      <c r="AJ44" s="71">
        <f t="shared" si="27"/>
        <v>45.262270041293824</v>
      </c>
      <c r="AK44" s="71">
        <f t="shared" si="28"/>
        <v>90.133333333333326</v>
      </c>
      <c r="AL44" s="71">
        <f>_xlfn.IFNA(AH44*(1+(INDEX('Product Mark-up'!$F$4:$F$8,MATCH('Calculation Sheet - BOM '!$D$2,'Product Mark-up'!$C$4:$C$8,0)))),0)</f>
        <v>135.39560337462714</v>
      </c>
    </row>
    <row r="45" spans="1:38" ht="31" x14ac:dyDescent="0.35">
      <c r="A45" s="544"/>
      <c r="B45" s="227"/>
      <c r="C45" s="21" t="str">
        <f>'Door - Step 2'!C72</f>
        <v xml:space="preserve">Sliding Door Parts </v>
      </c>
      <c r="D45" s="121" t="str">
        <f>+IF(OR($D$2=Controller!$A$16,$D$2=Controller!$A$17),"",IF($D$5="Motorized","Electric door bracket",IF($D$4="Wood","Wood Frame bracket","Aluminum Frame bracket")))</f>
        <v/>
      </c>
      <c r="E45" s="71" t="e">
        <f>IF($D45=0,0,(INDEX('Cost Sheet'!$N:$N,MATCH('Door - Step 2'!$D72,'Cost Sheet'!$C:$C,0))))</f>
        <v>#N/A</v>
      </c>
      <c r="F45" s="19">
        <f>ROUNDUP(($F$42/30),0)</f>
        <v>3</v>
      </c>
      <c r="G45" s="19" t="s">
        <v>133</v>
      </c>
      <c r="H45" s="71">
        <f>+IF($D6=0,0,IF($D$6&lt;48,'Accessories Install - Labour'!$F$64,'Accessories Install - Labour'!$F$65))</f>
        <v>13</v>
      </c>
      <c r="I45" s="71">
        <f>_xlfn.IFNA(IF(D6=0,0,((E45*$F$45)+H45)),0)</f>
        <v>0</v>
      </c>
      <c r="J45" s="71" t="e">
        <f>IF($D6=0,0,(INDEX('Cost Sheet'!$P:$P,MATCH('Door - Step 2'!$D72,'Cost Sheet'!$C:$C,0))))</f>
        <v>#N/A</v>
      </c>
      <c r="K45" s="71">
        <f t="shared" si="29"/>
        <v>13</v>
      </c>
      <c r="L45" s="71">
        <f>_xlfn.IFNA(I45*(1+(INDEX('Product Mark-up'!$F$4:$F$8,MATCH('Calculation Sheet - BOM '!$D$2,'Product Mark-up'!$C$4:$C$8,0)))),0)</f>
        <v>0</v>
      </c>
      <c r="N45" s="975" t="s">
        <v>355</v>
      </c>
      <c r="O45" s="71">
        <f>+'Cost Sheet'!$N$27+'Cost Sheet'!$N$5</f>
        <v>2.2572957849435795</v>
      </c>
      <c r="P45" s="49" t="s">
        <v>352</v>
      </c>
      <c r="Q45" s="30">
        <f>SUM((($O$12*($D$7+(2*$O$12)))),($O$12*($D$6+(2*$O$12))))*2*$L$4</f>
        <v>9.7422761267000002</v>
      </c>
      <c r="R45" s="71">
        <f>+O45*Q45*2</f>
        <v>43.982397673112743</v>
      </c>
      <c r="S45" s="71">
        <f t="shared" si="31"/>
        <v>90.133333333333326</v>
      </c>
      <c r="T45" s="71">
        <f t="shared" si="21"/>
        <v>134.11573100644608</v>
      </c>
      <c r="U45" s="71">
        <f>+'Cost Sheet'!$N$27+'Cost Sheet'!$N$5</f>
        <v>2.2572957849435795</v>
      </c>
      <c r="V45" s="71">
        <f t="shared" si="24"/>
        <v>43.982397673112743</v>
      </c>
      <c r="W45" s="71">
        <f t="shared" si="25"/>
        <v>90.133333333333326</v>
      </c>
      <c r="X45" s="355">
        <f>_xlfn.IFNA(T45*(1+(INDEX('Product Mark-up'!$F$4:$F$8,MATCH('Calculation Sheet - BOM '!$D$2,'Product Mark-up'!$C$4:$C$8,0)))),0)</f>
        <v>134.11573100644608</v>
      </c>
      <c r="AB45" s="28" t="s">
        <v>355</v>
      </c>
      <c r="AC45" s="71">
        <f>+'Cost Sheet'!$N$27+'Cost Sheet'!$N$5</f>
        <v>2.2572957849435795</v>
      </c>
      <c r="AD45" s="49" t="s">
        <v>352</v>
      </c>
      <c r="AE45" s="30">
        <f>SUM((($O$12*($D$7+(2*$O$12)))),($O$12*($D$6+(2*$O$12))))*2*$L$4</f>
        <v>9.7422761267000002</v>
      </c>
      <c r="AF45" s="71">
        <f>+AC45*AE45*2</f>
        <v>43.982397673112743</v>
      </c>
      <c r="AG45" s="71">
        <f t="shared" si="30"/>
        <v>90.133333333333326</v>
      </c>
      <c r="AH45" s="71">
        <f t="shared" si="22"/>
        <v>134.11573100644608</v>
      </c>
      <c r="AI45" s="71">
        <f>+'Cost Sheet'!$N$27+'Cost Sheet'!$N$5</f>
        <v>2.2572957849435795</v>
      </c>
      <c r="AJ45" s="71">
        <f t="shared" si="27"/>
        <v>43.982397673112743</v>
      </c>
      <c r="AK45" s="71">
        <f t="shared" si="28"/>
        <v>90.133333333333326</v>
      </c>
      <c r="AL45" s="71">
        <f>_xlfn.IFNA(AH45*(1+(INDEX('Product Mark-up'!$F$4:$F$8,MATCH('Calculation Sheet - BOM '!$D$2,'Product Mark-up'!$C$4:$C$8,0)))),0)</f>
        <v>134.11573100644608</v>
      </c>
    </row>
    <row r="46" spans="1:38" ht="31" x14ac:dyDescent="0.35">
      <c r="A46" s="207"/>
      <c r="B46" s="227"/>
      <c r="C46" s="21" t="str">
        <f>'Door - Step 2'!C73</f>
        <v xml:space="preserve">Sliding Door Parts </v>
      </c>
      <c r="D46" s="121" t="str">
        <f>+IF(OR($D$2=Controller!$A$16,$D$2=Controller!$A$17),"","Outside and Inside Handle")</f>
        <v/>
      </c>
      <c r="E46" s="71">
        <f>_xlfn.IFNA(IF($D46="",0,'Cost Sheet'!$N$180+'Cost Sheet'!$N$181),0)</f>
        <v>0</v>
      </c>
      <c r="F46" s="20"/>
      <c r="G46" s="19" t="s">
        <v>133</v>
      </c>
      <c r="H46" s="71">
        <f>+IF($D46="",0,'Accessories Install - Labour'!$F$73+'Accessories Install - Labour'!$F$74)</f>
        <v>0</v>
      </c>
      <c r="I46" s="71">
        <f>_xlfn.IFNA(IF(D46=0,0,(E46+H46)),0)</f>
        <v>0</v>
      </c>
      <c r="J46" s="71" t="e">
        <f>IF($D46=0,0,(INDEX('Cost Sheet'!$P:$P,MATCH('Door - Step 2'!$D73,'Cost Sheet'!$C:$C,0))))</f>
        <v>#N/A</v>
      </c>
      <c r="K46" s="71">
        <f t="shared" si="29"/>
        <v>0</v>
      </c>
      <c r="L46" s="71">
        <f>_xlfn.IFNA(I46*(1+(INDEX('Product Mark-up'!$F$4:$F$8,MATCH('Calculation Sheet - BOM '!$D$2,'Product Mark-up'!$C$4:$C$8,0)))),0)</f>
        <v>0</v>
      </c>
      <c r="N46" s="975" t="s">
        <v>356</v>
      </c>
      <c r="O46" s="71">
        <f>+'Cost Sheet'!$N$24+'Cost Sheet'!$N$10</f>
        <v>6.0253702904802982</v>
      </c>
      <c r="P46" s="49" t="s">
        <v>347</v>
      </c>
      <c r="Q46" s="30">
        <f>((($D$6*2)+(($D$7+($O$12*2))*2))*'Calculation Sheet - BOM '!$L$2)</f>
        <v>18.415929999999999</v>
      </c>
      <c r="R46" s="71">
        <f>('Cost Sheet'!$N$24*$Q46)+('Cost Sheet'!$N$6*$Q$21)</f>
        <v>102.75850923787381</v>
      </c>
      <c r="S46" s="71">
        <f t="shared" si="31"/>
        <v>90.133333333333326</v>
      </c>
      <c r="T46" s="71">
        <f t="shared" si="21"/>
        <v>192.89184257120712</v>
      </c>
      <c r="U46" s="71">
        <f>+'Cost Sheet'!$N$24+'Cost Sheet'!$N$10</f>
        <v>6.0253702904802982</v>
      </c>
      <c r="V46" s="71">
        <f t="shared" si="24"/>
        <v>102.75850923787381</v>
      </c>
      <c r="W46" s="71">
        <f t="shared" si="25"/>
        <v>90.133333333333326</v>
      </c>
      <c r="X46" s="355">
        <f>_xlfn.IFNA(T46*(1+(INDEX('Product Mark-up'!$F$4:$F$8,MATCH('Calculation Sheet - BOM '!$D$2,'Product Mark-up'!$C$4:$C$8,0)))),0)</f>
        <v>192.89184257120712</v>
      </c>
      <c r="AB46" s="28" t="s">
        <v>356</v>
      </c>
      <c r="AC46" s="71">
        <f>+'Cost Sheet'!$N$24+'Cost Sheet'!$N$6</f>
        <v>7.4533602150537632</v>
      </c>
      <c r="AD46" s="49" t="s">
        <v>347</v>
      </c>
      <c r="AE46" s="30">
        <f>((($D$6*2)+(($D$7+($O$12*2))*2))*'Calculation Sheet - BOM '!$L$2)</f>
        <v>18.415929999999999</v>
      </c>
      <c r="AF46" s="71">
        <f>('Cost Sheet'!$N$24*$Q46)+('Cost Sheet'!$N$6*$Q$21)</f>
        <v>102.75850923787381</v>
      </c>
      <c r="AG46" s="71">
        <f t="shared" si="30"/>
        <v>90.133333333333326</v>
      </c>
      <c r="AH46" s="71">
        <f t="shared" si="22"/>
        <v>192.89184257120712</v>
      </c>
      <c r="AI46" s="71">
        <f>+'Cost Sheet'!$N$24+'Cost Sheet'!$N$10</f>
        <v>6.0253702904802982</v>
      </c>
      <c r="AJ46" s="71">
        <f t="shared" si="27"/>
        <v>102.75850923787381</v>
      </c>
      <c r="AK46" s="71">
        <f t="shared" si="28"/>
        <v>90.133333333333326</v>
      </c>
      <c r="AL46" s="71">
        <f>_xlfn.IFNA(AH46*(1+(INDEX('Product Mark-up'!$F$4:$F$8,MATCH('Calculation Sheet - BOM '!$D$2,'Product Mark-up'!$C$4:$C$8,0)))),0)</f>
        <v>192.89184257120712</v>
      </c>
    </row>
    <row r="47" spans="1:38" ht="31" x14ac:dyDescent="0.35">
      <c r="A47" s="207"/>
      <c r="B47" s="227"/>
      <c r="C47" s="21" t="str">
        <f>'Door - Step 2'!C74</f>
        <v xml:space="preserve">Sliding Door Parts </v>
      </c>
      <c r="D47" s="121" t="str">
        <f>+IF(OR($D$2=Controller!$A$16,$D$2=Controller!$A$17),"",IF($D$3="Cooler","Pull Cord - Cooler","Pull Cord - Freezer"))</f>
        <v/>
      </c>
      <c r="E47" s="71" t="e">
        <f>IF($D47=0,0,(INDEX('Cost Sheet'!$N:$N,MATCH('Door - Step 2'!$D74,'Cost Sheet'!$C:$C,0))))</f>
        <v>#N/A</v>
      </c>
      <c r="F47" s="20"/>
      <c r="G47" s="19" t="s">
        <v>133</v>
      </c>
      <c r="H47" s="71">
        <f>+IF($D47=0,0,'Accessories Install - Labour'!F76)</f>
        <v>13</v>
      </c>
      <c r="I47" s="71">
        <f t="shared" ref="I47:I53" si="32">_xlfn.IFNA(IF(D47=0,0,(E47+H47)),0)</f>
        <v>0</v>
      </c>
      <c r="J47" s="71" t="e">
        <f>IF($D47=0,0,(INDEX('Cost Sheet'!$P:$P,MATCH('Door - Step 2'!$D74,'Cost Sheet'!$C:$C,0))))</f>
        <v>#N/A</v>
      </c>
      <c r="K47" s="71">
        <f t="shared" si="29"/>
        <v>13</v>
      </c>
      <c r="L47" s="71">
        <f>_xlfn.IFNA(I47*(1+(INDEX('Product Mark-up'!$F$4:$F$8,MATCH('Calculation Sheet - BOM '!$D$2,'Product Mark-up'!$C$4:$C$8,0)))),0)</f>
        <v>0</v>
      </c>
      <c r="N47" s="975" t="s">
        <v>55</v>
      </c>
      <c r="O47" s="71">
        <f>+'Cost Sheet'!$N$24+'Cost Sheet'!$N$3</f>
        <v>5.6115239683716327</v>
      </c>
      <c r="P47" s="49" t="s">
        <v>349</v>
      </c>
      <c r="Q47" s="30">
        <f>((($D$6*2)+(($D$7+($O$12*2))*2))*'Calculation Sheet - BOM '!$L$2)</f>
        <v>18.415929999999999</v>
      </c>
      <c r="R47" s="71">
        <f>('Cost Sheet'!$N$24*$Q47)+('Cost Sheet'!$N$3*$Q$21)</f>
        <v>89.852298724215899</v>
      </c>
      <c r="S47" s="71">
        <f t="shared" si="31"/>
        <v>90.133333333333326</v>
      </c>
      <c r="T47" s="71">
        <f>+R47+S47</f>
        <v>179.98563205754922</v>
      </c>
      <c r="U47" s="71">
        <f>+'Cost Sheet'!$N$24+'Cost Sheet'!$N$3</f>
        <v>5.6115239683716327</v>
      </c>
      <c r="V47" s="71">
        <f t="shared" si="24"/>
        <v>89.852298724215899</v>
      </c>
      <c r="W47" s="71">
        <f t="shared" si="25"/>
        <v>90.133333333333326</v>
      </c>
      <c r="X47" s="355">
        <f>_xlfn.IFNA(T47*(1+(INDEX('Product Mark-up'!$F$4:$F$8,MATCH('Calculation Sheet - BOM '!$D$2,'Product Mark-up'!$C$4:$C$8,0)))),0)</f>
        <v>179.98563205754922</v>
      </c>
      <c r="AB47" s="28" t="s">
        <v>55</v>
      </c>
      <c r="AC47" s="71">
        <f>+'Cost Sheet'!$N$24+'Cost Sheet'!$N$3</f>
        <v>5.6115239683716327</v>
      </c>
      <c r="AD47" s="49" t="s">
        <v>349</v>
      </c>
      <c r="AE47" s="30">
        <f>((($D$6*2)+(($D$7+($O$12*2))*2))*'Calculation Sheet - BOM '!$L$2)</f>
        <v>18.415929999999999</v>
      </c>
      <c r="AF47" s="71">
        <f>('Cost Sheet'!$N$24*$Q47)+('Cost Sheet'!$N$3*$Q$21)</f>
        <v>89.852298724215899</v>
      </c>
      <c r="AG47" s="71">
        <f t="shared" si="30"/>
        <v>90.133333333333326</v>
      </c>
      <c r="AH47" s="71">
        <f>+AF47+AG47</f>
        <v>179.98563205754922</v>
      </c>
      <c r="AI47" s="71">
        <f>+'Cost Sheet'!$N$24+'Cost Sheet'!$N$3</f>
        <v>5.6115239683716327</v>
      </c>
      <c r="AJ47" s="71">
        <f t="shared" si="27"/>
        <v>89.852298724215899</v>
      </c>
      <c r="AK47" s="71">
        <f t="shared" si="28"/>
        <v>90.133333333333326</v>
      </c>
      <c r="AL47" s="71">
        <f>_xlfn.IFNA(AH47*(1+(INDEX('Product Mark-up'!$F$4:$F$8,MATCH('Calculation Sheet - BOM '!$D$2,'Product Mark-up'!$C$4:$C$8,0)))),0)</f>
        <v>179.98563205754922</v>
      </c>
    </row>
    <row r="48" spans="1:38" ht="31" x14ac:dyDescent="0.35">
      <c r="B48" s="227"/>
      <c r="C48" s="21" t="str">
        <f>'Door - Step 2'!C75</f>
        <v>Sliding Door Parts</v>
      </c>
      <c r="D48" s="121" t="str">
        <f>+IF(OR($D$2=Controller!$A$16,$D$2=Controller!$A$17),"","Guide Latch/Catch Set")</f>
        <v/>
      </c>
      <c r="E48" s="71" t="e">
        <f>IF($D48=0,0,(INDEX('Cost Sheet'!$N:$N,MATCH('Door - Step 2'!$D75,'Cost Sheet'!$C:$C,0))))</f>
        <v>#N/A</v>
      </c>
      <c r="F48" s="20"/>
      <c r="G48" s="19" t="s">
        <v>133</v>
      </c>
      <c r="H48" s="71">
        <f>+IF($D48=0,0,'Accessories Install - Labour'!F75)</f>
        <v>17.333333333333332</v>
      </c>
      <c r="I48" s="71">
        <f t="shared" si="32"/>
        <v>0</v>
      </c>
      <c r="J48" s="71" t="e">
        <f>IF($D48=0,0,(INDEX('Cost Sheet'!$P:$P,MATCH('Door - Step 2'!$D75,'Cost Sheet'!$C:$C,0))))</f>
        <v>#N/A</v>
      </c>
      <c r="K48" s="71">
        <f t="shared" si="29"/>
        <v>17.333333333333332</v>
      </c>
      <c r="L48" s="71">
        <f>_xlfn.IFNA(I48*(1+(INDEX('Product Mark-up'!$F$4:$F$8,MATCH('Calculation Sheet - BOM '!$D$2,'Product Mark-up'!$C$4:$C$8,0)))),0)</f>
        <v>0</v>
      </c>
      <c r="N48" s="975" t="s">
        <v>357</v>
      </c>
      <c r="O48" s="71">
        <f>+'Cost Sheet'!$N$24+'Cost Sheet'!$N$5</f>
        <v>5.5458374516102458</v>
      </c>
      <c r="P48" s="49" t="s">
        <v>349</v>
      </c>
      <c r="Q48" s="30">
        <f>((($D$6*2)+(($D$7+($O$12*2))*2))*'Calculation Sheet - BOM '!$L$2)</f>
        <v>18.415929999999999</v>
      </c>
      <c r="R48" s="71">
        <f>('Cost Sheet'!$N$24*$Q48)+('Cost Sheet'!$N$5*$Q$21)</f>
        <v>89.39201675574094</v>
      </c>
      <c r="S48" s="71">
        <f t="shared" si="31"/>
        <v>90.133333333333326</v>
      </c>
      <c r="T48" s="71">
        <f>+R48+S48</f>
        <v>179.52535008907427</v>
      </c>
      <c r="U48" s="71">
        <f>+'Cost Sheet'!$N$24+'Cost Sheet'!$N$5</f>
        <v>5.5458374516102458</v>
      </c>
      <c r="V48" s="71">
        <f t="shared" si="24"/>
        <v>89.39201675574094</v>
      </c>
      <c r="W48" s="71">
        <f t="shared" si="25"/>
        <v>90.133333333333326</v>
      </c>
      <c r="X48" s="355">
        <f>_xlfn.IFNA(T48*(1+(INDEX('Product Mark-up'!$F$4:$F$8,MATCH('Calculation Sheet - BOM '!$D$2,'Product Mark-up'!$C$4:$C$8,0)))),0)</f>
        <v>179.52535008907427</v>
      </c>
      <c r="AB48" s="28" t="s">
        <v>357</v>
      </c>
      <c r="AC48" s="71">
        <f>+'Cost Sheet'!$N$24+'Cost Sheet'!$N$5</f>
        <v>5.5458374516102458</v>
      </c>
      <c r="AD48" s="49" t="s">
        <v>349</v>
      </c>
      <c r="AE48" s="30">
        <f>((($D$6*2)+(($D$7+($O$12*2))*2))*'Calculation Sheet - BOM '!$L$2)</f>
        <v>18.415929999999999</v>
      </c>
      <c r="AF48" s="71">
        <f>('Cost Sheet'!$N$24*$Q48)+('Cost Sheet'!$N$5*$Q$21)</f>
        <v>89.39201675574094</v>
      </c>
      <c r="AG48" s="71">
        <f t="shared" si="30"/>
        <v>90.133333333333326</v>
      </c>
      <c r="AH48" s="71">
        <f>+AF48+AG48</f>
        <v>179.52535008907427</v>
      </c>
      <c r="AI48" s="71">
        <f>+'Cost Sheet'!$N$24+'Cost Sheet'!$N$5</f>
        <v>5.5458374516102458</v>
      </c>
      <c r="AJ48" s="71">
        <f t="shared" si="27"/>
        <v>89.39201675574094</v>
      </c>
      <c r="AK48" s="71">
        <f t="shared" si="28"/>
        <v>90.133333333333326</v>
      </c>
      <c r="AL48" s="71">
        <f>_xlfn.IFNA(AH48*(1+(INDEX('Product Mark-up'!$F$4:$F$8,MATCH('Calculation Sheet - BOM '!$D$2,'Product Mark-up'!$C$4:$C$8,0)))),0)</f>
        <v>179.52535008907427</v>
      </c>
    </row>
    <row r="49" spans="1:24" x14ac:dyDescent="0.35">
      <c r="B49" s="227"/>
      <c r="C49" s="21" t="str">
        <f>'Door - Step 2'!C76</f>
        <v>Sliding Door Parts</v>
      </c>
      <c r="D49" s="121">
        <f>'Door - Step 2'!D76</f>
        <v>0</v>
      </c>
      <c r="E49" s="71">
        <f>IF($D49=0,0,(INDEX('Cost Sheet'!$N:$N,MATCH('Door - Step 2'!$D76,'Cost Sheet'!$C:$C,0))))</f>
        <v>0</v>
      </c>
      <c r="F49" s="20"/>
      <c r="G49" s="19" t="s">
        <v>133</v>
      </c>
      <c r="H49" s="71">
        <f>+IF($D49=0,0,INDEX('Accessories Install - Labour'!$E:$E,MATCH('Calculation Sheet - BOM '!$D49,'Accessories Install - Labour'!$C:$C,0)))</f>
        <v>0</v>
      </c>
      <c r="I49" s="71">
        <f t="shared" si="32"/>
        <v>0</v>
      </c>
      <c r="J49" s="71">
        <f>IF($D49=0,0,(INDEX('Cost Sheet'!$P:$P,MATCH('Door - Step 2'!$D76,'Cost Sheet'!$C:$C,0))))</f>
        <v>0</v>
      </c>
      <c r="K49" s="71">
        <f t="shared" si="29"/>
        <v>0</v>
      </c>
      <c r="L49" s="71">
        <f>_xlfn.IFNA(I49*(1+(INDEX('Product Mark-up'!$F$4:$F$8,MATCH('Calculation Sheet - BOM '!$D$2,'Product Mark-up'!$C$4:$C$8,0)))),0)</f>
        <v>0</v>
      </c>
      <c r="N49" s="441"/>
      <c r="O49" s="979"/>
      <c r="P49" s="979"/>
      <c r="Q49" s="979"/>
      <c r="R49" s="979"/>
      <c r="S49" s="979"/>
      <c r="T49" s="979"/>
      <c r="U49" s="979"/>
      <c r="V49" s="979"/>
      <c r="W49" s="979"/>
      <c r="X49" s="442"/>
    </row>
    <row r="50" spans="1:24" ht="43.5" x14ac:dyDescent="0.35">
      <c r="B50" s="227"/>
      <c r="C50" s="21" t="str">
        <f>'Door - Step 2'!C77</f>
        <v>Sliding Door Parts</v>
      </c>
      <c r="D50" s="121">
        <f>'Door - Step 2'!D77</f>
        <v>0</v>
      </c>
      <c r="E50" s="71">
        <f>IF($D50=0,0,(INDEX('Cost Sheet'!$N:$N,MATCH('Door - Step 2'!$D77,'Cost Sheet'!$C:$C,0))))</f>
        <v>0</v>
      </c>
      <c r="F50" s="20"/>
      <c r="G50" s="19" t="s">
        <v>133</v>
      </c>
      <c r="H50" s="71"/>
      <c r="I50" s="71">
        <f t="shared" si="32"/>
        <v>0</v>
      </c>
      <c r="J50" s="71">
        <f>IF($D50=0,0,(INDEX('Cost Sheet'!$P:$P,MATCH('Door - Step 2'!$D77,'Cost Sheet'!$C:$C,0))))</f>
        <v>0</v>
      </c>
      <c r="K50" s="71">
        <f t="shared" si="29"/>
        <v>0</v>
      </c>
      <c r="L50" s="71">
        <f>_xlfn.IFNA(I50*(1+(INDEX('Product Mark-up'!$F$4:$F$8,MATCH('Calculation Sheet - BOM '!$D$2,'Product Mark-up'!$C$4:$C$8,0)))),0)</f>
        <v>0</v>
      </c>
      <c r="N50" s="335" t="s">
        <v>368</v>
      </c>
      <c r="O50" s="160" t="s">
        <v>321</v>
      </c>
      <c r="P50" s="160" t="s">
        <v>322</v>
      </c>
      <c r="Q50" s="160" t="s">
        <v>323</v>
      </c>
      <c r="R50" s="160" t="s">
        <v>324</v>
      </c>
      <c r="S50" s="160" t="s">
        <v>134</v>
      </c>
      <c r="T50" s="160" t="s">
        <v>325</v>
      </c>
      <c r="U50" s="160" t="s">
        <v>326</v>
      </c>
      <c r="V50" s="160" t="s">
        <v>327</v>
      </c>
      <c r="W50" s="160" t="s">
        <v>328</v>
      </c>
      <c r="X50" s="974" t="s">
        <v>329</v>
      </c>
    </row>
    <row r="51" spans="1:24" x14ac:dyDescent="0.35">
      <c r="B51" s="228"/>
      <c r="C51" s="21" t="str">
        <f>'Door - Step 2'!C78</f>
        <v>Sliding Door Parts</v>
      </c>
      <c r="D51" s="121">
        <f>'Door - Step 2'!D80</f>
        <v>0</v>
      </c>
      <c r="E51" s="71">
        <f>IF($D51=0,0,(INDEX('Cost Sheet'!$N:$N,MATCH('Door - Step 2'!$D78,'Cost Sheet'!$C:$C,0))))</f>
        <v>0</v>
      </c>
      <c r="F51" s="20"/>
      <c r="G51" s="19" t="s">
        <v>133</v>
      </c>
      <c r="H51" s="71">
        <f>+IF($D51=0,0,INDEX('Accessories Install - Labour'!$E:$E,MATCH('Calculation Sheet - BOM '!$D51,'Accessories Install - Labour'!$C:$C,0)))</f>
        <v>0</v>
      </c>
      <c r="I51" s="71">
        <f t="shared" si="32"/>
        <v>0</v>
      </c>
      <c r="J51" s="71">
        <f>IF($D51=0,0,(INDEX('Cost Sheet'!$P:$P,MATCH('Door - Step 2'!$D78,'Cost Sheet'!$C:$C,0))))</f>
        <v>0</v>
      </c>
      <c r="K51" s="71">
        <f t="shared" si="29"/>
        <v>0</v>
      </c>
      <c r="L51" s="71">
        <f>_xlfn.IFNA(I51*(1+(INDEX('Product Mark-up'!$F$4:$F$8,MATCH('Calculation Sheet - BOM '!$D$2,'Product Mark-up'!$C$4:$C$8,0)))),0)</f>
        <v>0</v>
      </c>
      <c r="N51" s="975" t="s">
        <v>51</v>
      </c>
      <c r="O51" s="71">
        <f>+'Cost Sheet'!N3+'Cost Sheet'!$N$25</f>
        <v>2.2323573017049667</v>
      </c>
      <c r="P51" s="503" t="s">
        <v>369</v>
      </c>
      <c r="Q51" s="30">
        <f>+(4*('Doors - Step 1'!$C$16*16)*'Calculation Sheet - BOM '!$L$4)+(2*('Doors - Step 1'!$C$22*('Doors - Step 1'!$C$15+16))*'Calculation Sheet - BOM '!$L$4)</f>
        <v>28.886577824</v>
      </c>
      <c r="R51" s="71">
        <f>((Q51*'Cost Sheet'!N3)+(INDEX($R$7:$R$11,MATCH('Doors - Step 1'!$C$18,'Calculation Sheet - BOM '!$P$7:$P$11,0))*'Calculation Sheet - BOM '!$Q$51)+('Cost Sheet'!N25*(((2*Hinch)+Winch)*in2ft)))</f>
        <v>49.074081792819975</v>
      </c>
      <c r="S51" s="71">
        <f>+IF('Doors - Step 1'!$C$11=Controller!$A$17,'Accessories Install - Labour'!$F$84,0)</f>
        <v>0</v>
      </c>
      <c r="T51" s="71">
        <f t="shared" ref="T51:T52" si="33">+R51+S51</f>
        <v>49.074081792819975</v>
      </c>
      <c r="U51" s="71">
        <f>+'Cost Sheet'!$N$15</f>
        <v>3.8724791666666665</v>
      </c>
      <c r="V51" s="71">
        <f t="shared" ref="V51:W52" si="34">+R51</f>
        <v>49.074081792819975</v>
      </c>
      <c r="W51" s="71">
        <f t="shared" si="34"/>
        <v>0</v>
      </c>
      <c r="X51" s="355">
        <f>_xlfn.IFNA(T51*(1+(INDEX('Product Mark-up'!$F$4:$F$8,MATCH('Calculation Sheet - BOM '!$D$2,'Product Mark-up'!$C$4:$C$8,0)))),0)</f>
        <v>49.074081792819975</v>
      </c>
    </row>
    <row r="52" spans="1:24" ht="16" thickBot="1" x14ac:dyDescent="0.4">
      <c r="B52" s="225"/>
      <c r="C52" s="21" t="str">
        <f>'Door - Step 2'!C79</f>
        <v>Sliding Door Parts</v>
      </c>
      <c r="D52" s="121">
        <f>'Door - Step 2'!D81</f>
        <v>0</v>
      </c>
      <c r="E52" s="71">
        <f>IF($D52=0,0,(INDEX('Cost Sheet'!$N:$N,MATCH('Door - Step 2'!$D79,'Cost Sheet'!$C:$C,0))))</f>
        <v>0</v>
      </c>
      <c r="F52" s="20"/>
      <c r="G52" s="19" t="s">
        <v>133</v>
      </c>
      <c r="H52" s="71">
        <f>+IF($D52=0,0,INDEX('Accessories Install - Labour'!$E:$E,MATCH('Calculation Sheet - BOM '!$D52,'Accessories Install - Labour'!$C:$C,0)))</f>
        <v>0</v>
      </c>
      <c r="I52" s="71">
        <f t="shared" si="32"/>
        <v>0</v>
      </c>
      <c r="J52" s="71">
        <f>IF($D52=0,0,(INDEX('Cost Sheet'!$P:$P,MATCH('Door - Step 2'!$D79,'Cost Sheet'!$C:$C,0))))</f>
        <v>0</v>
      </c>
      <c r="K52" s="71">
        <f t="shared" si="29"/>
        <v>0</v>
      </c>
      <c r="L52" s="71">
        <f>_xlfn.IFNA(I52*(1+(INDEX('Product Mark-up'!$F$4:$F$8,MATCH('Calculation Sheet - BOM '!$D$2,'Product Mark-up'!$C$4:$C$8,0)))),0)</f>
        <v>0</v>
      </c>
      <c r="N52" s="980" t="s">
        <v>370</v>
      </c>
      <c r="O52" s="358">
        <f>+'Cost Sheet'!N5+'Cost Sheet'!$N$25</f>
        <v>2.1666707849435793</v>
      </c>
      <c r="P52" s="981" t="s">
        <v>369</v>
      </c>
      <c r="Q52" s="356">
        <f>+(4*('Doors - Step 1'!$C$16*16)*'Calculation Sheet - BOM '!$L$4)+(2*('Doors - Step 1'!$C$22*('Doors - Step 1'!$C$15+16))*'Calculation Sheet - BOM '!$L$4)</f>
        <v>28.886577824</v>
      </c>
      <c r="R52" s="358">
        <f>((Q52*'Cost Sheet'!N5)+(INDEX($R$7:$R$11,MATCH('Doors - Step 1'!$C$18,'Calculation Sheet - BOM '!$P$7:$P$11,0))*'Calculation Sheet - BOM '!$Q$51)+('Cost Sheet'!N26*(((2*Hinch)+Winch)*in2ft)))</f>
        <v>43.076787114404681</v>
      </c>
      <c r="S52" s="358">
        <f>+IF('Doors - Step 1'!$C$11=Controller!$A$17,'Accessories Install - Labour'!$F$84,0)</f>
        <v>0</v>
      </c>
      <c r="T52" s="358">
        <f t="shared" si="33"/>
        <v>43.076787114404681</v>
      </c>
      <c r="U52" s="358">
        <f>+'Cost Sheet'!$N$15</f>
        <v>3.8724791666666665</v>
      </c>
      <c r="V52" s="358">
        <f t="shared" si="34"/>
        <v>43.076787114404681</v>
      </c>
      <c r="W52" s="358">
        <f t="shared" si="34"/>
        <v>0</v>
      </c>
      <c r="X52" s="982">
        <f>_xlfn.IFNA(T52*(1+(INDEX('Product Mark-up'!$F$4:$F$8,MATCH('Calculation Sheet - BOM '!$D$2,'Product Mark-up'!$C$4:$C$8,0)))),0)</f>
        <v>43.076787114404681</v>
      </c>
    </row>
    <row r="53" spans="1:24" x14ac:dyDescent="0.35">
      <c r="B53" s="225"/>
      <c r="C53" s="21" t="str">
        <f>'Door - Step 2'!C80</f>
        <v>Sliding Door Parts</v>
      </c>
      <c r="D53" s="121">
        <f>'Door - Step 2'!D82</f>
        <v>0</v>
      </c>
      <c r="E53" s="71">
        <f>IF($D53=0,0,(INDEX('Cost Sheet'!$N:$N,MATCH('Door - Step 2'!$D80,'Cost Sheet'!$C:$C,0))))</f>
        <v>0</v>
      </c>
      <c r="F53" s="20"/>
      <c r="G53" s="19" t="s">
        <v>133</v>
      </c>
      <c r="H53" s="71">
        <f>+IF($D53=0,0,INDEX('Accessories Install - Labour'!$E:$E,MATCH('Calculation Sheet - BOM '!$D53,'Accessories Install - Labour'!$C:$C,0)))</f>
        <v>0</v>
      </c>
      <c r="I53" s="71">
        <f t="shared" si="32"/>
        <v>0</v>
      </c>
      <c r="J53" s="71">
        <f>IF($D53=0,0,(INDEX('Cost Sheet'!$P:$P,MATCH('Door - Step 2'!$D80,'Cost Sheet'!$C:$C,0))))</f>
        <v>0</v>
      </c>
      <c r="K53" s="71">
        <f t="shared" si="29"/>
        <v>0</v>
      </c>
      <c r="L53" s="71">
        <f>_xlfn.IFNA(I53*(1+(INDEX('Product Mark-up'!$F$4:$F$8,MATCH('Calculation Sheet - BOM '!$D$2,'Product Mark-up'!$C$4:$C$8,0)))),0)</f>
        <v>0</v>
      </c>
      <c r="N53" s="4"/>
      <c r="P53" s="4"/>
    </row>
    <row r="54" spans="1:24" x14ac:dyDescent="0.35">
      <c r="D54" s="4"/>
      <c r="H54" s="4"/>
      <c r="K54" s="4"/>
      <c r="L54" s="4"/>
      <c r="N54" s="4"/>
      <c r="P54" s="4"/>
    </row>
    <row r="55" spans="1:24" x14ac:dyDescent="0.35">
      <c r="D55" s="4"/>
      <c r="H55" s="4"/>
      <c r="K55" s="4"/>
      <c r="L55" s="4"/>
      <c r="N55" s="4"/>
      <c r="P55" s="4"/>
    </row>
    <row r="56" spans="1:24" x14ac:dyDescent="0.35">
      <c r="D56" s="4"/>
      <c r="H56" s="4"/>
      <c r="K56" s="4"/>
      <c r="L56" s="4"/>
      <c r="N56" s="4"/>
      <c r="P56" s="4"/>
    </row>
    <row r="57" spans="1:24" ht="43.5" x14ac:dyDescent="0.35">
      <c r="D57" s="150" t="s">
        <v>82</v>
      </c>
      <c r="E57" s="160" t="s">
        <v>321</v>
      </c>
      <c r="F57" s="160" t="s">
        <v>334</v>
      </c>
      <c r="G57" s="160" t="s">
        <v>322</v>
      </c>
      <c r="H57" s="220" t="s">
        <v>335</v>
      </c>
      <c r="I57" s="160" t="s">
        <v>336</v>
      </c>
      <c r="J57" s="160" t="s">
        <v>337</v>
      </c>
      <c r="K57" s="220" t="s">
        <v>338</v>
      </c>
      <c r="L57" s="160" t="s">
        <v>339</v>
      </c>
      <c r="N57" s="4"/>
      <c r="P57" s="4"/>
    </row>
    <row r="58" spans="1:24" ht="31" x14ac:dyDescent="0.35">
      <c r="A58" s="215" t="str">
        <f>'Door - Step 2'!A82</f>
        <v xml:space="preserve">ADDITIONAL OPTIONS  &amp; ADD ON - PARTS </v>
      </c>
      <c r="B58" s="216"/>
      <c r="C58" s="27" t="str">
        <f>'Door - Step 2'!C82</f>
        <v xml:space="preserve">Category </v>
      </c>
      <c r="D58" s="27">
        <f>'Door - Step 2'!D82</f>
        <v>0</v>
      </c>
      <c r="E58" s="20"/>
      <c r="F58" s="20"/>
      <c r="G58" s="20"/>
      <c r="H58" s="71"/>
      <c r="I58" s="20"/>
      <c r="J58" s="20"/>
      <c r="K58" s="71"/>
      <c r="L58" s="19"/>
      <c r="N58" s="4"/>
      <c r="P58" s="4"/>
    </row>
    <row r="59" spans="1:24" x14ac:dyDescent="0.35">
      <c r="A59" s="217"/>
      <c r="B59" s="218"/>
      <c r="C59" s="21" t="str">
        <f>'Door - Step 2'!C83</f>
        <v>Hinge</v>
      </c>
      <c r="D59" s="121" t="str">
        <f>'Door - Step 2'!D83</f>
        <v>K1248 Hinge Chrome   1-5/8  LH</v>
      </c>
      <c r="E59" s="71">
        <f>IF($D59=0,0,(INDEX('Cost Sheet'!$N:$N,MATCH('Door - Step 2'!$D83,'Cost Sheet'!$C:$C,0))))</f>
        <v>48.6</v>
      </c>
      <c r="F59" s="20"/>
      <c r="G59" s="19" t="s">
        <v>133</v>
      </c>
      <c r="H59" s="71">
        <f>+IF($D59=0,0,'Accessories Install - Labour'!$F$15)</f>
        <v>13</v>
      </c>
      <c r="I59" s="71">
        <f>+E59+H59</f>
        <v>61.6</v>
      </c>
      <c r="J59" s="71">
        <f t="shared" ref="J59:J82" si="35">+E59</f>
        <v>48.6</v>
      </c>
      <c r="K59" s="71">
        <f t="shared" ref="K59:K82" si="36">+H59</f>
        <v>13</v>
      </c>
      <c r="L59" s="71">
        <f>_xlfn.IFNA(I59*(1+(INDEX('Product Mark-up'!$F$4:$F$8,MATCH('Calculation Sheet - BOM '!$D$2,'Product Mark-up'!$C$4:$C$8,0)))),0)</f>
        <v>61.6</v>
      </c>
      <c r="N59" s="4"/>
      <c r="P59" s="4"/>
    </row>
    <row r="60" spans="1:24" x14ac:dyDescent="0.35">
      <c r="A60" s="217"/>
      <c r="B60" s="218"/>
      <c r="C60" s="168" t="str">
        <f>'Door - Step 2'!C84</f>
        <v>Additional Hinge 1</v>
      </c>
      <c r="D60" s="121" t="str">
        <f>'Door - Step 2'!D84</f>
        <v>K1248 Hinge Chrome   1-5/8  LH</v>
      </c>
      <c r="E60" s="71">
        <f>IF($D60=0,0,(INDEX('Cost Sheet'!$N:$N,MATCH('Door - Step 2'!$D84,'Cost Sheet'!$C:$C,0))))</f>
        <v>48.6</v>
      </c>
      <c r="F60" s="20"/>
      <c r="G60" s="19" t="s">
        <v>133</v>
      </c>
      <c r="H60" s="71">
        <f>+IF($D60=0,0,'Accessories Install - Labour'!$F$15)</f>
        <v>13</v>
      </c>
      <c r="I60" s="71">
        <f t="shared" ref="I60:I80" si="37">+E60+H60</f>
        <v>61.6</v>
      </c>
      <c r="J60" s="71">
        <f t="shared" si="35"/>
        <v>48.6</v>
      </c>
      <c r="K60" s="71">
        <f t="shared" si="36"/>
        <v>13</v>
      </c>
      <c r="L60" s="71">
        <f>_xlfn.IFNA(I60*(1+(INDEX('Product Mark-up'!$F$4:$F$8,MATCH('Calculation Sheet - BOM '!$D$2,'Product Mark-up'!$C$4:$C$8,0)))),0)</f>
        <v>61.6</v>
      </c>
      <c r="N60" s="4"/>
      <c r="P60" s="4"/>
    </row>
    <row r="61" spans="1:24" x14ac:dyDescent="0.35">
      <c r="A61" s="217"/>
      <c r="B61" s="218"/>
      <c r="C61" s="168" t="str">
        <f>'Door - Step 2'!C85</f>
        <v>Additional Hinge 2</v>
      </c>
      <c r="D61" s="121">
        <f>'Door - Step 2'!D85</f>
        <v>0</v>
      </c>
      <c r="E61" s="71">
        <f>IF($D61=0,0,(INDEX('Cost Sheet'!$N:$N,MATCH('Door - Step 2'!$D85,'Cost Sheet'!$C:$C,0))))</f>
        <v>0</v>
      </c>
      <c r="F61" s="20"/>
      <c r="G61" s="19" t="s">
        <v>133</v>
      </c>
      <c r="H61" s="71">
        <f>+IF($D61=0,0,'Accessories Install - Labour'!$F$15)</f>
        <v>0</v>
      </c>
      <c r="I61" s="71">
        <f t="shared" si="37"/>
        <v>0</v>
      </c>
      <c r="J61" s="71">
        <f t="shared" si="35"/>
        <v>0</v>
      </c>
      <c r="K61" s="71">
        <f t="shared" si="36"/>
        <v>0</v>
      </c>
      <c r="L61" s="71">
        <f>_xlfn.IFNA(I61*(1+(INDEX('Product Mark-up'!$F$4:$F$8,MATCH('Calculation Sheet - BOM '!$D$2,'Product Mark-up'!$C$4:$C$8,0)))),0)</f>
        <v>0</v>
      </c>
      <c r="N61" s="4"/>
      <c r="P61" s="4"/>
    </row>
    <row r="62" spans="1:24" x14ac:dyDescent="0.35">
      <c r="A62" s="217"/>
      <c r="B62" s="218"/>
      <c r="C62" s="168" t="str">
        <f>'Door - Step 2'!C86</f>
        <v>Additional Hinge 3</v>
      </c>
      <c r="D62" s="121">
        <f>'Door - Step 2'!D86</f>
        <v>0</v>
      </c>
      <c r="E62" s="71">
        <f>IF($D62=0,0,(INDEX('Cost Sheet'!$N:$N,MATCH('Door - Step 2'!$D86,'Cost Sheet'!$C:$C,0))))</f>
        <v>0</v>
      </c>
      <c r="F62" s="20"/>
      <c r="G62" s="19" t="s">
        <v>133</v>
      </c>
      <c r="H62" s="71">
        <f>+IF($D62=0,0,'Accessories Install - Labour'!$F$15)</f>
        <v>0</v>
      </c>
      <c r="I62" s="71">
        <f t="shared" si="37"/>
        <v>0</v>
      </c>
      <c r="J62" s="71">
        <f t="shared" si="35"/>
        <v>0</v>
      </c>
      <c r="K62" s="71">
        <f t="shared" si="36"/>
        <v>0</v>
      </c>
      <c r="L62" s="71">
        <f>_xlfn.IFNA(I62*(1+(INDEX('Product Mark-up'!$F$4:$F$8,MATCH('Calculation Sheet - BOM '!$D$2,'Product Mark-up'!$C$4:$C$8,0)))),0)</f>
        <v>0</v>
      </c>
      <c r="N62" s="4"/>
      <c r="P62" s="4"/>
    </row>
    <row r="63" spans="1:24" x14ac:dyDescent="0.35">
      <c r="A63" s="217"/>
      <c r="B63" s="218"/>
      <c r="C63" s="21" t="str">
        <f>'Door - Step 2'!C87</f>
        <v>Latch</v>
      </c>
      <c r="D63" s="121" t="str">
        <f>'Door - Step 2'!D87</f>
        <v>K56 Latch Body Chrome</v>
      </c>
      <c r="E63" s="71">
        <f>IF($D63=0,0,(INDEX('Cost Sheet'!$N:$N,MATCH('Door - Step 2'!$D87,'Cost Sheet'!$C:$C,0))))</f>
        <v>66.45</v>
      </c>
      <c r="F63" s="20"/>
      <c r="G63" s="19" t="s">
        <v>133</v>
      </c>
      <c r="H63" s="71">
        <f>+IF($D63=0,0,'Accessories Install - Labour'!$F$17)</f>
        <v>21.666666666666668</v>
      </c>
      <c r="I63" s="71">
        <f t="shared" si="37"/>
        <v>88.116666666666674</v>
      </c>
      <c r="J63" s="71">
        <f t="shared" si="35"/>
        <v>66.45</v>
      </c>
      <c r="K63" s="71">
        <f t="shared" si="36"/>
        <v>21.666666666666668</v>
      </c>
      <c r="L63" s="71">
        <f>_xlfn.IFNA(I63*(1+(INDEX('Product Mark-up'!$F$4:$F$8,MATCH('Calculation Sheet - BOM '!$D$2,'Product Mark-up'!$C$4:$C$8,0)))),0)</f>
        <v>88.116666666666674</v>
      </c>
      <c r="N63" s="4"/>
      <c r="P63" s="4"/>
    </row>
    <row r="64" spans="1:24" x14ac:dyDescent="0.35">
      <c r="A64" s="217"/>
      <c r="B64" s="218"/>
      <c r="C64" s="168" t="str">
        <f>'Door - Step 2'!C88</f>
        <v>Additional Latch 1</v>
      </c>
      <c r="D64" s="121">
        <f>'Door - Step 2'!D88</f>
        <v>0</v>
      </c>
      <c r="E64" s="71">
        <f>IF($D64=0,0,(INDEX('Cost Sheet'!$N:$N,MATCH('Door - Step 2'!$D88,'Cost Sheet'!$C:$C,0))))</f>
        <v>0</v>
      </c>
      <c r="F64" s="20"/>
      <c r="G64" s="19" t="s">
        <v>133</v>
      </c>
      <c r="H64" s="71">
        <f>+IF($D64=0,0,'Accessories Install - Labour'!$F$17)</f>
        <v>0</v>
      </c>
      <c r="I64" s="71">
        <f t="shared" si="37"/>
        <v>0</v>
      </c>
      <c r="J64" s="71">
        <f t="shared" si="35"/>
        <v>0</v>
      </c>
      <c r="K64" s="71">
        <f t="shared" si="36"/>
        <v>0</v>
      </c>
      <c r="L64" s="71">
        <f>_xlfn.IFNA(I64*(1+(INDEX('Product Mark-up'!$F$4:$F$8,MATCH('Calculation Sheet - BOM '!$D$2,'Product Mark-up'!$C$4:$C$8,0)))),0)</f>
        <v>0</v>
      </c>
      <c r="N64" s="4"/>
      <c r="P64" s="4"/>
    </row>
    <row r="65" spans="1:16" x14ac:dyDescent="0.35">
      <c r="A65" s="217"/>
      <c r="B65" s="218"/>
      <c r="C65" s="168" t="str">
        <f>'Door - Step 2'!C89</f>
        <v>Additional Latch 2</v>
      </c>
      <c r="D65" s="121">
        <f>'Door - Step 2'!D89</f>
        <v>0</v>
      </c>
      <c r="E65" s="71">
        <f>IF($D65=0,0,(INDEX('Cost Sheet'!$N:$N,MATCH('Door - Step 2'!$D89,'Cost Sheet'!$C:$C,0))))</f>
        <v>0</v>
      </c>
      <c r="F65" s="20"/>
      <c r="G65" s="19" t="s">
        <v>133</v>
      </c>
      <c r="H65" s="71">
        <f>+IF($D65=0,0,'Accessories Install - Labour'!$F$17)</f>
        <v>0</v>
      </c>
      <c r="I65" s="71">
        <f t="shared" si="37"/>
        <v>0</v>
      </c>
      <c r="J65" s="71">
        <f t="shared" si="35"/>
        <v>0</v>
      </c>
      <c r="K65" s="71">
        <f t="shared" si="36"/>
        <v>0</v>
      </c>
      <c r="L65" s="71">
        <f>_xlfn.IFNA(I65*(1+(INDEX('Product Mark-up'!$F$4:$F$8,MATCH('Calculation Sheet - BOM '!$D$2,'Product Mark-up'!$C$4:$C$8,0)))),0)</f>
        <v>0</v>
      </c>
      <c r="N65" s="4"/>
      <c r="P65" s="4"/>
    </row>
    <row r="66" spans="1:16" x14ac:dyDescent="0.35">
      <c r="A66" s="217"/>
      <c r="B66" s="218"/>
      <c r="C66" s="21" t="str">
        <f>'Door - Step 2'!C90</f>
        <v xml:space="preserve">Interior Release </v>
      </c>
      <c r="D66" s="121" t="str">
        <f>'Door - Step 2'!D90</f>
        <v>Mushroom Button</v>
      </c>
      <c r="E66" s="71">
        <f>IF($D66=0,0,(INDEX('Cost Sheet'!$N:$N,MATCH('Door - Step 2'!$D90,'Cost Sheet'!$C:$C,0))))</f>
        <v>9.6</v>
      </c>
      <c r="F66" s="20"/>
      <c r="G66" s="19" t="s">
        <v>133</v>
      </c>
      <c r="H66" s="71">
        <f>+IF($D66=0,0,INDEX('Accessories Install - Labour'!$E:$E,MATCH('Calculation Sheet - BOM '!$D66,'Accessories Install - Labour'!$C:$C,0)))</f>
        <v>4.333333333333333</v>
      </c>
      <c r="I66" s="71">
        <f t="shared" si="37"/>
        <v>13.933333333333334</v>
      </c>
      <c r="J66" s="71">
        <f t="shared" si="35"/>
        <v>9.6</v>
      </c>
      <c r="K66" s="71">
        <f t="shared" si="36"/>
        <v>4.333333333333333</v>
      </c>
      <c r="L66" s="71">
        <f>_xlfn.IFNA(I66*(1+(INDEX('Product Mark-up'!$F$4:$F$8,MATCH('Calculation Sheet - BOM '!$D$2,'Product Mark-up'!$C$4:$C$8,0)))),0)</f>
        <v>13.933333333333334</v>
      </c>
      <c r="N66" s="4"/>
      <c r="P66" s="4"/>
    </row>
    <row r="67" spans="1:16" x14ac:dyDescent="0.35">
      <c r="A67" s="217"/>
      <c r="B67" s="218"/>
      <c r="C67" s="21" t="str">
        <f>'Door - Step 2'!C91</f>
        <v>Hook</v>
      </c>
      <c r="D67" s="121">
        <f>'Door - Step 2'!D91</f>
        <v>0</v>
      </c>
      <c r="E67" s="71">
        <f>IF($D67=0,0,(INDEX('Cost Sheet'!$N:$N,MATCH('Door - Step 2'!$D91,'Cost Sheet'!$C:$C,0))))</f>
        <v>0</v>
      </c>
      <c r="F67" s="20"/>
      <c r="G67" s="19" t="s">
        <v>133</v>
      </c>
      <c r="H67" s="71">
        <f>+IF($D67=0,0,INDEX('Accessories Install - Labour'!$E:$E,MATCH('Calculation Sheet - BOM '!$D67,'Accessories Install - Labour'!$C:$C,0)))</f>
        <v>0</v>
      </c>
      <c r="I67" s="71">
        <f t="shared" si="37"/>
        <v>0</v>
      </c>
      <c r="J67" s="71">
        <f t="shared" si="35"/>
        <v>0</v>
      </c>
      <c r="K67" s="71">
        <f t="shared" si="36"/>
        <v>0</v>
      </c>
      <c r="L67" s="71">
        <f>_xlfn.IFNA(I67*(1+(INDEX('Product Mark-up'!$F$4:$F$8,MATCH('Calculation Sheet - BOM '!$D$2,'Product Mark-up'!$C$4:$C$8,0)))),0)</f>
        <v>0</v>
      </c>
      <c r="N67" s="4"/>
      <c r="P67" s="4"/>
    </row>
    <row r="68" spans="1:16" x14ac:dyDescent="0.35">
      <c r="A68" s="217"/>
      <c r="B68" s="218"/>
      <c r="C68" s="21" t="str">
        <f>'Door - Step 2'!C92</f>
        <v xml:space="preserve">Door Closer </v>
      </c>
      <c r="D68" s="121" t="str">
        <f>'Door - Step 2'!D92</f>
        <v>Spring Door Closer</v>
      </c>
      <c r="E68" s="71">
        <f>IF($D68=0,0,(INDEX('Cost Sheet'!$N:$N,MATCH('Door - Step 2'!$D92,'Cost Sheet'!$C:$C,0))))</f>
        <v>24</v>
      </c>
      <c r="F68" s="20"/>
      <c r="G68" s="19" t="s">
        <v>133</v>
      </c>
      <c r="H68" s="71">
        <f>+IF($D68=0,0,INDEX('Accessories Install - Labour'!$E:$E,MATCH('Calculation Sheet - BOM '!$D68,'Accessories Install - Labour'!$C:$C,0)))</f>
        <v>17.333333333333332</v>
      </c>
      <c r="I68" s="71">
        <f t="shared" si="37"/>
        <v>41.333333333333329</v>
      </c>
      <c r="J68" s="71">
        <f t="shared" si="35"/>
        <v>24</v>
      </c>
      <c r="K68" s="71">
        <f t="shared" si="36"/>
        <v>17.333333333333332</v>
      </c>
      <c r="L68" s="71">
        <f>_xlfn.IFNA(I68*(1+(INDEX('Product Mark-up'!$F$4:$F$8,MATCH('Calculation Sheet - BOM '!$D$2,'Product Mark-up'!$C$4:$C$8,0)))),0)</f>
        <v>41.333333333333329</v>
      </c>
      <c r="N68" s="4"/>
      <c r="P68" s="4"/>
    </row>
    <row r="69" spans="1:16" x14ac:dyDescent="0.35">
      <c r="A69" s="217"/>
      <c r="B69" s="218"/>
      <c r="C69" s="21" t="str">
        <f>'Door - Step 2'!C93</f>
        <v>Strike</v>
      </c>
      <c r="D69" s="121" t="str">
        <f>'Door - Step 2'!D93</f>
        <v>K56 Strike Chrome  3/4 x 1-5/8</v>
      </c>
      <c r="E69" s="71">
        <f>IF($D69=0,0,(INDEX('Cost Sheet'!$N:$N,MATCH('Door - Step 2'!$D93,'Cost Sheet'!$C:$C,0))))</f>
        <v>32.82</v>
      </c>
      <c r="F69" s="20"/>
      <c r="G69" s="19" t="s">
        <v>133</v>
      </c>
      <c r="H69" s="71">
        <f>+IF($D69=0,0,'Accessories Install - Labour'!F15)</f>
        <v>13</v>
      </c>
      <c r="I69" s="71">
        <f t="shared" si="37"/>
        <v>45.82</v>
      </c>
      <c r="J69" s="71">
        <f t="shared" si="35"/>
        <v>32.82</v>
      </c>
      <c r="K69" s="71">
        <f t="shared" si="36"/>
        <v>13</v>
      </c>
      <c r="L69" s="71">
        <f>_xlfn.IFNA(I69*(1+(INDEX('Product Mark-up'!$F$4:$F$8,MATCH('Calculation Sheet - BOM '!$D$2,'Product Mark-up'!$C$4:$C$8,0)))),0)</f>
        <v>45.82</v>
      </c>
      <c r="N69" s="4"/>
      <c r="P69" s="4"/>
    </row>
    <row r="70" spans="1:16" x14ac:dyDescent="0.35">
      <c r="A70" s="217"/>
      <c r="B70" s="218"/>
      <c r="C70" s="21" t="str">
        <f>'Door - Step 2'!C94</f>
        <v>Rain Hood / Projection</v>
      </c>
      <c r="D70" s="121">
        <f>+'Door - Step 2'!$D$94</f>
        <v>0</v>
      </c>
      <c r="E70" s="71">
        <f>_xlfn.IFNA(INDEX('Cost Sheet'!$N:$N,MATCH($D13,'Cost Sheet'!$C:$C,0)),0)</f>
        <v>1.1823573017049667</v>
      </c>
      <c r="F70" s="30">
        <f>+IF($D$70="Swing",((D6+10)*14*L4),(((D6*2)+30)*20*L4))</f>
        <v>13.610022244000001</v>
      </c>
      <c r="G70" s="19" t="s">
        <v>133</v>
      </c>
      <c r="H70" s="71">
        <f>+IF(D70=0,0,IF(D70="Swing",'Accessories Install - Labour'!$F$81,'Accessories Install - Labour'!$F$82))</f>
        <v>0</v>
      </c>
      <c r="I70" s="71">
        <f>+IF(D70=0,0,((F70*E70)+H70))</f>
        <v>0</v>
      </c>
      <c r="J70" s="71">
        <f t="shared" si="35"/>
        <v>1.1823573017049667</v>
      </c>
      <c r="K70" s="71">
        <f t="shared" si="36"/>
        <v>0</v>
      </c>
      <c r="L70" s="71">
        <f>_xlfn.IFNA(I70*(1+(INDEX('Product Mark-up'!$F$4:$F$8,MATCH('Calculation Sheet - BOM '!$D$2,'Product Mark-up'!$C$4:$C$8,0)))),0)</f>
        <v>0</v>
      </c>
      <c r="N70" s="4"/>
      <c r="P70" s="4"/>
    </row>
    <row r="71" spans="1:16" x14ac:dyDescent="0.35">
      <c r="A71" s="217"/>
      <c r="B71" s="218"/>
      <c r="C71" s="21" t="str">
        <f>'Door - Step 2'!C95</f>
        <v xml:space="preserve">Wind Chains </v>
      </c>
      <c r="D71" s="121">
        <f>'Door - Step 2'!D95</f>
        <v>0</v>
      </c>
      <c r="E71" s="71">
        <f>IF($D71=0,0,(INDEX('Cost Sheet'!$N:$N,MATCH('Door - Step 2'!$D95,'Cost Sheet'!$C:$C,0))))</f>
        <v>0</v>
      </c>
      <c r="F71" s="20"/>
      <c r="G71" s="19" t="s">
        <v>133</v>
      </c>
      <c r="H71" s="71">
        <f>+IF($D71=0,0,INDEX('Accessories Install - Labour'!$E:$E,MATCH('Calculation Sheet - BOM '!$D71,'Accessories Install - Labour'!$C:$C,0)))</f>
        <v>0</v>
      </c>
      <c r="I71" s="71">
        <f t="shared" si="37"/>
        <v>0</v>
      </c>
      <c r="J71" s="71">
        <f t="shared" si="35"/>
        <v>0</v>
      </c>
      <c r="K71" s="71">
        <f t="shared" si="36"/>
        <v>0</v>
      </c>
      <c r="L71" s="71">
        <f>_xlfn.IFNA(I71*(1+(INDEX('Product Mark-up'!$F$4:$F$8,MATCH('Calculation Sheet - BOM '!$D$2,'Product Mark-up'!$C$4:$C$8,0)))),0)</f>
        <v>0</v>
      </c>
      <c r="N71" s="4"/>
      <c r="P71" s="4"/>
    </row>
    <row r="72" spans="1:16" x14ac:dyDescent="0.35">
      <c r="A72" s="217"/>
      <c r="B72" s="218"/>
      <c r="C72" s="21" t="s">
        <v>159</v>
      </c>
      <c r="D72" s="121">
        <f>'Door - Step 2'!D96</f>
        <v>0</v>
      </c>
      <c r="E72" s="71">
        <f>IF($D72=0,0,(INDEX('Cost Sheet'!$N:$N,MATCH('Door - Step 2'!$D96,'Cost Sheet'!$C:$C,0))))</f>
        <v>0</v>
      </c>
      <c r="F72" s="20"/>
      <c r="G72" s="19" t="s">
        <v>133</v>
      </c>
      <c r="H72" s="71">
        <f>+IF($D72=0,0,('Accessories Install - Labour'!$E52))</f>
        <v>0</v>
      </c>
      <c r="I72" s="71">
        <f t="shared" si="37"/>
        <v>0</v>
      </c>
      <c r="J72" s="71">
        <f t="shared" ref="J72:J80" si="38">+E72</f>
        <v>0</v>
      </c>
      <c r="K72" s="71">
        <f t="shared" ref="K72:K80" si="39">+H72</f>
        <v>0</v>
      </c>
      <c r="L72" s="71">
        <f>_xlfn.IFNA(I72*(1+(INDEX('Product Mark-up'!$F$4:$F$8,MATCH('Calculation Sheet - BOM '!$D$2,'Product Mark-up'!$C$4:$C$8,0)))),0)</f>
        <v>0</v>
      </c>
      <c r="N72" s="4"/>
      <c r="P72" s="4"/>
    </row>
    <row r="73" spans="1:16" x14ac:dyDescent="0.35">
      <c r="A73" s="217"/>
      <c r="B73" s="218"/>
      <c r="C73" s="21" t="s">
        <v>160</v>
      </c>
      <c r="D73" s="121">
        <f>'Door - Step 2'!D97</f>
        <v>0</v>
      </c>
      <c r="E73" s="71">
        <f>IF($D73=0,0,(INDEX('Cost Sheet'!$N:$N,MATCH('Door - Step 2'!$D97,'Cost Sheet'!$C:$C,0))))</f>
        <v>0</v>
      </c>
      <c r="F73" s="20"/>
      <c r="G73" s="19" t="s">
        <v>133</v>
      </c>
      <c r="H73" s="71">
        <f>+IF($D73=0,0,('Accessories Install - Labour'!$E38))</f>
        <v>0</v>
      </c>
      <c r="I73" s="71">
        <f t="shared" si="37"/>
        <v>0</v>
      </c>
      <c r="J73" s="71">
        <f t="shared" si="38"/>
        <v>0</v>
      </c>
      <c r="K73" s="71">
        <f t="shared" si="39"/>
        <v>0</v>
      </c>
      <c r="L73" s="71">
        <f>_xlfn.IFNA(I73*(1+(INDEX('Product Mark-up'!$F$4:$F$8,MATCH('Calculation Sheet - BOM '!$D$2,'Product Mark-up'!$C$4:$C$8,0)))),0)</f>
        <v>0</v>
      </c>
      <c r="N73" s="4"/>
      <c r="P73" s="4"/>
    </row>
    <row r="74" spans="1:16" x14ac:dyDescent="0.35">
      <c r="A74" s="217"/>
      <c r="B74" s="218"/>
      <c r="C74" s="21" t="s">
        <v>161</v>
      </c>
      <c r="D74" s="121">
        <f>'Door - Step 2'!D98</f>
        <v>0</v>
      </c>
      <c r="E74" s="71">
        <f>IF($D74=0,0,(INDEX('Cost Sheet'!$N:$N,MATCH('Door - Step 2'!$D98,'Cost Sheet'!$C:$C,0))))</f>
        <v>0</v>
      </c>
      <c r="F74" s="20"/>
      <c r="G74" s="19" t="s">
        <v>133</v>
      </c>
      <c r="H74" s="71">
        <f>+IF($D74=0,0,('Accessories Install - Labour'!$F$36))</f>
        <v>0</v>
      </c>
      <c r="I74" s="71">
        <f t="shared" si="37"/>
        <v>0</v>
      </c>
      <c r="J74" s="71">
        <f t="shared" si="38"/>
        <v>0</v>
      </c>
      <c r="K74" s="71">
        <f t="shared" si="39"/>
        <v>0</v>
      </c>
      <c r="L74" s="71">
        <f>_xlfn.IFNA(I74*(1+(INDEX('Product Mark-up'!$F$4:$F$8,MATCH('Calculation Sheet - BOM '!$D$2,'Product Mark-up'!$C$4:$C$8,0)))),0)</f>
        <v>0</v>
      </c>
      <c r="N74" s="4"/>
      <c r="P74" s="4"/>
    </row>
    <row r="75" spans="1:16" x14ac:dyDescent="0.35">
      <c r="A75" s="217"/>
      <c r="B75" s="218"/>
      <c r="C75" s="21" t="s">
        <v>163</v>
      </c>
      <c r="D75" s="121">
        <f>'Door - Step 2'!D99</f>
        <v>0</v>
      </c>
      <c r="E75" s="71">
        <f>IF($D75=0,0,(INDEX('Cost Sheet'!$N:$N,MATCH('Door - Step 2'!$D99,'Cost Sheet'!$C:$C,0))))</f>
        <v>0</v>
      </c>
      <c r="F75" s="20"/>
      <c r="G75" s="19" t="s">
        <v>133</v>
      </c>
      <c r="H75" s="71">
        <f>+IF($D75=0,0,('Accessories Install - Labour'!$F$53))</f>
        <v>0</v>
      </c>
      <c r="I75" s="71">
        <f t="shared" si="37"/>
        <v>0</v>
      </c>
      <c r="J75" s="71">
        <f t="shared" si="38"/>
        <v>0</v>
      </c>
      <c r="K75" s="71">
        <f t="shared" si="39"/>
        <v>0</v>
      </c>
      <c r="L75" s="71">
        <f>_xlfn.IFNA(I75*(1+(INDEX('Product Mark-up'!$F$4:$F$8,MATCH('Calculation Sheet - BOM '!$D$2,'Product Mark-up'!$C$4:$C$8,0)))),0)</f>
        <v>0</v>
      </c>
      <c r="N75" s="4"/>
      <c r="P75" s="4"/>
    </row>
    <row r="76" spans="1:16" x14ac:dyDescent="0.35">
      <c r="A76" s="217"/>
      <c r="B76" s="218"/>
      <c r="C76" s="21" t="s">
        <v>165</v>
      </c>
      <c r="D76" s="121" t="str">
        <f>'Door - Step 2'!D100</f>
        <v xml:space="preserve">Receptacle Box </v>
      </c>
      <c r="E76" s="71">
        <f>IF($D76=0,0,(INDEX('Cost Sheet'!$N:$N,MATCH('Door - Step 2'!$D100,'Cost Sheet'!$C:$C,0))))</f>
        <v>1.87</v>
      </c>
      <c r="F76" s="20"/>
      <c r="G76" s="19" t="s">
        <v>133</v>
      </c>
      <c r="H76" s="71">
        <f>+IF($D76=0,0,('Accessories Install - Labour'!$F$49))</f>
        <v>17.333333333333332</v>
      </c>
      <c r="I76" s="71">
        <f t="shared" si="37"/>
        <v>19.203333333333333</v>
      </c>
      <c r="J76" s="71">
        <f t="shared" si="38"/>
        <v>1.87</v>
      </c>
      <c r="K76" s="71">
        <f t="shared" si="39"/>
        <v>17.333333333333332</v>
      </c>
      <c r="L76" s="71">
        <f>_xlfn.IFNA(I76*(1+(INDEX('Product Mark-up'!$F$4:$F$8,MATCH('Calculation Sheet - BOM '!$D$2,'Product Mark-up'!$C$4:$C$8,0)))),0)</f>
        <v>19.203333333333333</v>
      </c>
      <c r="N76" s="4"/>
      <c r="P76" s="4"/>
    </row>
    <row r="77" spans="1:16" x14ac:dyDescent="0.35">
      <c r="A77" s="217"/>
      <c r="B77" s="218"/>
      <c r="C77" s="21" t="s">
        <v>166</v>
      </c>
      <c r="D77" s="121" t="str">
        <f>'Door - Step 2'!D101</f>
        <v>PVC - 4" X 4" X 2"</v>
      </c>
      <c r="E77" s="71">
        <f>IF($D77=0,0,(INDEX('Cost Sheet'!$N:$N,MATCH('Door - Step 2'!$D101,'Cost Sheet'!$C:$C,0))))</f>
        <v>9.4536999999999995</v>
      </c>
      <c r="F77" s="20"/>
      <c r="G77" s="19" t="s">
        <v>133</v>
      </c>
      <c r="H77" s="71">
        <f>+IF($D77=0,0,('Accessories Install - Labour'!$F$50))</f>
        <v>17.333333333333332</v>
      </c>
      <c r="I77" s="71">
        <f t="shared" si="37"/>
        <v>26.787033333333333</v>
      </c>
      <c r="J77" s="71">
        <f t="shared" si="38"/>
        <v>9.4536999999999995</v>
      </c>
      <c r="K77" s="71">
        <f t="shared" si="39"/>
        <v>17.333333333333332</v>
      </c>
      <c r="L77" s="71">
        <f>_xlfn.IFNA(I77*(1+(INDEX('Product Mark-up'!$F$4:$F$8,MATCH('Calculation Sheet - BOM '!$D$2,'Product Mark-up'!$C$4:$C$8,0)))),0)</f>
        <v>26.787033333333333</v>
      </c>
      <c r="N77" s="4"/>
      <c r="P77" s="4"/>
    </row>
    <row r="78" spans="1:16" x14ac:dyDescent="0.35">
      <c r="A78" s="217"/>
      <c r="B78" s="218"/>
      <c r="C78" s="21" t="s">
        <v>168</v>
      </c>
      <c r="D78" s="121">
        <f>'Door - Step 2'!D102</f>
        <v>0</v>
      </c>
      <c r="E78" s="71">
        <f>IF($D78=0,0,(INDEX('Cost Sheet'!$N:$N,MATCH('Door - Step 2'!$D102,'Cost Sheet'!$C:$C,0))))</f>
        <v>0</v>
      </c>
      <c r="F78" s="20"/>
      <c r="G78" s="19" t="s">
        <v>133</v>
      </c>
      <c r="H78" s="71">
        <f>+IF($D78=0,0,('Accessories Install - Labour'!$F$39))</f>
        <v>0</v>
      </c>
      <c r="I78" s="71">
        <f t="shared" si="37"/>
        <v>0</v>
      </c>
      <c r="J78" s="71">
        <f t="shared" si="38"/>
        <v>0</v>
      </c>
      <c r="K78" s="71">
        <f t="shared" si="39"/>
        <v>0</v>
      </c>
      <c r="L78" s="71">
        <f>_xlfn.IFNA(I78*(1+(INDEX('Product Mark-up'!$F$4:$F$8,MATCH('Calculation Sheet - BOM '!$D$2,'Product Mark-up'!$C$4:$C$8,0)))),0)</f>
        <v>0</v>
      </c>
      <c r="N78" s="4"/>
      <c r="P78" s="4"/>
    </row>
    <row r="79" spans="1:16" x14ac:dyDescent="0.35">
      <c r="A79" s="217"/>
      <c r="B79" s="218"/>
      <c r="C79" s="21" t="s">
        <v>169</v>
      </c>
      <c r="D79" s="121">
        <f>'Door - Step 2'!D104</f>
        <v>0</v>
      </c>
      <c r="E79" s="71">
        <f>IF($D79=0,0,(INDEX('Cost Sheet'!$N:$N,MATCH('Door - Step 2'!$D104,'Cost Sheet'!$C:$C,0))))</f>
        <v>0</v>
      </c>
      <c r="F79" s="20"/>
      <c r="G79" s="19" t="s">
        <v>133</v>
      </c>
      <c r="H79" s="71">
        <f>+IF($D79=0,0,('Accessories Install - Labour'!$F$54))</f>
        <v>0</v>
      </c>
      <c r="I79" s="71">
        <f t="shared" si="37"/>
        <v>0</v>
      </c>
      <c r="J79" s="71">
        <f t="shared" si="38"/>
        <v>0</v>
      </c>
      <c r="K79" s="71">
        <f t="shared" si="39"/>
        <v>0</v>
      </c>
      <c r="L79" s="71">
        <f>_xlfn.IFNA(I79*(1+(INDEX('Product Mark-up'!$F$4:$F$8,MATCH('Calculation Sheet - BOM '!$D$2,'Product Mark-up'!$C$4:$C$8,0)))),0)</f>
        <v>0</v>
      </c>
      <c r="N79" s="4"/>
      <c r="P79" s="4"/>
    </row>
    <row r="80" spans="1:16" x14ac:dyDescent="0.35">
      <c r="A80" s="217"/>
      <c r="B80" s="218"/>
      <c r="C80" s="21" t="s">
        <v>170</v>
      </c>
      <c r="D80" s="121">
        <f>'Door - Step 2'!D105</f>
        <v>0</v>
      </c>
      <c r="E80" s="71">
        <f>IF($D80=0,0,(INDEX('Cost Sheet'!$N:$N,MATCH('Door - Step 2'!$D105,'Cost Sheet'!$C:$C,0))))</f>
        <v>0</v>
      </c>
      <c r="F80" s="20"/>
      <c r="G80" s="19" t="s">
        <v>133</v>
      </c>
      <c r="H80" s="71">
        <v>0</v>
      </c>
      <c r="I80" s="71">
        <f t="shared" si="37"/>
        <v>0</v>
      </c>
      <c r="J80" s="71">
        <f t="shared" si="38"/>
        <v>0</v>
      </c>
      <c r="K80" s="71">
        <f t="shared" si="39"/>
        <v>0</v>
      </c>
      <c r="L80" s="71">
        <f>_xlfn.IFNA(I80*(1+(INDEX('Product Mark-up'!$F$4:$F$8,MATCH('Calculation Sheet - BOM '!$D$2,'Product Mark-up'!$C$4:$C$8,0)))),0)</f>
        <v>0</v>
      </c>
      <c r="N80" s="4"/>
      <c r="P80" s="4"/>
    </row>
    <row r="81" spans="1:17" ht="77.5" x14ac:dyDescent="0.35">
      <c r="A81" s="217"/>
      <c r="B81" s="218"/>
      <c r="C81" s="489" t="str">
        <f>'Door - Step 2'!C106</f>
        <v>Heat Trace - Location &amp; Ft. req.</v>
      </c>
      <c r="D81" s="121">
        <f>'Door - Step 2'!E106</f>
        <v>0</v>
      </c>
      <c r="E81" s="71">
        <f>+AVERAGE('Cost Sheet'!$N$102:$N$112)</f>
        <v>0.17090909090909087</v>
      </c>
      <c r="F81" s="492">
        <f>+D81</f>
        <v>0</v>
      </c>
      <c r="G81" s="491" t="s">
        <v>371</v>
      </c>
      <c r="H81" s="71">
        <f>+IF($D81=0,0,((IF(D6&lt;48,'Accessories Install - Labour'!$F$43,IF(D6&lt;120,'Accessories Install - Labour'!$F$44,IF(D6&lt;240,'Accessories Install - Labour'!$F$45))))+'Accessories Install - Labour'!$F$51)+('Cost Sheet'!$M$149/4)+'Cost Sheet'!$M$152)</f>
        <v>0</v>
      </c>
      <c r="I81" s="71">
        <f>+(E81*D81)+H81</f>
        <v>0</v>
      </c>
      <c r="J81" s="71">
        <f t="shared" si="35"/>
        <v>0.17090909090909087</v>
      </c>
      <c r="K81" s="71">
        <f t="shared" si="36"/>
        <v>0</v>
      </c>
      <c r="L81" s="71">
        <f>_xlfn.IFNA(I81*(1+(INDEX('Product Mark-up'!$F$4:$F$8,MATCH('Calculation Sheet - BOM '!$D$2,'Product Mark-up'!$C$4:$C$8,0)))),0)</f>
        <v>0</v>
      </c>
      <c r="N81" s="4"/>
      <c r="P81" s="4"/>
    </row>
    <row r="82" spans="1:17" ht="62" x14ac:dyDescent="0.35">
      <c r="A82" s="217"/>
      <c r="B82" s="218"/>
      <c r="C82" s="490" t="str">
        <f>'Door - Step 2'!C107</f>
        <v>Electrical Wire - Ft. required</v>
      </c>
      <c r="D82" s="121">
        <f>'Door - Step 2'!E107</f>
        <v>0</v>
      </c>
      <c r="E82" s="71">
        <f>+AVERAGE('Cost Sheet'!$M$131:$M$132)/L6</f>
        <v>0.72237597688396882</v>
      </c>
      <c r="F82" s="19">
        <f>+D82</f>
        <v>0</v>
      </c>
      <c r="G82" s="491" t="s">
        <v>372</v>
      </c>
      <c r="H82" s="71">
        <f>+IF($D82=0,0,(IF(D6&lt;48,'Accessories Install - Labour'!$F$46,IF(D6&lt;120,'Accessories Install - Labour'!F47,IF(D6&lt;240,'Accessories Install - Labour'!F48)))))</f>
        <v>0</v>
      </c>
      <c r="I82" s="71">
        <f>(E82*D82)+H82</f>
        <v>0</v>
      </c>
      <c r="J82" s="71">
        <f t="shared" si="35"/>
        <v>0.72237597688396882</v>
      </c>
      <c r="K82" s="71">
        <f t="shared" si="36"/>
        <v>0</v>
      </c>
      <c r="L82" s="71">
        <f>_xlfn.IFNA(I82*(1+(INDEX('Product Mark-up'!$F$4:$F$8,MATCH('Calculation Sheet - BOM '!$D$2,'Product Mark-up'!$C$4:$C$8,0)))),0)</f>
        <v>0</v>
      </c>
      <c r="O82" s="3"/>
      <c r="P82" s="105"/>
      <c r="Q82" s="3"/>
    </row>
    <row r="83" spans="1:17" ht="21" x14ac:dyDescent="0.35">
      <c r="I83" s="224" t="e">
        <f>SUM(I13:I82)*D10</f>
        <v>#N/A</v>
      </c>
      <c r="L83" s="224">
        <f>SUM(L13:L82)*$D$10</f>
        <v>1305.9377343696581</v>
      </c>
      <c r="O83" s="3"/>
      <c r="P83" s="105"/>
      <c r="Q83" s="3"/>
    </row>
    <row r="84" spans="1:17" ht="21" x14ac:dyDescent="0.35">
      <c r="I84" s="542"/>
      <c r="L84" s="542"/>
      <c r="O84" s="3"/>
      <c r="P84" s="105"/>
      <c r="Q84" s="3"/>
    </row>
    <row r="85" spans="1:17" ht="21" x14ac:dyDescent="0.35">
      <c r="I85" s="542"/>
      <c r="L85" s="542"/>
      <c r="O85" s="3"/>
      <c r="P85" s="105"/>
      <c r="Q85" s="3"/>
    </row>
    <row r="86" spans="1:17" ht="21" x14ac:dyDescent="0.35">
      <c r="I86" s="542"/>
      <c r="L86" s="542"/>
      <c r="O86" s="3"/>
      <c r="P86" s="105"/>
      <c r="Q86" s="3"/>
    </row>
    <row r="87" spans="1:17" ht="21" x14ac:dyDescent="0.35">
      <c r="I87" s="542"/>
      <c r="L87" s="542"/>
      <c r="O87" s="3"/>
      <c r="P87" s="105"/>
      <c r="Q87" s="3"/>
    </row>
    <row r="88" spans="1:17" ht="21" x14ac:dyDescent="0.35">
      <c r="I88" s="542"/>
      <c r="L88" s="542"/>
      <c r="O88" s="3"/>
      <c r="P88" s="105"/>
      <c r="Q88" s="3"/>
    </row>
    <row r="89" spans="1:17" ht="21" x14ac:dyDescent="0.35">
      <c r="I89" s="542"/>
      <c r="L89" s="542"/>
      <c r="O89" s="3"/>
      <c r="P89" s="105"/>
      <c r="Q89" s="3"/>
    </row>
    <row r="90" spans="1:17" ht="21" x14ac:dyDescent="0.35">
      <c r="I90" s="542"/>
      <c r="L90" s="542"/>
      <c r="O90" s="3"/>
      <c r="P90" s="105"/>
      <c r="Q90" s="3"/>
    </row>
    <row r="91" spans="1:17" ht="21" x14ac:dyDescent="0.35">
      <c r="I91" s="542"/>
      <c r="L91" s="542"/>
      <c r="O91" s="3"/>
      <c r="P91" s="105"/>
      <c r="Q91" s="3"/>
    </row>
    <row r="92" spans="1:17" ht="21" x14ac:dyDescent="0.35">
      <c r="I92" s="542"/>
      <c r="L92" s="542"/>
      <c r="O92" s="3"/>
      <c r="P92" s="105"/>
      <c r="Q92" s="3"/>
    </row>
    <row r="93" spans="1:17" ht="21" x14ac:dyDescent="0.35">
      <c r="I93" s="542"/>
      <c r="L93" s="542"/>
      <c r="O93" s="3"/>
      <c r="P93" s="105"/>
      <c r="Q93" s="3"/>
    </row>
    <row r="94" spans="1:17" ht="21" x14ac:dyDescent="0.35">
      <c r="I94" s="542"/>
      <c r="L94" s="542"/>
      <c r="O94" s="3"/>
      <c r="P94" s="105"/>
      <c r="Q94" s="3"/>
    </row>
    <row r="95" spans="1:17" ht="21" x14ac:dyDescent="0.35">
      <c r="I95" s="542"/>
      <c r="L95" s="542"/>
      <c r="O95" s="3"/>
      <c r="P95" s="105"/>
      <c r="Q95" s="3"/>
    </row>
    <row r="96" spans="1:17" ht="21" x14ac:dyDescent="0.35">
      <c r="I96" s="542"/>
      <c r="L96" s="542"/>
      <c r="O96" s="3"/>
      <c r="P96" s="105"/>
      <c r="Q96" s="3"/>
    </row>
    <row r="97" spans="3:18" ht="21" x14ac:dyDescent="0.35">
      <c r="I97" s="542"/>
      <c r="L97" s="542"/>
      <c r="O97" s="3"/>
      <c r="P97" s="105"/>
      <c r="Q97" s="3"/>
    </row>
    <row r="98" spans="3:18" ht="21" x14ac:dyDescent="0.35">
      <c r="I98" s="542"/>
      <c r="L98" s="542"/>
      <c r="O98" s="3"/>
      <c r="P98" s="105"/>
      <c r="Q98" s="3"/>
    </row>
    <row r="99" spans="3:18" ht="21" x14ac:dyDescent="0.35">
      <c r="I99" s="542"/>
      <c r="L99" s="542"/>
      <c r="O99" s="3"/>
      <c r="P99" s="105"/>
      <c r="Q99" s="3"/>
    </row>
    <row r="100" spans="3:18" ht="21" x14ac:dyDescent="0.35">
      <c r="I100" s="542"/>
      <c r="L100" s="542"/>
      <c r="O100" s="3"/>
      <c r="P100" s="105"/>
      <c r="Q100" s="3"/>
    </row>
    <row r="101" spans="3:18" ht="21" x14ac:dyDescent="0.35">
      <c r="I101" s="542"/>
      <c r="L101" s="542"/>
      <c r="O101" s="3"/>
      <c r="P101" s="105"/>
      <c r="Q101" s="3"/>
    </row>
    <row r="102" spans="3:18" ht="21" x14ac:dyDescent="0.35">
      <c r="I102" s="542"/>
      <c r="L102" s="542"/>
      <c r="O102" s="3"/>
      <c r="P102" s="105"/>
      <c r="Q102" s="3"/>
    </row>
    <row r="103" spans="3:18" ht="21.5" thickBot="1" x14ac:dyDescent="0.4">
      <c r="I103" s="542"/>
      <c r="L103" s="542"/>
      <c r="O103" s="3"/>
      <c r="P103" s="105"/>
      <c r="Q103" s="3"/>
    </row>
    <row r="104" spans="3:18" ht="21" customHeight="1" x14ac:dyDescent="0.35">
      <c r="C104" s="1016" t="s">
        <v>1069</v>
      </c>
      <c r="D104" s="1017"/>
      <c r="E104" s="1017"/>
      <c r="F104" s="1017"/>
      <c r="G104" s="1017"/>
      <c r="H104" s="1017"/>
      <c r="I104" s="1017"/>
      <c r="J104" s="1017"/>
      <c r="K104" s="1017"/>
      <c r="L104" s="1017"/>
      <c r="M104" s="1017"/>
      <c r="N104" s="1017"/>
      <c r="O104" s="1017"/>
      <c r="P104" s="1017"/>
      <c r="Q104" s="1017"/>
      <c r="R104" s="1018"/>
    </row>
    <row r="105" spans="3:18" ht="21" customHeight="1" x14ac:dyDescent="0.35">
      <c r="C105" s="1019"/>
      <c r="D105" s="1020"/>
      <c r="E105" s="1020"/>
      <c r="F105" s="1020"/>
      <c r="G105" s="1020"/>
      <c r="H105" s="1020"/>
      <c r="I105" s="1020"/>
      <c r="J105" s="1020"/>
      <c r="K105" s="1020"/>
      <c r="L105" s="1020"/>
      <c r="M105" s="1020"/>
      <c r="N105" s="1020"/>
      <c r="O105" s="1020"/>
      <c r="P105" s="1020"/>
      <c r="Q105" s="1020"/>
      <c r="R105" s="1021"/>
    </row>
    <row r="106" spans="3:18" ht="21" customHeight="1" x14ac:dyDescent="0.35">
      <c r="C106" s="1019"/>
      <c r="D106" s="1020"/>
      <c r="E106" s="1020"/>
      <c r="F106" s="1020"/>
      <c r="G106" s="1020"/>
      <c r="H106" s="1020"/>
      <c r="I106" s="1020"/>
      <c r="J106" s="1020"/>
      <c r="K106" s="1020"/>
      <c r="L106" s="1020"/>
      <c r="M106" s="1020"/>
      <c r="N106" s="1020"/>
      <c r="O106" s="1020"/>
      <c r="P106" s="1020"/>
      <c r="Q106" s="1020"/>
      <c r="R106" s="1021"/>
    </row>
    <row r="107" spans="3:18" ht="21" customHeight="1" x14ac:dyDescent="0.35">
      <c r="C107" s="1019"/>
      <c r="D107" s="1020"/>
      <c r="E107" s="1020"/>
      <c r="F107" s="1020"/>
      <c r="G107" s="1020"/>
      <c r="H107" s="1020"/>
      <c r="I107" s="1020"/>
      <c r="J107" s="1020"/>
      <c r="K107" s="1020"/>
      <c r="L107" s="1020"/>
      <c r="M107" s="1020"/>
      <c r="N107" s="1020"/>
      <c r="O107" s="1020"/>
      <c r="P107" s="1020"/>
      <c r="Q107" s="1020"/>
      <c r="R107" s="1021"/>
    </row>
    <row r="108" spans="3:18" ht="21" customHeight="1" thickBot="1" x14ac:dyDescent="0.4">
      <c r="C108" s="1022"/>
      <c r="D108" s="1023"/>
      <c r="E108" s="1023"/>
      <c r="F108" s="1023"/>
      <c r="G108" s="1023"/>
      <c r="H108" s="1023"/>
      <c r="I108" s="1023"/>
      <c r="J108" s="1023"/>
      <c r="K108" s="1023"/>
      <c r="L108" s="1023"/>
      <c r="M108" s="1023"/>
      <c r="N108" s="1023"/>
      <c r="O108" s="1023"/>
      <c r="P108" s="1023"/>
      <c r="Q108" s="1023"/>
      <c r="R108" s="1024"/>
    </row>
    <row r="109" spans="3:18" ht="21" x14ac:dyDescent="0.35">
      <c r="I109" s="542"/>
      <c r="L109" s="542"/>
      <c r="O109" s="3"/>
      <c r="P109" s="105"/>
      <c r="Q109" s="3"/>
    </row>
    <row r="110" spans="3:18" ht="21" x14ac:dyDescent="0.35">
      <c r="I110" s="542"/>
      <c r="L110" s="542"/>
      <c r="O110" s="3"/>
      <c r="P110" s="105"/>
      <c r="Q110" s="3"/>
    </row>
    <row r="111" spans="3:18" x14ac:dyDescent="0.35">
      <c r="O111" s="3"/>
      <c r="P111" s="105"/>
      <c r="Q111" s="3"/>
    </row>
    <row r="112" spans="3:18" x14ac:dyDescent="0.35">
      <c r="C112" s="21" t="s">
        <v>373</v>
      </c>
      <c r="D112" s="4"/>
      <c r="E112" s="21" t="s">
        <v>1005</v>
      </c>
      <c r="H112" s="4"/>
      <c r="K112" s="4"/>
      <c r="L112" s="4"/>
      <c r="O112" s="3"/>
      <c r="P112" s="105"/>
      <c r="Q112" s="3"/>
    </row>
    <row r="113" spans="2:36" x14ac:dyDescent="0.35">
      <c r="C113" s="20" t="s">
        <v>213</v>
      </c>
      <c r="D113" s="4"/>
      <c r="E113" s="20" t="s">
        <v>48</v>
      </c>
      <c r="H113" s="4"/>
      <c r="K113" s="4"/>
      <c r="L113" s="4"/>
      <c r="N113" s="21" t="s">
        <v>373</v>
      </c>
    </row>
    <row r="114" spans="2:36" x14ac:dyDescent="0.35">
      <c r="C114" s="20" t="s">
        <v>374</v>
      </c>
      <c r="E114" s="20" t="s">
        <v>85</v>
      </c>
      <c r="N114" s="20" t="s">
        <v>234</v>
      </c>
    </row>
    <row r="115" spans="2:36" x14ac:dyDescent="0.35">
      <c r="C115" s="20" t="s">
        <v>241</v>
      </c>
      <c r="J115" s="180"/>
      <c r="L115" s="188"/>
      <c r="N115" s="20" t="s">
        <v>375</v>
      </c>
    </row>
    <row r="116" spans="2:36" x14ac:dyDescent="0.35">
      <c r="C116" s="20" t="s">
        <v>1002</v>
      </c>
      <c r="N116" s="20" t="s">
        <v>376</v>
      </c>
    </row>
    <row r="117" spans="2:36" x14ac:dyDescent="0.35">
      <c r="C117" s="20" t="s">
        <v>1003</v>
      </c>
      <c r="N117" s="20"/>
    </row>
    <row r="118" spans="2:36" x14ac:dyDescent="0.35">
      <c r="J118" s="118" t="s">
        <v>377</v>
      </c>
      <c r="N118" s="20" t="s">
        <v>236</v>
      </c>
    </row>
    <row r="119" spans="2:36" ht="45" customHeight="1" x14ac:dyDescent="0.35">
      <c r="C119" s="535" t="str">
        <f>+CONCATENATE('Quotation Structure - Room'!C35," - Calculation Chart for Reference")</f>
        <v>222.56 - Calculation Chart for Reference</v>
      </c>
      <c r="D119" s="536"/>
      <c r="E119" s="536"/>
      <c r="F119" s="536"/>
      <c r="G119" s="536"/>
      <c r="H119" s="537"/>
      <c r="J119" s="189">
        <f>+'Door and Panel Labor Exp. '!C1</f>
        <v>52</v>
      </c>
      <c r="L119" s="535" t="str">
        <f>+CONCATENATE('Quotation Structure - Room'!$C$68," - Calculation Chart for Reference")</f>
        <v>COMBO - Calculation Chart for Reference</v>
      </c>
      <c r="M119" s="536"/>
      <c r="N119" s="536"/>
      <c r="O119" s="536"/>
      <c r="P119" s="536"/>
      <c r="Q119" s="537"/>
      <c r="AE119" s="937" t="str">
        <f>+CONCATENATE('Quotation Structure - Room'!C216," - Calculation Chart for Reference")</f>
        <v>0 - Calculation Chart for Reference</v>
      </c>
      <c r="AF119" s="938"/>
      <c r="AG119" s="938"/>
      <c r="AH119" s="938"/>
      <c r="AI119" s="938"/>
      <c r="AJ119" s="939"/>
    </row>
    <row r="120" spans="2:36" x14ac:dyDescent="0.35">
      <c r="C120" s="46" t="s">
        <v>378</v>
      </c>
      <c r="D120" s="46" t="s">
        <v>379</v>
      </c>
      <c r="E120" s="46" t="s">
        <v>380</v>
      </c>
      <c r="F120" s="46" t="s">
        <v>199</v>
      </c>
      <c r="G120" s="46" t="s">
        <v>200</v>
      </c>
      <c r="H120" s="221"/>
      <c r="L120" s="46" t="s">
        <v>378</v>
      </c>
      <c r="M120" s="46" t="s">
        <v>379</v>
      </c>
      <c r="N120" s="46" t="s">
        <v>380</v>
      </c>
      <c r="O120" s="46" t="s">
        <v>199</v>
      </c>
      <c r="P120" s="46" t="s">
        <v>200</v>
      </c>
      <c r="Q120" s="18"/>
      <c r="AE120" s="46" t="s">
        <v>378</v>
      </c>
      <c r="AF120" s="19" t="s">
        <v>381</v>
      </c>
      <c r="AG120" s="19" t="s">
        <v>382</v>
      </c>
      <c r="AH120" s="19" t="s">
        <v>383</v>
      </c>
      <c r="AJ120" s="18"/>
    </row>
    <row r="121" spans="2:36" x14ac:dyDescent="0.35">
      <c r="B121" s="4" t="s">
        <v>204</v>
      </c>
      <c r="C121" s="46" t="s">
        <v>205</v>
      </c>
      <c r="D121" s="30">
        <f>+F121/$L$2</f>
        <v>81.003240129605189</v>
      </c>
      <c r="E121" s="30">
        <f>+G121/$L$2</f>
        <v>96.003840153606149</v>
      </c>
      <c r="F121" s="19">
        <f>+'Quotation - Summary Sheet ROOMS'!F15</f>
        <v>6.75</v>
      </c>
      <c r="G121" s="19">
        <f>+'Quotation - Summary Sheet ROOMS'!G15</f>
        <v>8</v>
      </c>
      <c r="H121" s="221"/>
      <c r="L121" s="46" t="s">
        <v>205</v>
      </c>
      <c r="M121" s="30">
        <f>+O121/$L$2</f>
        <v>120.00480019200768</v>
      </c>
      <c r="N121" s="30">
        <f>+P121/$L$2</f>
        <v>96.003840153606149</v>
      </c>
      <c r="O121" s="19">
        <f>+'Quotation - Summary Sheet ROOMS'!F39</f>
        <v>10</v>
      </c>
      <c r="P121" s="19">
        <f>+'Quotation - Summary Sheet ROOMS'!G39</f>
        <v>8</v>
      </c>
      <c r="Q121" s="18"/>
      <c r="AE121" s="46"/>
      <c r="AF121" s="19"/>
      <c r="AG121" s="19"/>
      <c r="AH121" s="19"/>
      <c r="AJ121" s="18"/>
    </row>
    <row r="122" spans="2:36" x14ac:dyDescent="0.35">
      <c r="B122" s="4" t="s">
        <v>204</v>
      </c>
      <c r="C122" s="46" t="s">
        <v>206</v>
      </c>
      <c r="D122" s="30">
        <f t="shared" ref="D122:E124" si="40">+F122/$L$2</f>
        <v>81.003240129605189</v>
      </c>
      <c r="E122" s="30">
        <f t="shared" si="40"/>
        <v>96.003840153606149</v>
      </c>
      <c r="F122" s="19">
        <f>+'Quotation - Summary Sheet ROOMS'!F16</f>
        <v>6.75</v>
      </c>
      <c r="G122" s="19">
        <f>+'Quotation - Summary Sheet ROOMS'!G16</f>
        <v>8</v>
      </c>
      <c r="H122" s="221"/>
      <c r="L122" s="46" t="s">
        <v>206</v>
      </c>
      <c r="M122" s="30">
        <f t="shared" ref="M122:M127" si="41">+O122/$L$2</f>
        <v>144.00576023040921</v>
      </c>
      <c r="N122" s="30">
        <f t="shared" ref="N122:N127" si="42">+P122/$L$2</f>
        <v>96.003840153606149</v>
      </c>
      <c r="O122" s="19">
        <f>+'Quotation - Summary Sheet ROOMS'!F40</f>
        <v>12</v>
      </c>
      <c r="P122" s="19">
        <f>+'Quotation - Summary Sheet ROOMS'!G40</f>
        <v>8</v>
      </c>
      <c r="Q122" s="18"/>
      <c r="AE122" s="46"/>
      <c r="AF122" s="19"/>
      <c r="AG122" s="19"/>
      <c r="AH122" s="19"/>
      <c r="AJ122" s="18"/>
    </row>
    <row r="123" spans="2:36" x14ac:dyDescent="0.35">
      <c r="B123" s="4" t="s">
        <v>204</v>
      </c>
      <c r="C123" s="46" t="s">
        <v>207</v>
      </c>
      <c r="D123" s="30">
        <f t="shared" si="40"/>
        <v>85.923436937477504</v>
      </c>
      <c r="E123" s="30">
        <f t="shared" si="40"/>
        <v>96.003840153606149</v>
      </c>
      <c r="F123" s="19">
        <f>+'Quotation - Summary Sheet ROOMS'!F17</f>
        <v>7.16</v>
      </c>
      <c r="G123" s="19">
        <f>+'Quotation - Summary Sheet ROOMS'!G17</f>
        <v>8</v>
      </c>
      <c r="H123" s="221"/>
      <c r="L123" s="46" t="s">
        <v>207</v>
      </c>
      <c r="M123" s="30">
        <f t="shared" si="41"/>
        <v>144.00576023040921</v>
      </c>
      <c r="N123" s="30">
        <f t="shared" si="42"/>
        <v>96.003840153606149</v>
      </c>
      <c r="O123" s="19">
        <f>+'Quotation - Summary Sheet ROOMS'!F41</f>
        <v>12</v>
      </c>
      <c r="P123" s="19">
        <f>+'Quotation - Summary Sheet ROOMS'!G41</f>
        <v>8</v>
      </c>
      <c r="Q123" s="18"/>
      <c r="AE123" s="46"/>
      <c r="AF123" s="19"/>
      <c r="AG123" s="19"/>
      <c r="AH123" s="19"/>
      <c r="AJ123" s="18"/>
    </row>
    <row r="124" spans="2:36" x14ac:dyDescent="0.35">
      <c r="B124" s="4" t="s">
        <v>204</v>
      </c>
      <c r="C124" s="46" t="s">
        <v>208</v>
      </c>
      <c r="D124" s="30">
        <f t="shared" si="40"/>
        <v>85.923436937477504</v>
      </c>
      <c r="E124" s="30">
        <f t="shared" si="40"/>
        <v>96.003840153606149</v>
      </c>
      <c r="F124" s="19">
        <f>+'Quotation - Summary Sheet ROOMS'!F18</f>
        <v>7.16</v>
      </c>
      <c r="G124" s="19">
        <f>+'Quotation - Summary Sheet ROOMS'!G18</f>
        <v>8</v>
      </c>
      <c r="H124" s="221"/>
      <c r="L124" s="46" t="s">
        <v>235</v>
      </c>
      <c r="M124" s="30">
        <f t="shared" si="41"/>
        <v>120.00480019200768</v>
      </c>
      <c r="N124" s="30">
        <f t="shared" si="42"/>
        <v>96.003840153606149</v>
      </c>
      <c r="O124" s="19">
        <f>+'Quotation - Summary Sheet ROOMS'!F42</f>
        <v>10</v>
      </c>
      <c r="P124" s="19">
        <f>+'Quotation - Summary Sheet ROOMS'!G42</f>
        <v>8</v>
      </c>
      <c r="Q124" s="18"/>
      <c r="AE124" s="46"/>
      <c r="AF124" s="19"/>
      <c r="AG124" s="19"/>
      <c r="AH124" s="19"/>
      <c r="AJ124" s="18"/>
    </row>
    <row r="125" spans="2:36" x14ac:dyDescent="0.35">
      <c r="C125" s="347" t="s">
        <v>384</v>
      </c>
      <c r="D125" s="347" t="s">
        <v>379</v>
      </c>
      <c r="E125" s="347" t="s">
        <v>385</v>
      </c>
      <c r="F125" s="347" t="s">
        <v>199</v>
      </c>
      <c r="G125" s="347" t="s">
        <v>211</v>
      </c>
      <c r="H125" s="221"/>
      <c r="L125" s="46" t="s">
        <v>237</v>
      </c>
      <c r="M125" s="30">
        <f t="shared" si="41"/>
        <v>120.00480019200768</v>
      </c>
      <c r="N125" s="30">
        <f t="shared" si="42"/>
        <v>96.003840153606149</v>
      </c>
      <c r="O125" s="19">
        <f>+'Quotation - Summary Sheet ROOMS'!F43</f>
        <v>10</v>
      </c>
      <c r="P125" s="19">
        <f>+'Quotation - Summary Sheet ROOMS'!G43</f>
        <v>8</v>
      </c>
      <c r="Q125" s="18"/>
      <c r="AE125" s="46"/>
      <c r="AF125" s="19"/>
      <c r="AG125" s="19"/>
      <c r="AH125" s="19"/>
      <c r="AJ125" s="18"/>
    </row>
    <row r="126" spans="2:36" x14ac:dyDescent="0.35">
      <c r="C126" s="46" t="str">
        <f>+'Quotation - Summary Sheet ROOMS'!C20</f>
        <v>Standard Ceiling</v>
      </c>
      <c r="D126" s="30">
        <f t="shared" ref="D126" si="43">+F126/$L$2</f>
        <v>99.003960158406329</v>
      </c>
      <c r="E126" s="30">
        <f t="shared" ref="E126" si="44">+G126/$L$2</f>
        <v>114.00456018240729</v>
      </c>
      <c r="F126" s="19">
        <f>+'Quotation - Summary Sheet ROOMS'!F20</f>
        <v>8.25</v>
      </c>
      <c r="G126" s="19">
        <f>+'Quotation - Summary Sheet ROOMS'!G20</f>
        <v>9.5</v>
      </c>
      <c r="H126" s="221"/>
      <c r="L126" s="46" t="s">
        <v>239</v>
      </c>
      <c r="M126" s="30">
        <f t="shared" si="41"/>
        <v>144.00576023040921</v>
      </c>
      <c r="N126" s="30">
        <f t="shared" si="42"/>
        <v>96.003840153606149</v>
      </c>
      <c r="O126" s="19">
        <f>+'Quotation - Summary Sheet ROOMS'!F44</f>
        <v>12</v>
      </c>
      <c r="P126" s="19">
        <f>+'Quotation - Summary Sheet ROOMS'!G44</f>
        <v>8</v>
      </c>
      <c r="Q126" s="18"/>
      <c r="AE126" s="46" t="s">
        <v>386</v>
      </c>
      <c r="AF126" s="19">
        <f>+'Quotation Structure - Room'!C217</f>
        <v>0</v>
      </c>
      <c r="AG126" s="19">
        <f>+'Quotation Structure - Room'!C218</f>
        <v>0</v>
      </c>
      <c r="AH126" s="19">
        <f>+'Quotation Structure - Room'!C219</f>
        <v>0</v>
      </c>
      <c r="AJ126" s="18"/>
    </row>
    <row r="127" spans="2:36" x14ac:dyDescent="0.35">
      <c r="C127" s="46" t="str">
        <f>+'Quotation - Summary Sheet ROOMS'!C21</f>
        <v xml:space="preserve">Standard Floor </v>
      </c>
      <c r="D127" s="30">
        <f t="shared" ref="D127" si="45">+F127/$L$2</f>
        <v>0</v>
      </c>
      <c r="E127" s="30">
        <f t="shared" ref="E127" si="46">+G127/$L$2</f>
        <v>0</v>
      </c>
      <c r="F127" s="19">
        <f>+'Quotation - Summary Sheet ROOMS'!F21</f>
        <v>0</v>
      </c>
      <c r="G127" s="19">
        <f>+'Quotation - Summary Sheet ROOMS'!G21</f>
        <v>0</v>
      </c>
      <c r="H127" s="221"/>
      <c r="L127" s="46" t="s">
        <v>240</v>
      </c>
      <c r="M127" s="30">
        <f t="shared" si="41"/>
        <v>144.00576023040921</v>
      </c>
      <c r="N127" s="30">
        <f t="shared" si="42"/>
        <v>96.003840153606149</v>
      </c>
      <c r="O127" s="19">
        <f>+'Quotation - Summary Sheet ROOMS'!F45</f>
        <v>12</v>
      </c>
      <c r="P127" s="19">
        <f>+'Quotation - Summary Sheet ROOMS'!G45</f>
        <v>8</v>
      </c>
      <c r="Q127" s="18"/>
      <c r="AE127" s="330"/>
      <c r="AF127" s="3"/>
      <c r="AG127" s="3"/>
      <c r="AH127" s="3"/>
      <c r="AJ127" s="18"/>
    </row>
    <row r="128" spans="2:36" x14ac:dyDescent="0.35">
      <c r="C128" s="330"/>
      <c r="D128" s="202"/>
      <c r="E128" s="202"/>
      <c r="F128" s="3"/>
      <c r="G128" s="3"/>
      <c r="H128" s="221"/>
      <c r="L128" s="347" t="s">
        <v>384</v>
      </c>
      <c r="M128" s="347" t="s">
        <v>379</v>
      </c>
      <c r="N128" s="347" t="s">
        <v>385</v>
      </c>
      <c r="O128" s="347" t="s">
        <v>199</v>
      </c>
      <c r="P128" s="347" t="s">
        <v>211</v>
      </c>
      <c r="Q128" s="18"/>
      <c r="AE128" s="330"/>
      <c r="AF128" s="3"/>
      <c r="AG128" s="3"/>
      <c r="AH128" s="3"/>
      <c r="AJ128" s="18"/>
    </row>
    <row r="129" spans="3:36" x14ac:dyDescent="0.35">
      <c r="C129" s="330"/>
      <c r="D129" s="202"/>
      <c r="E129" s="202"/>
      <c r="F129" s="3"/>
      <c r="G129" s="3"/>
      <c r="H129" s="221"/>
      <c r="L129" s="46" t="str">
        <f>+'Quotation - Summary Sheet ROOMS'!C47</f>
        <v>Standard Ceiling</v>
      </c>
      <c r="M129" s="30">
        <f t="shared" ref="M129:M130" si="47">+O129/$L$2</f>
        <v>120.00480019200768</v>
      </c>
      <c r="N129" s="30">
        <f t="shared" ref="N129:N130" si="48">+P129/$L$2</f>
        <v>288.01152046081842</v>
      </c>
      <c r="O129" s="19">
        <f>+'Quotation - Summary Sheet ROOMS'!F47</f>
        <v>10</v>
      </c>
      <c r="P129" s="19">
        <f>+'Quotation - Summary Sheet ROOMS'!G47</f>
        <v>24</v>
      </c>
      <c r="Q129" s="18"/>
      <c r="AE129" s="330"/>
      <c r="AF129" s="3"/>
      <c r="AG129" s="3"/>
      <c r="AH129" s="3"/>
      <c r="AJ129" s="18"/>
    </row>
    <row r="130" spans="3:36" x14ac:dyDescent="0.35">
      <c r="C130" s="330"/>
      <c r="D130" s="202"/>
      <c r="E130" s="202"/>
      <c r="F130" s="3"/>
      <c r="G130" s="3"/>
      <c r="H130" s="221"/>
      <c r="L130" s="46" t="str">
        <f>+'Quotation - Summary Sheet ROOMS'!C48</f>
        <v>Reinforced Floor - Plastic</v>
      </c>
      <c r="M130" s="30">
        <f t="shared" si="47"/>
        <v>120.00480019200768</v>
      </c>
      <c r="N130" s="30">
        <f t="shared" si="48"/>
        <v>288.01152046081842</v>
      </c>
      <c r="O130" s="19">
        <f>+'Quotation - Summary Sheet ROOMS'!F48</f>
        <v>10</v>
      </c>
      <c r="P130" s="19">
        <f>+'Quotation - Summary Sheet ROOMS'!G48</f>
        <v>24</v>
      </c>
      <c r="Q130" s="18"/>
      <c r="AE130" s="330"/>
      <c r="AF130" s="3"/>
      <c r="AG130" s="3"/>
      <c r="AH130" s="3"/>
      <c r="AJ130" s="18"/>
    </row>
    <row r="131" spans="3:36" x14ac:dyDescent="0.35">
      <c r="C131" s="330"/>
      <c r="D131" s="202"/>
      <c r="E131" s="202"/>
      <c r="F131" s="3"/>
      <c r="G131" s="3"/>
      <c r="H131" s="221"/>
      <c r="L131" s="4"/>
      <c r="M131" s="4"/>
      <c r="N131" s="4"/>
      <c r="P131" s="4"/>
      <c r="Q131" s="18"/>
      <c r="AE131" s="330"/>
      <c r="AF131" s="3"/>
      <c r="AG131" s="3"/>
      <c r="AH131" s="3"/>
      <c r="AJ131" s="18"/>
    </row>
    <row r="132" spans="3:36" x14ac:dyDescent="0.35">
      <c r="C132" s="148"/>
      <c r="E132" s="3"/>
      <c r="F132" s="3"/>
      <c r="H132" s="221"/>
      <c r="L132" s="4"/>
      <c r="M132" s="4"/>
      <c r="N132" s="4"/>
      <c r="P132" s="4"/>
      <c r="Q132" s="18"/>
      <c r="AE132" s="148"/>
      <c r="AF132" s="3"/>
      <c r="AG132" s="3"/>
      <c r="AH132" s="3"/>
      <c r="AJ132" s="18"/>
    </row>
    <row r="133" spans="3:36" x14ac:dyDescent="0.35">
      <c r="C133" s="533" t="s">
        <v>387</v>
      </c>
      <c r="D133" s="534"/>
      <c r="E133" s="165" t="s">
        <v>388</v>
      </c>
      <c r="F133" s="3"/>
      <c r="G133" s="533" t="s">
        <v>389</v>
      </c>
      <c r="H133" s="534"/>
      <c r="L133" s="165" t="s">
        <v>387</v>
      </c>
      <c r="M133" s="165"/>
      <c r="N133" s="165" t="s">
        <v>388</v>
      </c>
      <c r="O133" s="3"/>
      <c r="P133" s="932" t="s">
        <v>389</v>
      </c>
      <c r="Q133" s="933"/>
      <c r="AE133" s="932" t="s">
        <v>387</v>
      </c>
      <c r="AF133" s="933"/>
      <c r="AG133" s="165" t="s">
        <v>388</v>
      </c>
      <c r="AH133" s="3"/>
      <c r="AI133" s="932" t="s">
        <v>389</v>
      </c>
      <c r="AJ133" s="933"/>
    </row>
    <row r="134" spans="3:36" x14ac:dyDescent="0.35">
      <c r="C134" s="46" t="s">
        <v>390</v>
      </c>
      <c r="D134" s="30">
        <f>+SUMPRODUCT(D121:D124,E121:E124)</f>
        <v>32051.204045041683</v>
      </c>
      <c r="E134" s="19">
        <f>+'Quotation - Summary Sheet ROOMS'!J15</f>
        <v>222.56</v>
      </c>
      <c r="F134" s="3"/>
      <c r="G134" s="46" t="s">
        <v>391</v>
      </c>
      <c r="H134" s="71">
        <f>+(D134+D135)/(12*12)</f>
        <v>300.9590762445651</v>
      </c>
      <c r="L134" s="46" t="str">
        <f>+'Quotation Structure - Room'!B72</f>
        <v>Wall - Freezer</v>
      </c>
      <c r="M134" s="30">
        <f>+SUMPRODUCT(M121:M124,N121:N124)</f>
        <v>50692.055283315378</v>
      </c>
      <c r="N134" s="30">
        <f>+M134/144</f>
        <v>352.02816168969014</v>
      </c>
      <c r="O134" s="3"/>
      <c r="P134" s="46" t="s">
        <v>391</v>
      </c>
      <c r="Q134" s="19">
        <f>+(M134+M136)/(12*12)</f>
        <v>592.04736284175158</v>
      </c>
      <c r="AE134" s="46" t="s">
        <v>390</v>
      </c>
      <c r="AF134" s="19">
        <f>+((AF126*AH126)*2)+((AG126*AH126)*2)</f>
        <v>0</v>
      </c>
      <c r="AG134" s="19">
        <f>+AF134/144</f>
        <v>0</v>
      </c>
      <c r="AH134" s="3"/>
      <c r="AI134" s="46" t="s">
        <v>391</v>
      </c>
      <c r="AJ134" s="19">
        <f>+(AF134+AF136)/(12*12)</f>
        <v>0</v>
      </c>
    </row>
    <row r="135" spans="3:36" x14ac:dyDescent="0.35">
      <c r="C135" s="46" t="s">
        <v>212</v>
      </c>
      <c r="D135" s="30">
        <f>+D126*E126</f>
        <v>11286.902934175689</v>
      </c>
      <c r="E135" s="19">
        <f>+F126*G126</f>
        <v>78.375</v>
      </c>
      <c r="F135" s="3"/>
      <c r="G135" s="46"/>
      <c r="H135" s="71"/>
      <c r="L135" s="46" t="str">
        <f>+'Quotation Structure - Room'!B73</f>
        <v>Wall - Cooler</v>
      </c>
      <c r="M135" s="30">
        <f>+SUMPRODUCT(M125:M127,N125:N127)</f>
        <v>39171.133628016425</v>
      </c>
      <c r="N135" s="30">
        <f>+M135/144</f>
        <v>272.0217613056696</v>
      </c>
      <c r="O135" s="3"/>
      <c r="P135" s="46"/>
      <c r="Q135" s="19"/>
      <c r="AE135" s="46"/>
      <c r="AF135" s="19"/>
      <c r="AG135" s="19"/>
      <c r="AH135" s="3"/>
      <c r="AI135" s="46"/>
      <c r="AJ135" s="19"/>
    </row>
    <row r="136" spans="3:36" x14ac:dyDescent="0.35">
      <c r="C136" s="46" t="s">
        <v>392</v>
      </c>
      <c r="D136" s="30">
        <f>+D127*E127</f>
        <v>0</v>
      </c>
      <c r="E136" s="19">
        <f>+F127*G127</f>
        <v>0</v>
      </c>
      <c r="F136" s="3"/>
      <c r="G136" s="46" t="s">
        <v>214</v>
      </c>
      <c r="H136" s="71">
        <f>+SUM(D134:D136)/(12*12)</f>
        <v>300.9590762445651</v>
      </c>
      <c r="L136" s="46" t="s">
        <v>212</v>
      </c>
      <c r="M136" s="30">
        <f>+M129*N129</f>
        <v>34562.764965896844</v>
      </c>
      <c r="N136" s="30">
        <f>+M136/144</f>
        <v>240.01920115206141</v>
      </c>
      <c r="O136" s="3"/>
      <c r="P136" s="46" t="s">
        <v>214</v>
      </c>
      <c r="Q136" s="19">
        <f>+SUM(M134:M137)/(12*12)</f>
        <v>1104.0883252994827</v>
      </c>
      <c r="AE136" s="46" t="s">
        <v>212</v>
      </c>
      <c r="AF136" s="19">
        <f>+AF126*AG126</f>
        <v>0</v>
      </c>
      <c r="AG136" s="19">
        <f>+AF136/144</f>
        <v>0</v>
      </c>
      <c r="AH136" s="3"/>
      <c r="AI136" s="46" t="s">
        <v>214</v>
      </c>
      <c r="AJ136" s="19">
        <f>+SUM(AF134:AF137)/(12*12)</f>
        <v>0</v>
      </c>
    </row>
    <row r="137" spans="3:36" ht="41.15" customHeight="1" x14ac:dyDescent="0.35">
      <c r="D137" s="4"/>
      <c r="F137" s="149"/>
      <c r="G137" s="166"/>
      <c r="H137" s="222"/>
      <c r="L137" s="46" t="s">
        <v>392</v>
      </c>
      <c r="M137" s="30">
        <f>+M130*N130</f>
        <v>34562.764965896844</v>
      </c>
      <c r="N137" s="30">
        <f>+M137/144</f>
        <v>240.01920115206141</v>
      </c>
      <c r="O137" s="149"/>
      <c r="P137" s="166"/>
      <c r="Q137" s="23"/>
      <c r="AE137" s="46" t="s">
        <v>392</v>
      </c>
      <c r="AF137" s="19">
        <f>+AF126*AG126</f>
        <v>0</v>
      </c>
      <c r="AG137" s="19">
        <f>+AF137/144</f>
        <v>0</v>
      </c>
      <c r="AH137" s="149"/>
      <c r="AI137" s="166"/>
      <c r="AJ137" s="23"/>
    </row>
    <row r="138" spans="3:36" ht="41.15" customHeight="1" x14ac:dyDescent="0.35">
      <c r="C138" s="76"/>
      <c r="E138" s="3"/>
      <c r="F138" s="3"/>
      <c r="L138" s="76"/>
      <c r="N138" s="3"/>
      <c r="O138" s="3"/>
      <c r="P138" s="4"/>
      <c r="AE138" s="76"/>
      <c r="AF138" s="3"/>
      <c r="AG138" s="3"/>
      <c r="AH138" s="3"/>
    </row>
    <row r="139" spans="3:36" ht="41.15" customHeight="1" x14ac:dyDescent="0.35">
      <c r="C139" s="46" t="s">
        <v>393</v>
      </c>
      <c r="D139" s="46" t="s">
        <v>332</v>
      </c>
      <c r="E139" s="46" t="s">
        <v>394</v>
      </c>
      <c r="F139" s="46" t="s">
        <v>265</v>
      </c>
      <c r="L139" s="46" t="s">
        <v>393</v>
      </c>
      <c r="M139" s="46" t="s">
        <v>332</v>
      </c>
      <c r="N139" s="46" t="s">
        <v>394</v>
      </c>
      <c r="O139" s="46" t="s">
        <v>265</v>
      </c>
      <c r="P139" s="4"/>
      <c r="AE139" s="46" t="s">
        <v>393</v>
      </c>
      <c r="AF139" s="46" t="s">
        <v>332</v>
      </c>
      <c r="AG139" s="46" t="s">
        <v>394</v>
      </c>
      <c r="AH139" s="46" t="s">
        <v>265</v>
      </c>
    </row>
    <row r="140" spans="3:36" ht="41.15" customHeight="1" x14ac:dyDescent="0.35">
      <c r="C140" s="46" t="s">
        <v>395</v>
      </c>
      <c r="D140" s="71">
        <f>+E164</f>
        <v>1538.0451077940861</v>
      </c>
      <c r="E140" s="164">
        <f>+(F140-D140)/F140</f>
        <v>0</v>
      </c>
      <c r="F140" s="189">
        <f>+G164</f>
        <v>1538.0451077940861</v>
      </c>
      <c r="L140" s="46" t="str">
        <f>+L134</f>
        <v>Wall - Freezer</v>
      </c>
      <c r="M140" s="71">
        <f>+N164</f>
        <v>2781.2924234244229</v>
      </c>
      <c r="N140" s="164">
        <f>+(O140-M140)/O140</f>
        <v>0</v>
      </c>
      <c r="O140" s="189">
        <f>+P164</f>
        <v>2781.2924234244229</v>
      </c>
      <c r="P140" s="4"/>
      <c r="AE140" s="46" t="s">
        <v>395</v>
      </c>
      <c r="AF140" s="71" t="e">
        <f>+AG164</f>
        <v>#N/A</v>
      </c>
      <c r="AG140" s="164">
        <v>0.3</v>
      </c>
      <c r="AH140" s="189" t="e">
        <f>+AF140/(1-AG140)</f>
        <v>#N/A</v>
      </c>
    </row>
    <row r="141" spans="3:36" ht="41.15" customHeight="1" x14ac:dyDescent="0.35">
      <c r="C141" s="46" t="s">
        <v>212</v>
      </c>
      <c r="D141" s="71">
        <f>+E178</f>
        <v>554.06797053990613</v>
      </c>
      <c r="E141" s="164">
        <f>+(F141-D141)/F141</f>
        <v>0</v>
      </c>
      <c r="F141" s="189">
        <f>+G178</f>
        <v>554.06797053990613</v>
      </c>
      <c r="L141" s="46" t="str">
        <f>+L135</f>
        <v>Wall - Cooler</v>
      </c>
      <c r="M141" s="71">
        <f>+T164</f>
        <v>2150.5495999188715</v>
      </c>
      <c r="N141" s="164">
        <f t="shared" ref="N141:N143" si="49">+(O141-M141)/O141</f>
        <v>0</v>
      </c>
      <c r="O141" s="189">
        <f>+V164</f>
        <v>2150.5495999188715</v>
      </c>
      <c r="P141" s="4"/>
      <c r="AE141" s="46"/>
      <c r="AF141" s="71"/>
      <c r="AG141" s="164"/>
      <c r="AH141" s="189"/>
    </row>
    <row r="142" spans="3:36" ht="41.15" customHeight="1" x14ac:dyDescent="0.35">
      <c r="C142" s="46" t="s">
        <v>214</v>
      </c>
      <c r="D142" s="71" t="e">
        <f>+E193</f>
        <v>#N/A</v>
      </c>
      <c r="E142" s="164" t="e">
        <f>+(F142-D142)/F142</f>
        <v>#N/A</v>
      </c>
      <c r="F142" s="189" t="e">
        <f>+G193</f>
        <v>#N/A</v>
      </c>
      <c r="L142" s="46" t="s">
        <v>212</v>
      </c>
      <c r="M142" s="71">
        <f>+N178</f>
        <v>1932.3884705166515</v>
      </c>
      <c r="N142" s="164">
        <f t="shared" si="49"/>
        <v>0</v>
      </c>
      <c r="O142" s="189">
        <f>+P178</f>
        <v>1932.3884705166515</v>
      </c>
      <c r="P142" s="4"/>
      <c r="AE142" s="46" t="s">
        <v>212</v>
      </c>
      <c r="AF142" s="71" t="e">
        <f>+AG178</f>
        <v>#N/A</v>
      </c>
      <c r="AG142" s="164">
        <v>0.3</v>
      </c>
      <c r="AH142" s="189" t="e">
        <f t="shared" ref="AH142:AH143" si="50">+AF142/(1-AG142)</f>
        <v>#N/A</v>
      </c>
    </row>
    <row r="143" spans="3:36" ht="41.15" customHeight="1" x14ac:dyDescent="0.35">
      <c r="C143" s="76"/>
      <c r="D143" s="188" t="e">
        <f>+SUM(D140:D142)</f>
        <v>#N/A</v>
      </c>
      <c r="E143" s="3"/>
      <c r="F143" s="188" t="e">
        <f>+SUM(F140:F142)</f>
        <v>#N/A</v>
      </c>
      <c r="L143" s="46" t="s">
        <v>214</v>
      </c>
      <c r="M143" s="71" t="str">
        <f>+N193</f>
        <v/>
      </c>
      <c r="N143" s="164" t="e">
        <f t="shared" si="49"/>
        <v>#N/A</v>
      </c>
      <c r="O143" s="189" t="e">
        <f>+P193</f>
        <v>#N/A</v>
      </c>
      <c r="P143" s="4"/>
      <c r="AE143" s="46" t="s">
        <v>214</v>
      </c>
      <c r="AF143" s="71" t="e">
        <f>+AG193</f>
        <v>#N/A</v>
      </c>
      <c r="AG143" s="164">
        <v>0.3</v>
      </c>
      <c r="AH143" s="189" t="e">
        <f t="shared" si="50"/>
        <v>#N/A</v>
      </c>
    </row>
    <row r="144" spans="3:36" ht="41.15" customHeight="1" x14ac:dyDescent="0.35">
      <c r="D144" s="4"/>
      <c r="L144" s="76"/>
      <c r="M144" s="188">
        <f>+SUM(M140:M143)</f>
        <v>6864.2304938599464</v>
      </c>
      <c r="N144" s="3"/>
      <c r="O144" s="188" t="e">
        <f>+SUM(O140:O143)</f>
        <v>#N/A</v>
      </c>
      <c r="P144" s="4"/>
      <c r="AE144" s="76"/>
      <c r="AF144" s="188" t="e">
        <f>+SUM(AF140:AF143)</f>
        <v>#N/A</v>
      </c>
      <c r="AG144" s="3"/>
      <c r="AH144" s="188" t="e">
        <f>+SUM(AH140:AH143)</f>
        <v>#N/A</v>
      </c>
    </row>
    <row r="145" spans="3:37" ht="41.15" customHeight="1" x14ac:dyDescent="0.35">
      <c r="C145" s="76"/>
      <c r="E145" s="3"/>
      <c r="F145" s="3"/>
      <c r="L145" s="76"/>
      <c r="N145" s="3"/>
      <c r="O145" s="3"/>
      <c r="P145" s="4"/>
      <c r="AE145" s="76"/>
      <c r="AF145" s="3"/>
      <c r="AG145" s="3"/>
      <c r="AH145" s="3"/>
    </row>
    <row r="146" spans="3:37" x14ac:dyDescent="0.35">
      <c r="D146" s="4"/>
      <c r="F146" s="46" t="s">
        <v>396</v>
      </c>
      <c r="G146" s="46"/>
      <c r="H146" s="46"/>
      <c r="I146" s="46"/>
      <c r="L146" s="4"/>
      <c r="M146" s="4"/>
      <c r="N146" s="4"/>
      <c r="O146" s="931" t="s">
        <v>396</v>
      </c>
      <c r="P146" s="931"/>
      <c r="Q146" s="931"/>
      <c r="R146" s="931"/>
      <c r="AH146" s="931" t="s">
        <v>396</v>
      </c>
      <c r="AI146" s="931"/>
      <c r="AJ146" s="931"/>
      <c r="AK146" s="931"/>
    </row>
    <row r="147" spans="3:37" x14ac:dyDescent="0.35">
      <c r="C147" s="119" t="s">
        <v>397</v>
      </c>
      <c r="D147" s="118" t="s">
        <v>398</v>
      </c>
      <c r="E147" s="46" t="s">
        <v>399</v>
      </c>
      <c r="F147" s="46" t="s">
        <v>400</v>
      </c>
      <c r="G147" s="46" t="s">
        <v>401</v>
      </c>
      <c r="H147" s="189" t="s">
        <v>332</v>
      </c>
      <c r="I147" s="46" t="s">
        <v>46</v>
      </c>
      <c r="L147" s="119" t="s">
        <v>397</v>
      </c>
      <c r="M147" s="118" t="s">
        <v>398</v>
      </c>
      <c r="N147" s="46" t="s">
        <v>399</v>
      </c>
      <c r="O147" s="46" t="s">
        <v>400</v>
      </c>
      <c r="P147" s="46" t="s">
        <v>401</v>
      </c>
      <c r="Q147" s="46" t="s">
        <v>332</v>
      </c>
      <c r="R147" s="46" t="s">
        <v>46</v>
      </c>
      <c r="AE147" s="119" t="s">
        <v>397</v>
      </c>
      <c r="AF147" s="118" t="s">
        <v>398</v>
      </c>
      <c r="AG147" s="46" t="s">
        <v>399</v>
      </c>
      <c r="AH147" s="46" t="s">
        <v>400</v>
      </c>
      <c r="AI147" s="46" t="s">
        <v>401</v>
      </c>
      <c r="AJ147" s="46" t="s">
        <v>332</v>
      </c>
      <c r="AK147" s="46" t="s">
        <v>46</v>
      </c>
    </row>
    <row r="148" spans="3:37" x14ac:dyDescent="0.35">
      <c r="C148" s="20" t="str">
        <f>+CONCATENATE(D148,"ft X ",E148,"ft")</f>
        <v>2ft X 2ft</v>
      </c>
      <c r="D148" s="121">
        <v>2</v>
      </c>
      <c r="E148" s="19">
        <v>2</v>
      </c>
      <c r="F148" s="19">
        <f>+E148*D148</f>
        <v>4</v>
      </c>
      <c r="G148" s="19">
        <f>ROUNDUP((SQRT((D126*E126)/(F148/$L$4))+1)*(SQRT((D126*E126)/(F148/$L$4))+1),0)</f>
        <v>30</v>
      </c>
      <c r="H148" s="71" t="e">
        <f>IF(ISBLANK('Quotation Structure - Room'!#REF!),"",INDEX('Cost Sheet'!$N:$N,MATCH('Quotation Structure - Room'!#REF!,'Cost Sheet'!$C:$C,0)))*G148</f>
        <v>#REF!</v>
      </c>
      <c r="I148" s="71" t="e">
        <f>IF(ISBLANK('Quotation Structure - Room'!#REF!),"",INDEX('Cost Sheet'!$P:$P,MATCH('Quotation Structure - Room'!#REF!,'Cost Sheet'!$C:$C,0)))*G148</f>
        <v>#REF!</v>
      </c>
      <c r="L148" s="20" t="str">
        <f>+CONCATENATE(M148,"ft X ",N148,"ft")</f>
        <v>2ft X 2ft</v>
      </c>
      <c r="M148" s="121">
        <v>2</v>
      </c>
      <c r="N148" s="19">
        <v>2</v>
      </c>
      <c r="O148" s="19">
        <f>+N148*M148</f>
        <v>4</v>
      </c>
      <c r="P148" s="19">
        <f>ROUNDUP((SQRT((M126*N126)/(O148/$L$4))+1)*(SQRT((M126*N126)/(O148/$L$4))+1),0)</f>
        <v>35</v>
      </c>
      <c r="Q148" s="71" t="e">
        <f>IF(ISBLANK('Quotation Structure - Room'!#REF!),"",INDEX('Cost Sheet'!$N:$N,MATCH('Quotation Structure - Room'!#REF!,'Cost Sheet'!$C:$C,0)))*P148</f>
        <v>#REF!</v>
      </c>
      <c r="R148" s="71" t="e">
        <f>IF(ISBLANK('Quotation Structure - Room'!#REF!),"",INDEX('Cost Sheet'!$P:$P,MATCH('Quotation Structure - Room'!#REF!,'Cost Sheet'!$C:$C,0)))*P148</f>
        <v>#REF!</v>
      </c>
      <c r="AE148" s="20" t="str">
        <f>+CONCATENATE(AF148,"ft X ",AG148,"ft")</f>
        <v>2ft X 2ft</v>
      </c>
      <c r="AF148" s="121">
        <v>2</v>
      </c>
      <c r="AG148" s="19">
        <v>2</v>
      </c>
      <c r="AH148" s="19">
        <f>+AG148*AF148</f>
        <v>4</v>
      </c>
      <c r="AI148" s="19">
        <f>ROUNDUP((SQRT((AF126*AG126)/(AH148/$L$4))+1)*(SQRT((AF126*AG126)/(AH148/$L$4))+1),0)</f>
        <v>1</v>
      </c>
      <c r="AJ148" s="71" t="e">
        <f>IF(ISBLANK('Quotation Structure - Room'!$C$224),"",INDEX('Cost Sheet'!$N:$N,MATCH('Quotation Structure - Room'!$C$224,'Cost Sheet'!$C:$C,0)))*AI148</f>
        <v>#VALUE!</v>
      </c>
      <c r="AK148" s="71" t="e">
        <f>IF(ISBLANK('Quotation Structure - Room'!#REF!),"",INDEX('Cost Sheet'!$P:$P,MATCH('Quotation Structure - Room'!#REF!,'Cost Sheet'!$C:$C,0)))*AI148</f>
        <v>#REF!</v>
      </c>
    </row>
    <row r="149" spans="3:37" ht="37" customHeight="1" x14ac:dyDescent="0.35">
      <c r="C149" s="20" t="str">
        <f>+CONCATENATE(D149,"ft X ",E149,"ft")</f>
        <v>4ft X 4ft</v>
      </c>
      <c r="D149" s="121">
        <v>4</v>
      </c>
      <c r="E149" s="19">
        <v>4</v>
      </c>
      <c r="F149" s="19">
        <f>+E149*D149</f>
        <v>16</v>
      </c>
      <c r="G149" s="19">
        <f>ROUNDUP((SQRT((D126*E126)/(F149/$L$4))+1)*(SQRT((D126*E126)/(F149/$L$4))+1),0)</f>
        <v>11</v>
      </c>
      <c r="H149" s="71" t="e">
        <f>IF(ISBLANK('Quotation Structure - Room'!#REF!),"",INDEX('Cost Sheet'!$N:$N,MATCH('Quotation Structure - Room'!#REF!,'Cost Sheet'!$C:$C,0)))*G149</f>
        <v>#REF!</v>
      </c>
      <c r="I149" s="71" t="e">
        <f>IF(ISBLANK('Quotation Structure - Room'!#REF!),"",INDEX('Cost Sheet'!$P:$P,MATCH('Quotation Structure - Room'!#REF!,'Cost Sheet'!$C:$C,0)))*G149</f>
        <v>#REF!</v>
      </c>
      <c r="L149" s="20" t="str">
        <f>+CONCATENATE(M149,"ft X ",N149,"ft")</f>
        <v>4ft X 4ft</v>
      </c>
      <c r="M149" s="121">
        <v>4</v>
      </c>
      <c r="N149" s="19">
        <v>4</v>
      </c>
      <c r="O149" s="19">
        <f>+N149*M149</f>
        <v>16</v>
      </c>
      <c r="P149" s="19">
        <f>ROUNDUP((SQRT((M126*N126)/(O149/$L$4))+1)*(SQRT((M126*N126)/(O149/$L$4))+1),0)</f>
        <v>12</v>
      </c>
      <c r="Q149" s="71" t="e">
        <f>IF(ISBLANK('Quotation Structure - Room'!#REF!),"",INDEX('Cost Sheet'!$N:$N,MATCH('Quotation Structure - Room'!#REF!,'Cost Sheet'!$C:$C,0)))*P149</f>
        <v>#REF!</v>
      </c>
      <c r="R149" s="71" t="e">
        <f>IF(ISBLANK('Quotation Structure - Room'!#REF!),"",INDEX('Cost Sheet'!$P:$P,MATCH('Quotation Structure - Room'!#REF!,'Cost Sheet'!$C:$C,0)))*P149</f>
        <v>#REF!</v>
      </c>
      <c r="AE149" s="20" t="str">
        <f>+CONCATENATE(AF149,"ft X ",AG149,"ft")</f>
        <v>4ft X 4ft</v>
      </c>
      <c r="AF149" s="121">
        <v>4</v>
      </c>
      <c r="AG149" s="19">
        <v>4</v>
      </c>
      <c r="AH149" s="19">
        <f>+AG149*AF149</f>
        <v>16</v>
      </c>
      <c r="AI149" s="19">
        <f>ROUNDUP((SQRT((AF126*AG126)/(AH149/$L$4))+1)*(SQRT((AF126*AG126)/(AH149/$L$4))+1),0)</f>
        <v>1</v>
      </c>
      <c r="AJ149" s="71" t="e">
        <f>IF(ISBLANK('Quotation Structure - Room'!$C$224),"",INDEX('Cost Sheet'!$N:$N,MATCH('Quotation Structure - Room'!$C$224,'Cost Sheet'!$C:$C,0)))*AI149</f>
        <v>#VALUE!</v>
      </c>
      <c r="AK149" s="71" t="e">
        <f>IF(ISBLANK('Quotation Structure - Room'!#REF!),"",INDEX('Cost Sheet'!$P:$P,MATCH('Quotation Structure - Room'!#REF!,'Cost Sheet'!$C:$C,0)))*AI149</f>
        <v>#REF!</v>
      </c>
    </row>
    <row r="150" spans="3:37" x14ac:dyDescent="0.35">
      <c r="C150" s="16"/>
      <c r="D150" s="16"/>
      <c r="E150" s="105"/>
      <c r="F150" s="105"/>
      <c r="G150" s="16"/>
      <c r="H150" s="223"/>
      <c r="I150" s="16"/>
      <c r="J150" s="16"/>
      <c r="K150" s="223"/>
      <c r="AE150" s="3"/>
      <c r="AF150" s="3"/>
      <c r="AG150" s="16"/>
      <c r="AI150" s="15"/>
    </row>
    <row r="151" spans="3:37" x14ac:dyDescent="0.35">
      <c r="C151" s="16"/>
      <c r="D151" s="4"/>
      <c r="E151" s="15"/>
      <c r="AE151" s="3"/>
      <c r="AF151" s="3"/>
      <c r="AG151" s="16"/>
      <c r="AI151" s="15"/>
    </row>
    <row r="152" spans="3:37" x14ac:dyDescent="0.35">
      <c r="C152" s="541"/>
      <c r="D152" s="541"/>
      <c r="E152" s="541"/>
      <c r="F152" s="541"/>
      <c r="G152" s="541"/>
      <c r="I152" s="3"/>
      <c r="AE152" s="3"/>
      <c r="AF152" s="3"/>
      <c r="AG152" s="16"/>
      <c r="AI152" s="15"/>
    </row>
    <row r="153" spans="3:37" ht="31" x14ac:dyDescent="0.35">
      <c r="C153" s="118" t="s">
        <v>402</v>
      </c>
      <c r="D153" s="118"/>
      <c r="E153" s="118"/>
      <c r="F153" s="118"/>
      <c r="G153" s="118"/>
      <c r="I153" s="118" t="s">
        <v>999</v>
      </c>
      <c r="J153" s="118" t="s">
        <v>408</v>
      </c>
      <c r="L153" s="516" t="s">
        <v>402</v>
      </c>
      <c r="M153" s="517"/>
      <c r="N153" s="517"/>
      <c r="O153" s="517"/>
      <c r="P153" s="518"/>
      <c r="R153" s="926" t="s">
        <v>402</v>
      </c>
      <c r="S153" s="927"/>
      <c r="T153" s="927"/>
      <c r="U153" s="927"/>
      <c r="V153" s="928"/>
      <c r="AE153" s="926" t="s">
        <v>402</v>
      </c>
      <c r="AF153" s="927"/>
      <c r="AG153" s="927"/>
      <c r="AH153" s="927"/>
      <c r="AI153" s="928"/>
    </row>
    <row r="154" spans="3:37" x14ac:dyDescent="0.35">
      <c r="C154" s="119" t="s">
        <v>403</v>
      </c>
      <c r="D154" s="19">
        <f>+E134</f>
        <v>222.56</v>
      </c>
      <c r="E154" s="19"/>
      <c r="F154" s="19"/>
      <c r="G154" s="19"/>
      <c r="I154" s="19">
        <v>3</v>
      </c>
      <c r="J154" s="189">
        <v>2.2999999999999998</v>
      </c>
      <c r="L154" s="119" t="s">
        <v>403</v>
      </c>
      <c r="M154" s="30">
        <f>+N134</f>
        <v>352.02816168969014</v>
      </c>
      <c r="N154" s="19"/>
      <c r="O154" s="19"/>
      <c r="P154" s="19"/>
      <c r="R154" s="119" t="s">
        <v>403</v>
      </c>
      <c r="S154" s="30">
        <f>+N135</f>
        <v>272.0217613056696</v>
      </c>
      <c r="T154" s="19"/>
      <c r="U154" s="19"/>
      <c r="V154" s="19"/>
      <c r="AE154" s="119" t="s">
        <v>403</v>
      </c>
      <c r="AF154" s="19">
        <f>+AG134</f>
        <v>0</v>
      </c>
      <c r="AG154" s="119" t="s">
        <v>404</v>
      </c>
      <c r="AH154" s="19">
        <f>+$AH$126</f>
        <v>0</v>
      </c>
      <c r="AI154" s="19"/>
    </row>
    <row r="155" spans="3:37" x14ac:dyDescent="0.35">
      <c r="C155" s="119" t="s">
        <v>405</v>
      </c>
      <c r="D155" s="30">
        <f>+SUM(D121:D124)</f>
        <v>333.85335413416539</v>
      </c>
      <c r="E155" s="19"/>
      <c r="F155" s="19"/>
      <c r="G155" s="19"/>
      <c r="I155" s="19">
        <v>4</v>
      </c>
      <c r="J155" s="189">
        <v>2.5499999999999998</v>
      </c>
      <c r="L155" s="119" t="s">
        <v>405</v>
      </c>
      <c r="M155" s="30">
        <f>+SUM(M121:M124)</f>
        <v>528.02112084483383</v>
      </c>
      <c r="N155" s="19"/>
      <c r="O155" s="19"/>
      <c r="P155" s="19"/>
      <c r="R155" s="119" t="s">
        <v>405</v>
      </c>
      <c r="S155" s="30">
        <f>+SUM(M125:M127)</f>
        <v>408.01632065282615</v>
      </c>
      <c r="T155" s="19"/>
      <c r="U155" s="19"/>
      <c r="V155" s="19"/>
      <c r="AE155" s="119" t="s">
        <v>406</v>
      </c>
      <c r="AF155" s="19">
        <f>+$AF$126</f>
        <v>0</v>
      </c>
      <c r="AG155" s="119" t="s">
        <v>399</v>
      </c>
      <c r="AH155" s="19">
        <f>+$AG$126</f>
        <v>0</v>
      </c>
      <c r="AI155" s="19"/>
    </row>
    <row r="156" spans="3:37" x14ac:dyDescent="0.35">
      <c r="C156" s="119" t="s">
        <v>407</v>
      </c>
      <c r="D156" s="19">
        <v>47</v>
      </c>
      <c r="E156" s="19"/>
      <c r="F156" s="19"/>
      <c r="G156" s="19"/>
      <c r="I156" s="19">
        <v>5</v>
      </c>
      <c r="J156" s="189">
        <v>3.3</v>
      </c>
      <c r="L156" s="119" t="s">
        <v>407</v>
      </c>
      <c r="M156" s="19">
        <v>47</v>
      </c>
      <c r="N156" s="19"/>
      <c r="O156" s="19"/>
      <c r="P156" s="19"/>
      <c r="R156" s="119" t="s">
        <v>407</v>
      </c>
      <c r="S156" s="19">
        <v>49</v>
      </c>
      <c r="T156" s="19"/>
      <c r="U156" s="19"/>
      <c r="V156" s="19"/>
      <c r="AE156" s="119" t="s">
        <v>407</v>
      </c>
      <c r="AF156" s="19">
        <v>49</v>
      </c>
      <c r="AG156" s="119" t="s">
        <v>409</v>
      </c>
      <c r="AH156" s="19">
        <v>49</v>
      </c>
      <c r="AI156" s="19"/>
    </row>
    <row r="157" spans="3:37" x14ac:dyDescent="0.35">
      <c r="C157" s="119" t="s">
        <v>410</v>
      </c>
      <c r="D157" s="19">
        <f>+ROUNDUP((D155/D156),0)</f>
        <v>8</v>
      </c>
      <c r="E157" s="19"/>
      <c r="F157" s="19"/>
      <c r="G157" s="19"/>
      <c r="I157" s="19">
        <v>6</v>
      </c>
      <c r="J157" s="189">
        <v>4.1500000000000004</v>
      </c>
      <c r="L157" s="119" t="s">
        <v>410</v>
      </c>
      <c r="M157" s="19">
        <f>+ROUNDUP((M155/M156),0)</f>
        <v>12</v>
      </c>
      <c r="N157" s="19"/>
      <c r="O157" s="19"/>
      <c r="P157" s="19"/>
      <c r="R157" s="119" t="s">
        <v>410</v>
      </c>
      <c r="S157" s="19">
        <f>+ROUNDUP((S155/S156),0)</f>
        <v>9</v>
      </c>
      <c r="T157" s="19"/>
      <c r="U157" s="19"/>
      <c r="V157" s="19"/>
      <c r="AE157" s="119" t="s">
        <v>410</v>
      </c>
      <c r="AF157" s="19">
        <f>+ROUNDUP((AF155/AF156),0)*2</f>
        <v>0</v>
      </c>
      <c r="AG157" s="119" t="s">
        <v>410</v>
      </c>
      <c r="AH157" s="19">
        <f>+ROUNDUP((AH155/AH156),0)*2</f>
        <v>0</v>
      </c>
      <c r="AI157" s="19"/>
    </row>
    <row r="158" spans="3:37" ht="41.15" customHeight="1" x14ac:dyDescent="0.35">
      <c r="C158" s="513"/>
      <c r="D158" s="514"/>
      <c r="E158" s="514"/>
      <c r="F158" s="514"/>
      <c r="G158" s="515"/>
      <c r="L158" s="513"/>
      <c r="M158" s="514"/>
      <c r="N158" s="514"/>
      <c r="O158" s="514"/>
      <c r="P158" s="515"/>
      <c r="R158" s="923"/>
      <c r="S158" s="924"/>
      <c r="T158" s="924"/>
      <c r="U158" s="924"/>
      <c r="V158" s="925"/>
      <c r="AE158" s="923"/>
      <c r="AF158" s="924"/>
      <c r="AG158" s="924"/>
      <c r="AH158" s="924"/>
      <c r="AI158" s="925"/>
    </row>
    <row r="159" spans="3:37" ht="41.15" customHeight="1" x14ac:dyDescent="0.35">
      <c r="C159" s="119"/>
      <c r="D159" s="118" t="s">
        <v>411</v>
      </c>
      <c r="E159" s="118" t="s">
        <v>412</v>
      </c>
      <c r="F159" s="118" t="s">
        <v>316</v>
      </c>
      <c r="G159" s="46" t="s">
        <v>265</v>
      </c>
      <c r="I159" s="118" t="s">
        <v>1000</v>
      </c>
      <c r="J159" s="118" t="s">
        <v>408</v>
      </c>
      <c r="L159" s="119"/>
      <c r="M159" s="118" t="s">
        <v>411</v>
      </c>
      <c r="N159" s="118" t="s">
        <v>412</v>
      </c>
      <c r="O159" s="118" t="s">
        <v>316</v>
      </c>
      <c r="P159" s="46" t="s">
        <v>265</v>
      </c>
      <c r="R159" s="119"/>
      <c r="S159" s="118" t="s">
        <v>411</v>
      </c>
      <c r="T159" s="118" t="s">
        <v>412</v>
      </c>
      <c r="U159" s="118" t="s">
        <v>316</v>
      </c>
      <c r="V159" s="46" t="s">
        <v>265</v>
      </c>
      <c r="AE159" s="119"/>
      <c r="AF159" s="118" t="s">
        <v>411</v>
      </c>
      <c r="AG159" s="118" t="s">
        <v>412</v>
      </c>
      <c r="AH159" s="118" t="s">
        <v>316</v>
      </c>
      <c r="AI159" s="46" t="s">
        <v>265</v>
      </c>
    </row>
    <row r="160" spans="3:37" x14ac:dyDescent="0.35">
      <c r="C160" s="119" t="s">
        <v>413</v>
      </c>
      <c r="D160" s="71">
        <f>+INDEX('Cost Sheet'!$N:$N,MATCH('Quotation Structure - Room'!$C$39,'Cost Sheet'!$C:$C,0))+INDEX('Cost Sheet'!$N:$N,MATCH('Quotation Structure - Room'!$D$39,'Cost Sheet'!$C:$C,0))</f>
        <v>2.233341569887159</v>
      </c>
      <c r="E160" s="71">
        <f>+D160*E134</f>
        <v>497.05249979408615</v>
      </c>
      <c r="F160" s="561">
        <f>+'Product Mark-up'!$G$9</f>
        <v>0</v>
      </c>
      <c r="G160" s="189">
        <f>+E160/(1-F160)</f>
        <v>497.05249979408615</v>
      </c>
      <c r="I160" s="19">
        <v>3</v>
      </c>
      <c r="J160" s="189">
        <v>2.4500000000000002</v>
      </c>
      <c r="L160" s="119" t="s">
        <v>413</v>
      </c>
      <c r="M160" s="71">
        <f>+INDEX('Cost Sheet'!$N:$N,MATCH('Quotation Structure - Room'!$C$72,'Cost Sheet'!$C:$C,0))+INDEX('Cost Sheet'!$N:$N,MATCH('Quotation Structure - Room'!$D$72,'Cost Sheet'!$C:$C,0))</f>
        <v>2.3647146034099333</v>
      </c>
      <c r="N160" s="71">
        <f>+M160*M154</f>
        <v>832.44613475916356</v>
      </c>
      <c r="O160" s="561">
        <f>+'Product Mark-up'!$G$9</f>
        <v>0</v>
      </c>
      <c r="P160" s="189">
        <f>+N160/(1-O160)</f>
        <v>832.44613475916356</v>
      </c>
      <c r="R160" s="119" t="s">
        <v>413</v>
      </c>
      <c r="S160" s="71">
        <f>+INDEX('Cost Sheet'!$N:$N,MATCH('Quotation Structure - Room'!$C$73,'Cost Sheet'!$C:$C,0))</f>
        <v>1.1823573017049667</v>
      </c>
      <c r="T160" s="71">
        <f>+S160*S154*2</f>
        <v>643.25383140480801</v>
      </c>
      <c r="U160" s="164">
        <f>+'Product Mark-up'!$G$9</f>
        <v>0</v>
      </c>
      <c r="V160" s="189">
        <f>+T160/(1-U160)</f>
        <v>643.25383140480801</v>
      </c>
      <c r="AE160" s="119" t="s">
        <v>413</v>
      </c>
      <c r="AF160" s="71" t="e">
        <f>+INDEX('Cost Sheet'!$N:$N,MATCH('Quotation Structure - Room'!$C$222,'Cost Sheet'!$C:$C,0))</f>
        <v>#N/A</v>
      </c>
      <c r="AG160" s="71" t="e">
        <f>+AF160*AF154*2</f>
        <v>#N/A</v>
      </c>
      <c r="AH160" s="164">
        <v>0.3</v>
      </c>
      <c r="AI160" s="189" t="e">
        <f>+AG160/(1-AH160)</f>
        <v>#N/A</v>
      </c>
    </row>
    <row r="161" spans="2:35" x14ac:dyDescent="0.35">
      <c r="B161" s="180"/>
      <c r="C161" s="119" t="s">
        <v>369</v>
      </c>
      <c r="D161" s="71">
        <f>+INDEX($Q$7:$Q$11,MATCH('Quotation Structure - Room'!$E$39,'Calculation Sheet - BOM '!$P$7:$P$11,0))</f>
        <v>2.1518000000000002</v>
      </c>
      <c r="E161" s="71">
        <f>+D161*E134</f>
        <v>478.90460800000005</v>
      </c>
      <c r="F161" s="561">
        <f>+'Product Mark-up'!$G$9</f>
        <v>0</v>
      </c>
      <c r="G161" s="189">
        <f t="shared" ref="G161:G163" si="51">+E161/(1-F161)</f>
        <v>478.90460800000005</v>
      </c>
      <c r="I161" s="19">
        <v>4</v>
      </c>
      <c r="J161" s="189">
        <v>2.65</v>
      </c>
      <c r="L161" s="119" t="s">
        <v>369</v>
      </c>
      <c r="M161" s="71">
        <f>+INDEX($Q$7:$Q$11,MATCH('Quotation Structure - Room'!$E$72,'Calculation Sheet - BOM '!$P$7:$P$11,0))</f>
        <v>2.8434499999999998</v>
      </c>
      <c r="N161" s="71">
        <f>+M161*M154</f>
        <v>1000.9744763565493</v>
      </c>
      <c r="O161" s="561">
        <f>+'Product Mark-up'!$G$9</f>
        <v>0</v>
      </c>
      <c r="P161" s="189">
        <f t="shared" ref="P161:P163" si="52">+N161/(1-O161)</f>
        <v>1000.9744763565493</v>
      </c>
      <c r="R161" s="119" t="s">
        <v>369</v>
      </c>
      <c r="S161" s="71">
        <f>+INDEX($Q$7:$Q$11,MATCH('Quotation Structure - Room'!$E$73,'Calculation Sheet - BOM '!$P$7:$P$11,0))</f>
        <v>2.8434499999999998</v>
      </c>
      <c r="T161" s="71">
        <f>+S161*S154</f>
        <v>773.48027718460617</v>
      </c>
      <c r="U161" s="164">
        <f>+'Product Mark-up'!$G$9</f>
        <v>0</v>
      </c>
      <c r="V161" s="189">
        <f t="shared" ref="V161:V163" si="53">+T161/(1-U161)</f>
        <v>773.48027718460617</v>
      </c>
      <c r="AE161" s="119" t="s">
        <v>369</v>
      </c>
      <c r="AF161" s="71" t="e">
        <f>+INDEX($Q$7:$Q$11,MATCH('Quotation Structure - Room'!$F$216,'Calculation Sheet - BOM '!$P$7:$P$11,0))</f>
        <v>#N/A</v>
      </c>
      <c r="AG161" s="71" t="e">
        <f>+AF161*AF154</f>
        <v>#N/A</v>
      </c>
      <c r="AH161" s="164">
        <v>0.3</v>
      </c>
      <c r="AI161" s="189" t="e">
        <f t="shared" ref="AI161:AI163" si="54">+AG161/(1-AH161)</f>
        <v>#N/A</v>
      </c>
    </row>
    <row r="162" spans="2:35" x14ac:dyDescent="0.35">
      <c r="C162" s="119" t="s">
        <v>414</v>
      </c>
      <c r="D162" s="71">
        <f>+SUM('Cost Sheet'!$M$29:$M$30)</f>
        <v>2.5100000000000002</v>
      </c>
      <c r="E162" s="71">
        <f>+D162*EVEN(SUM(E121:E124)/48)*2</f>
        <v>50.2</v>
      </c>
      <c r="F162" s="561">
        <f>+'Product Mark-up'!$G$9</f>
        <v>0</v>
      </c>
      <c r="G162" s="189">
        <f t="shared" si="51"/>
        <v>50.2</v>
      </c>
      <c r="I162" s="19">
        <v>5</v>
      </c>
      <c r="J162" s="189">
        <v>3.65</v>
      </c>
      <c r="L162" s="119" t="s">
        <v>414</v>
      </c>
      <c r="M162" s="71">
        <f>+SUM('Cost Sheet'!$M$29:$M$30)</f>
        <v>2.5100000000000002</v>
      </c>
      <c r="N162" s="71">
        <f>+M162*EVEN(SUM(N121:N124)/48)*2</f>
        <v>50.2</v>
      </c>
      <c r="O162" s="561">
        <f>+'Product Mark-up'!$G$9</f>
        <v>0</v>
      </c>
      <c r="P162" s="189">
        <f t="shared" si="52"/>
        <v>50.2</v>
      </c>
      <c r="R162" s="119" t="s">
        <v>414</v>
      </c>
      <c r="S162" s="71">
        <f>+SUM('Cost Sheet'!$M$29:$M$30)</f>
        <v>2.5100000000000002</v>
      </c>
      <c r="T162" s="71">
        <f>+S162*EVEN(SUM(N125:N127)/48)*2</f>
        <v>40.160000000000004</v>
      </c>
      <c r="U162" s="164">
        <f>+'Product Mark-up'!$G$9</f>
        <v>0</v>
      </c>
      <c r="V162" s="189">
        <f t="shared" si="53"/>
        <v>40.160000000000004</v>
      </c>
      <c r="AE162" s="119" t="s">
        <v>414</v>
      </c>
      <c r="AF162" s="71">
        <f>+SUM('Cost Sheet'!$M$29:$M$30)*(AH126/48)</f>
        <v>0</v>
      </c>
      <c r="AG162" s="71">
        <f>+AF162*(AF157+AH157)*2</f>
        <v>0</v>
      </c>
      <c r="AH162" s="164">
        <v>0.3</v>
      </c>
      <c r="AI162" s="189">
        <f t="shared" si="54"/>
        <v>0</v>
      </c>
    </row>
    <row r="163" spans="2:35" ht="38.5" customHeight="1" x14ac:dyDescent="0.35">
      <c r="B163" s="180"/>
      <c r="C163" s="119" t="s">
        <v>133</v>
      </c>
      <c r="D163" s="71">
        <f>+INDEX($J$154:$J$157,MATCH('Quotation Structure - Room'!$E$39,'Calculation Sheet - BOM '!$I$154:$I$157,0))</f>
        <v>2.2999999999999998</v>
      </c>
      <c r="E163" s="71">
        <f>+D163*E134</f>
        <v>511.88799999999998</v>
      </c>
      <c r="F163" s="561">
        <f>+'Product Mark-up'!$G$9</f>
        <v>0</v>
      </c>
      <c r="G163" s="189">
        <f t="shared" si="51"/>
        <v>511.88799999999998</v>
      </c>
      <c r="I163" s="19">
        <v>6</v>
      </c>
      <c r="J163" s="189">
        <v>4.3499999999999996</v>
      </c>
      <c r="L163" s="119" t="s">
        <v>133</v>
      </c>
      <c r="M163" s="71">
        <f>+INDEX($J$154:$J$157,MATCH('Quotation Structure - Room'!$E$72,'Calculation Sheet - BOM '!$I$154:$I$157,0))</f>
        <v>2.5499999999999998</v>
      </c>
      <c r="N163" s="71">
        <f>+M163*N134</f>
        <v>897.67181230870983</v>
      </c>
      <c r="O163" s="561">
        <f>+'Product Mark-up'!$G$9</f>
        <v>0</v>
      </c>
      <c r="P163" s="189">
        <f t="shared" si="52"/>
        <v>897.67181230870983</v>
      </c>
      <c r="R163" s="119" t="s">
        <v>133</v>
      </c>
      <c r="S163" s="71">
        <f>+INDEX($J$154:$J$157,MATCH('Quotation Structure - Room'!$E$73,'Calculation Sheet - BOM '!$I$154:$I$157,0))</f>
        <v>2.5499999999999998</v>
      </c>
      <c r="T163" s="71">
        <f>+S163*N135</f>
        <v>693.65549132945739</v>
      </c>
      <c r="U163" s="164">
        <f>+'Product Mark-up'!$G$9</f>
        <v>0</v>
      </c>
      <c r="V163" s="189">
        <f t="shared" si="53"/>
        <v>693.65549132945739</v>
      </c>
      <c r="AE163" s="119" t="s">
        <v>133</v>
      </c>
      <c r="AF163" s="71" t="e">
        <f>+INDEX($J$154:$J$157,MATCH('Quotation Structure - Room'!$F$216,'Calculation Sheet - BOM '!$I$154:$I$157,0))</f>
        <v>#N/A</v>
      </c>
      <c r="AG163" s="71" t="e">
        <f>+AF163*AG134</f>
        <v>#N/A</v>
      </c>
      <c r="AH163" s="164">
        <v>0.3</v>
      </c>
      <c r="AI163" s="189" t="e">
        <f t="shared" si="54"/>
        <v>#N/A</v>
      </c>
    </row>
    <row r="164" spans="2:35" x14ac:dyDescent="0.35">
      <c r="C164" s="16"/>
      <c r="D164" s="4"/>
      <c r="E164" s="71">
        <f>SUM(E160:E163)</f>
        <v>1538.0451077940861</v>
      </c>
      <c r="F164" s="561">
        <f>+'Product Mark-up'!$G$9</f>
        <v>0</v>
      </c>
      <c r="G164" s="189">
        <f>SUM(G160:G163)</f>
        <v>1538.0451077940861</v>
      </c>
      <c r="L164" s="16"/>
      <c r="M164" s="4"/>
      <c r="N164" s="71">
        <f>SUM(N160:N163)</f>
        <v>2781.2924234244229</v>
      </c>
      <c r="O164" s="561">
        <f>+'Product Mark-up'!$G$9</f>
        <v>0</v>
      </c>
      <c r="P164" s="189">
        <f>SUM(P160:P163)</f>
        <v>2781.2924234244229</v>
      </c>
      <c r="R164" s="16"/>
      <c r="T164" s="71">
        <f>SUM(T160:T163)</f>
        <v>2150.5495999188715</v>
      </c>
      <c r="U164" s="164">
        <f>+'Product Mark-up'!$G$9</f>
        <v>0</v>
      </c>
      <c r="V164" s="189">
        <f>SUM(V160:V163)</f>
        <v>2150.5495999188715</v>
      </c>
      <c r="AE164" s="16"/>
      <c r="AG164" s="71" t="e">
        <f>SUM(AG160:AG163)</f>
        <v>#N/A</v>
      </c>
      <c r="AH164" s="164">
        <v>0.3</v>
      </c>
      <c r="AI164" s="189" t="e">
        <f>SUM(AI160:AI163)</f>
        <v>#N/A</v>
      </c>
    </row>
    <row r="165" spans="2:35" ht="16" thickBot="1" x14ac:dyDescent="0.4">
      <c r="C165" s="16"/>
      <c r="D165" s="4"/>
      <c r="E165" s="15"/>
      <c r="L165" s="16"/>
      <c r="M165" s="4"/>
      <c r="N165" s="15"/>
      <c r="P165" s="4"/>
      <c r="AE165" s="16"/>
      <c r="AG165" s="15"/>
    </row>
    <row r="166" spans="2:35" ht="15.65" customHeight="1" x14ac:dyDescent="0.35">
      <c r="C166" s="538" t="s">
        <v>415</v>
      </c>
      <c r="D166" s="539"/>
      <c r="E166" s="539"/>
      <c r="F166" s="539"/>
      <c r="G166" s="540"/>
      <c r="I166" s="118" t="s">
        <v>416</v>
      </c>
      <c r="J166" s="118" t="s">
        <v>408</v>
      </c>
      <c r="L166" s="516" t="s">
        <v>415</v>
      </c>
      <c r="M166" s="517"/>
      <c r="N166" s="517"/>
      <c r="O166" s="517"/>
      <c r="P166" s="518"/>
      <c r="AE166" s="926" t="s">
        <v>415</v>
      </c>
      <c r="AF166" s="927"/>
      <c r="AG166" s="927"/>
      <c r="AH166" s="927"/>
      <c r="AI166" s="928"/>
    </row>
    <row r="167" spans="2:35" x14ac:dyDescent="0.35">
      <c r="C167" s="335" t="s">
        <v>406</v>
      </c>
      <c r="D167" s="30">
        <f>+$D$126</f>
        <v>99.003960158406329</v>
      </c>
      <c r="E167" s="119" t="s">
        <v>399</v>
      </c>
      <c r="F167" s="30">
        <f>+$E$126</f>
        <v>114.00456018240729</v>
      </c>
      <c r="G167" s="336"/>
      <c r="I167" s="19">
        <v>3</v>
      </c>
      <c r="J167" s="189">
        <v>2.2999999999999998</v>
      </c>
      <c r="L167" s="335" t="s">
        <v>406</v>
      </c>
      <c r="M167" s="30">
        <f>+$M$129</f>
        <v>120.00480019200768</v>
      </c>
      <c r="N167" s="119" t="s">
        <v>399</v>
      </c>
      <c r="O167" s="30">
        <f>+$N$129</f>
        <v>288.01152046081842</v>
      </c>
      <c r="P167" s="19"/>
      <c r="AE167" s="119" t="s">
        <v>406</v>
      </c>
      <c r="AF167" s="19">
        <f>+$AF$126</f>
        <v>0</v>
      </c>
      <c r="AG167" s="119" t="s">
        <v>399</v>
      </c>
      <c r="AH167" s="19">
        <f>+$AG$126</f>
        <v>0</v>
      </c>
      <c r="AI167" s="19"/>
    </row>
    <row r="168" spans="2:35" x14ac:dyDescent="0.35">
      <c r="D168" s="4"/>
      <c r="E168" s="119" t="s">
        <v>409</v>
      </c>
      <c r="F168" s="346">
        <v>47</v>
      </c>
      <c r="G168" s="336"/>
      <c r="I168" s="19">
        <v>4</v>
      </c>
      <c r="J168" s="189">
        <v>2.5499999999999998</v>
      </c>
      <c r="L168" s="188"/>
      <c r="M168" s="188"/>
      <c r="N168" s="119" t="s">
        <v>409</v>
      </c>
      <c r="O168" s="346">
        <v>47</v>
      </c>
      <c r="P168" s="19"/>
      <c r="AE168" s="119" t="s">
        <v>407</v>
      </c>
      <c r="AF168" s="30" t="e">
        <f>+INDEX($M$147:$M$149,MATCH('Quotation Structure - Room'!$E$74,'Calculation Sheet - BOM '!$L$147:$L$149,0))/'Calculation Sheet - BOM '!$L$2</f>
        <v>#N/A</v>
      </c>
      <c r="AG168" s="119" t="s">
        <v>409</v>
      </c>
      <c r="AH168" s="30" t="e">
        <f>+INDEX($E$147:$E$149,MATCH('Quotation Structure - Room'!$E$40,'Calculation Sheet - BOM '!$C$147:$C$149,0))/'Calculation Sheet - BOM '!$L$2</f>
        <v>#N/A</v>
      </c>
      <c r="AI168" s="19"/>
    </row>
    <row r="169" spans="2:35" x14ac:dyDescent="0.35">
      <c r="D169" s="4"/>
      <c r="E169" s="119" t="s">
        <v>410</v>
      </c>
      <c r="F169" s="19">
        <f>+ROUNDUP((F167/F168),0)</f>
        <v>3</v>
      </c>
      <c r="G169" s="336"/>
      <c r="I169" s="19">
        <v>5</v>
      </c>
      <c r="J169" s="189">
        <v>3.3</v>
      </c>
      <c r="L169" s="188"/>
      <c r="M169" s="188"/>
      <c r="N169" s="119" t="s">
        <v>410</v>
      </c>
      <c r="O169" s="19">
        <f>+ROUNDUP((O167/O168),0)</f>
        <v>7</v>
      </c>
      <c r="P169" s="19"/>
      <c r="AE169" s="119" t="s">
        <v>410</v>
      </c>
      <c r="AF169" s="19" t="e">
        <f>+ROUNDUP((AF167/AF168),0)*2</f>
        <v>#N/A</v>
      </c>
      <c r="AG169" s="119" t="s">
        <v>410</v>
      </c>
      <c r="AH169" s="19" t="e">
        <f>+ROUNDUP((AH167/AH168),0)*2</f>
        <v>#N/A</v>
      </c>
      <c r="AI169" s="19"/>
    </row>
    <row r="170" spans="2:35" x14ac:dyDescent="0.35">
      <c r="C170" s="528"/>
      <c r="D170" s="514"/>
      <c r="E170" s="514"/>
      <c r="F170" s="514"/>
      <c r="G170" s="529"/>
      <c r="I170" s="19">
        <v>6</v>
      </c>
      <c r="J170" s="189">
        <v>4.1500000000000004</v>
      </c>
      <c r="L170" s="513"/>
      <c r="M170" s="514"/>
      <c r="N170" s="514"/>
      <c r="O170" s="514"/>
      <c r="P170" s="515"/>
      <c r="AE170" s="923"/>
      <c r="AF170" s="924"/>
      <c r="AG170" s="924"/>
      <c r="AH170" s="924"/>
      <c r="AI170" s="925"/>
    </row>
    <row r="171" spans="2:35" ht="31" x14ac:dyDescent="0.35">
      <c r="C171" s="335"/>
      <c r="D171" s="118" t="s">
        <v>411</v>
      </c>
      <c r="E171" s="118" t="s">
        <v>412</v>
      </c>
      <c r="F171" s="118" t="s">
        <v>316</v>
      </c>
      <c r="G171" s="337" t="s">
        <v>265</v>
      </c>
      <c r="L171" s="119"/>
      <c r="M171" s="118" t="s">
        <v>411</v>
      </c>
      <c r="N171" s="118" t="s">
        <v>412</v>
      </c>
      <c r="O171" s="118" t="s">
        <v>316</v>
      </c>
      <c r="P171" s="46" t="s">
        <v>265</v>
      </c>
      <c r="AE171" s="119"/>
      <c r="AF171" s="118" t="s">
        <v>411</v>
      </c>
      <c r="AG171" s="118" t="s">
        <v>412</v>
      </c>
      <c r="AH171" s="118" t="s">
        <v>316</v>
      </c>
      <c r="AI171" s="46" t="s">
        <v>265</v>
      </c>
    </row>
    <row r="172" spans="2:35" ht="31" x14ac:dyDescent="0.35">
      <c r="C172" s="335" t="s">
        <v>413</v>
      </c>
      <c r="D172" s="71">
        <f>+INDEX('Cost Sheet'!$N:$N,MATCH('Quotation Structure - Room'!$C$40,'Cost Sheet'!$C:$C,0))+INDEX('Cost Sheet'!$N:$N,MATCH('Quotation Structure - Room'!$D$40,'Cost Sheet'!$C:$C,0))</f>
        <v>2.233341569887159</v>
      </c>
      <c r="E172" s="71">
        <f>+D172*E135</f>
        <v>175.03814553990608</v>
      </c>
      <c r="F172" s="561">
        <f>+'Product Mark-up'!$G$9</f>
        <v>0</v>
      </c>
      <c r="G172" s="338">
        <f>+E172/(1-F172)</f>
        <v>175.03814553990608</v>
      </c>
      <c r="I172" s="118" t="s">
        <v>417</v>
      </c>
      <c r="J172" s="118" t="s">
        <v>408</v>
      </c>
      <c r="L172" s="119" t="s">
        <v>413</v>
      </c>
      <c r="M172" s="71">
        <f>+INDEX('Cost Sheet'!$N:$N,MATCH('Quotation Structure - Room'!$C$74,'Cost Sheet'!$C:$C,0))+INDEX('Cost Sheet'!$N:$N,MATCH('Quotation Structure - Room'!$D$74,'Cost Sheet'!$C:$C,0))</f>
        <v>2.3647146034099333</v>
      </c>
      <c r="N172" s="71">
        <f>+M172*N136</f>
        <v>567.57691006306595</v>
      </c>
      <c r="O172" s="561">
        <f>+'Product Mark-up'!$G$9</f>
        <v>0</v>
      </c>
      <c r="P172" s="189">
        <f>+N172/(1-O172)</f>
        <v>567.57691006306595</v>
      </c>
      <c r="AE172" s="119" t="s">
        <v>413</v>
      </c>
      <c r="AF172" s="71" t="e">
        <f>+INDEX('Cost Sheet'!$N:$N,MATCH('Quotation Structure - Room'!$C$222,'Cost Sheet'!$C:$C,0))</f>
        <v>#N/A</v>
      </c>
      <c r="AG172" s="71" t="e">
        <f>+AF172*2*AG136</f>
        <v>#N/A</v>
      </c>
      <c r="AH172" s="164">
        <v>0.3</v>
      </c>
      <c r="AI172" s="189" t="e">
        <f>+AG172/(1-AH172)</f>
        <v>#N/A</v>
      </c>
    </row>
    <row r="173" spans="2:35" x14ac:dyDescent="0.35">
      <c r="C173" s="335" t="s">
        <v>369</v>
      </c>
      <c r="D173" s="71">
        <f>+INDEX($Q$7:$Q$11,MATCH('Quotation Structure - Room'!$E$40,'Calculation Sheet - BOM '!$P$7:$P$11,0))</f>
        <v>2.1518000000000002</v>
      </c>
      <c r="E173" s="71">
        <f>+D173*E135</f>
        <v>168.64732500000002</v>
      </c>
      <c r="F173" s="561">
        <f>+'Product Mark-up'!$G$9</f>
        <v>0</v>
      </c>
      <c r="G173" s="338">
        <f t="shared" ref="G173:G176" si="55">+E173/(1-F173)</f>
        <v>168.64732500000002</v>
      </c>
      <c r="I173" s="19">
        <v>3</v>
      </c>
      <c r="J173" s="189">
        <v>2.65</v>
      </c>
      <c r="L173" s="119" t="s">
        <v>369</v>
      </c>
      <c r="M173" s="71">
        <f>+INDEX($Q$7:$Q$11,MATCH('Quotation Structure - Room'!$E$74,'Calculation Sheet - BOM '!$P$7:$P$11,0))</f>
        <v>2.8434499999999998</v>
      </c>
      <c r="N173" s="71">
        <f>+M173*N136</f>
        <v>682.48259751582896</v>
      </c>
      <c r="O173" s="561">
        <f>+'Product Mark-up'!$G$9</f>
        <v>0</v>
      </c>
      <c r="P173" s="189">
        <f t="shared" ref="P173:P177" si="56">+N173/(1-O173)</f>
        <v>682.48259751582896</v>
      </c>
      <c r="AE173" s="119" t="s">
        <v>369</v>
      </c>
      <c r="AF173" s="71" t="e">
        <f>+INDEX($Q$7:$Q$11,MATCH('Quotation Structure - Room'!$F$216,'Calculation Sheet - BOM '!$P$7:$P$11,0))</f>
        <v>#N/A</v>
      </c>
      <c r="AG173" s="71" t="e">
        <f>+AF173*AG136</f>
        <v>#N/A</v>
      </c>
      <c r="AH173" s="164">
        <v>0.3</v>
      </c>
      <c r="AI173" s="189" t="e">
        <f t="shared" ref="AI173:AI175" si="57">+AG173/(1-AH173)</f>
        <v>#N/A</v>
      </c>
    </row>
    <row r="174" spans="2:35" x14ac:dyDescent="0.35">
      <c r="C174" s="335" t="s">
        <v>414</v>
      </c>
      <c r="D174" s="71">
        <f>+SUM('Cost Sheet'!$M$29:$M$30)</f>
        <v>2.5100000000000002</v>
      </c>
      <c r="E174" s="71">
        <f>+D174*(F169)*4</f>
        <v>30.120000000000005</v>
      </c>
      <c r="F174" s="561">
        <f>+'Product Mark-up'!$G$9</f>
        <v>0</v>
      </c>
      <c r="G174" s="338">
        <f t="shared" si="55"/>
        <v>30.120000000000005</v>
      </c>
      <c r="I174" s="19">
        <v>4</v>
      </c>
      <c r="J174" s="189">
        <v>2.95</v>
      </c>
      <c r="L174" s="119" t="s">
        <v>414</v>
      </c>
      <c r="M174" s="71">
        <f>+SUM('Cost Sheet'!$M$29:$M$30)</f>
        <v>2.5100000000000002</v>
      </c>
      <c r="N174" s="71">
        <f>+M174*(O169)*4</f>
        <v>70.28</v>
      </c>
      <c r="O174" s="561">
        <f>+'Product Mark-up'!$G$9</f>
        <v>0</v>
      </c>
      <c r="P174" s="189">
        <f t="shared" si="56"/>
        <v>70.28</v>
      </c>
      <c r="AE174" s="119" t="s">
        <v>414</v>
      </c>
      <c r="AF174" s="71">
        <f>+SUM('Cost Sheet'!$M$29:$M$30)*(IF('Quotation Structure - Room'!$D$223='Calculation Sheet - BOM '!$L$148,1,2))</f>
        <v>5.0200000000000005</v>
      </c>
      <c r="AG174" s="71" t="e">
        <f>+AF174*(AF169+AH169)*2</f>
        <v>#N/A</v>
      </c>
      <c r="AH174" s="164">
        <v>0.3</v>
      </c>
      <c r="AI174" s="189" t="e">
        <f t="shared" si="57"/>
        <v>#N/A</v>
      </c>
    </row>
    <row r="175" spans="2:35" x14ac:dyDescent="0.35">
      <c r="C175" s="335" t="s">
        <v>133</v>
      </c>
      <c r="D175" s="71">
        <f>+INDEX($J$167:$J$170,MATCH('Quotation Structure - Room'!$E$39,'Calculation Sheet - BOM '!$I$167:$I$170,0))</f>
        <v>2.2999999999999998</v>
      </c>
      <c r="E175" s="71">
        <f>+D175*E135</f>
        <v>180.26249999999999</v>
      </c>
      <c r="F175" s="561">
        <f>+'Product Mark-up'!$G$9</f>
        <v>0</v>
      </c>
      <c r="G175" s="338">
        <f t="shared" si="55"/>
        <v>180.26249999999999</v>
      </c>
      <c r="I175" s="19">
        <v>5</v>
      </c>
      <c r="J175" s="189">
        <v>3.65</v>
      </c>
      <c r="L175" s="119" t="s">
        <v>133</v>
      </c>
      <c r="M175" s="71">
        <f>+INDEX($J$167:$J$170,MATCH('Quotation Structure - Room'!$E$74,'Calculation Sheet - BOM '!$I$167:$I$170,0))</f>
        <v>2.5499999999999998</v>
      </c>
      <c r="N175" s="71">
        <f>+M175*N136</f>
        <v>612.04896293775653</v>
      </c>
      <c r="O175" s="561">
        <f>+'Product Mark-up'!$G$9</f>
        <v>0</v>
      </c>
      <c r="P175" s="189">
        <f t="shared" si="56"/>
        <v>612.04896293775653</v>
      </c>
      <c r="AE175" s="119" t="s">
        <v>133</v>
      </c>
      <c r="AF175" s="71" t="e">
        <f>+INDEX($J$167:$J$170,MATCH('Quotation Structure - Room'!$F$216,'Calculation Sheet - BOM '!$I$167:$I$170,0))</f>
        <v>#N/A</v>
      </c>
      <c r="AG175" s="71" t="e">
        <f>+AF175*AG136</f>
        <v>#N/A</v>
      </c>
      <c r="AH175" s="164">
        <v>0.3</v>
      </c>
      <c r="AI175" s="189" t="e">
        <f t="shared" si="57"/>
        <v>#N/A</v>
      </c>
    </row>
    <row r="176" spans="2:35" ht="31" x14ac:dyDescent="0.35">
      <c r="C176" s="335" t="s">
        <v>418</v>
      </c>
      <c r="D176" s="71">
        <f>+'Cost Sheet'!$N$197</f>
        <v>2.6249999999999987</v>
      </c>
      <c r="E176" s="71">
        <f>+D176*(D167/12)*2*F169</f>
        <v>129.94269770790822</v>
      </c>
      <c r="F176" s="561">
        <f>+'Product Mark-up'!$G$9</f>
        <v>0</v>
      </c>
      <c r="G176" s="338">
        <f t="shared" si="55"/>
        <v>129.94269770790822</v>
      </c>
      <c r="I176" s="19">
        <v>6</v>
      </c>
      <c r="J176" s="189">
        <v>4.3499999999999996</v>
      </c>
      <c r="L176" s="335" t="s">
        <v>418</v>
      </c>
      <c r="M176" s="71">
        <f>+'Cost Sheet'!$N$197</f>
        <v>2.6249999999999987</v>
      </c>
      <c r="N176" s="71">
        <f>+M176*(M167/12)*2*O169</f>
        <v>367.51470058802329</v>
      </c>
      <c r="O176" s="561">
        <f>+'Product Mark-up'!$G$9</f>
        <v>0</v>
      </c>
      <c r="P176" s="338">
        <f t="shared" si="56"/>
        <v>367.51470058802329</v>
      </c>
      <c r="AE176" s="334"/>
      <c r="AF176" s="188"/>
      <c r="AG176" s="71"/>
      <c r="AH176" s="164"/>
      <c r="AI176" s="189"/>
    </row>
    <row r="177" spans="1:35" x14ac:dyDescent="0.35">
      <c r="C177" s="335" t="s">
        <v>419</v>
      </c>
      <c r="D177" s="71">
        <f>+INDEX($J$173:$J$176,MATCH('Quotation Structure - Room'!$E$40,'Calculation Sheet - BOM '!$I$173:$I$176,0))</f>
        <v>2.65</v>
      </c>
      <c r="E177" s="71">
        <f>+D177*E135</f>
        <v>207.69374999999999</v>
      </c>
      <c r="F177" s="561">
        <f>+'Product Mark-up'!$G$9</f>
        <v>0</v>
      </c>
      <c r="G177" s="338">
        <f t="shared" ref="G177" si="58">+E177/(1-F177)</f>
        <v>207.69374999999999</v>
      </c>
      <c r="L177" s="335" t="s">
        <v>419</v>
      </c>
      <c r="M177" s="71">
        <f>+INDEX($J$173:$J$176,MATCH('Quotation Structure - Room'!$E$74,'Calculation Sheet - BOM '!$I$173:$I$176,0))</f>
        <v>2.95</v>
      </c>
      <c r="N177" s="71">
        <f>+M177*N135</f>
        <v>802.46419585172532</v>
      </c>
      <c r="O177" s="561">
        <f>+'Product Mark-up'!$G$9</f>
        <v>0</v>
      </c>
      <c r="P177" s="338">
        <f t="shared" si="56"/>
        <v>802.46419585172532</v>
      </c>
      <c r="AE177" s="334"/>
      <c r="AF177" s="188"/>
      <c r="AG177" s="71"/>
      <c r="AH177" s="164"/>
      <c r="AI177" s="189"/>
    </row>
    <row r="178" spans="1:35" ht="16" thickBot="1" x14ac:dyDescent="0.4">
      <c r="C178" s="342"/>
      <c r="D178" s="343"/>
      <c r="E178" s="344">
        <f>IF($C$126=$C$113,SUM(E172:E175),IF($C$126=$C$114,SUM(E172,E173,E176:E177),""))</f>
        <v>554.06797053990613</v>
      </c>
      <c r="F178" s="562">
        <f>+'Product Mark-up'!$G$9</f>
        <v>0</v>
      </c>
      <c r="G178" s="344">
        <f>IF($C$126=$C$113,SUM(G172:G175),IF($C$126=$C$114,SUM(G172,G173,G176:G177),""))</f>
        <v>554.06797053990613</v>
      </c>
      <c r="L178" s="342"/>
      <c r="M178" s="343"/>
      <c r="N178" s="344">
        <f>IF($L$129=$C$113,SUM(N172:N175),IF($L$129=$C$114,SUM(N172,N173,N176:N177),""))</f>
        <v>1932.3884705166515</v>
      </c>
      <c r="O178" s="561">
        <f>+'Product Mark-up'!$G$9</f>
        <v>0</v>
      </c>
      <c r="P178" s="344">
        <f>IF($L$129=$C$113,SUM(P172:P175),IF($L$129=$C$114,SUM(P172,P173,P176:P177),""))</f>
        <v>1932.3884705166515</v>
      </c>
      <c r="AE178" s="16"/>
      <c r="AG178" s="71" t="e">
        <f>SUM(AG172:AG175)</f>
        <v>#N/A</v>
      </c>
      <c r="AH178" s="164">
        <v>0.3</v>
      </c>
      <c r="AI178" s="189" t="e">
        <f>SUM(AI172:AI175)</f>
        <v>#N/A</v>
      </c>
    </row>
    <row r="179" spans="1:35" ht="16" thickBot="1" x14ac:dyDescent="0.4">
      <c r="C179" s="16"/>
      <c r="D179" s="4"/>
      <c r="E179" s="15"/>
      <c r="L179" s="16"/>
      <c r="M179" s="4"/>
      <c r="N179" s="15"/>
      <c r="P179" s="4"/>
      <c r="AE179" s="16"/>
      <c r="AG179" s="15"/>
    </row>
    <row r="180" spans="1:35" ht="31" x14ac:dyDescent="0.35">
      <c r="C180" s="538" t="s">
        <v>420</v>
      </c>
      <c r="D180" s="539"/>
      <c r="E180" s="539"/>
      <c r="F180" s="539"/>
      <c r="G180" s="540"/>
      <c r="I180" s="118" t="s">
        <v>421</v>
      </c>
      <c r="J180" s="118" t="s">
        <v>408</v>
      </c>
      <c r="L180" s="516" t="s">
        <v>420</v>
      </c>
      <c r="M180" s="517"/>
      <c r="N180" s="517"/>
      <c r="O180" s="517"/>
      <c r="P180" s="518"/>
      <c r="AE180" s="926" t="s">
        <v>420</v>
      </c>
      <c r="AF180" s="927"/>
      <c r="AG180" s="927"/>
      <c r="AH180" s="927"/>
      <c r="AI180" s="928"/>
    </row>
    <row r="181" spans="1:35" x14ac:dyDescent="0.35">
      <c r="C181" s="335" t="s">
        <v>406</v>
      </c>
      <c r="D181" s="30">
        <f>+$D$127</f>
        <v>0</v>
      </c>
      <c r="E181" s="119" t="s">
        <v>399</v>
      </c>
      <c r="F181" s="30">
        <f>+$E$127</f>
        <v>0</v>
      </c>
      <c r="G181" s="336"/>
      <c r="I181" s="19">
        <v>3</v>
      </c>
      <c r="J181" s="189">
        <v>2.5499999999999998</v>
      </c>
      <c r="L181" s="335" t="s">
        <v>406</v>
      </c>
      <c r="M181" s="30">
        <f>+$M$130</f>
        <v>120.00480019200768</v>
      </c>
      <c r="N181" s="119" t="s">
        <v>399</v>
      </c>
      <c r="O181" s="30">
        <f>+$N$130</f>
        <v>288.01152046081842</v>
      </c>
      <c r="P181" s="336"/>
      <c r="AE181" s="119" t="s">
        <v>406</v>
      </c>
      <c r="AF181" s="19">
        <f>+$AF$126</f>
        <v>0</v>
      </c>
      <c r="AG181" s="119" t="s">
        <v>399</v>
      </c>
      <c r="AH181" s="19">
        <f>+$AG$126</f>
        <v>0</v>
      </c>
      <c r="AI181" s="19"/>
    </row>
    <row r="182" spans="1:35" x14ac:dyDescent="0.35">
      <c r="C182" s="335" t="s">
        <v>407</v>
      </c>
      <c r="D182" s="346">
        <v>47</v>
      </c>
      <c r="E182" s="119" t="s">
        <v>409</v>
      </c>
      <c r="F182" s="346">
        <v>47</v>
      </c>
      <c r="G182" s="336"/>
      <c r="I182" s="19">
        <v>4</v>
      </c>
      <c r="J182" s="189">
        <v>2.85</v>
      </c>
      <c r="L182" s="335" t="s">
        <v>407</v>
      </c>
      <c r="M182" s="346">
        <v>24</v>
      </c>
      <c r="N182" s="119" t="s">
        <v>409</v>
      </c>
      <c r="O182" s="346">
        <v>24</v>
      </c>
      <c r="P182" s="336"/>
      <c r="AE182" s="119" t="s">
        <v>407</v>
      </c>
      <c r="AF182" s="30" t="e">
        <f>+INDEX($M$147:$M$149,MATCH('Quotation Structure - Room'!$E$75,'Calculation Sheet - BOM '!$L$147:$L$149,0))/'Calculation Sheet - BOM '!$L$2</f>
        <v>#N/A</v>
      </c>
      <c r="AG182" s="119" t="s">
        <v>409</v>
      </c>
      <c r="AH182" s="30" t="e">
        <f>+INDEX($E$147:$E$149,MATCH('Quotation Structure - Room'!$E$41,'Calculation Sheet - BOM '!$C$147:$C$149,0))/'Calculation Sheet - BOM '!$L$2</f>
        <v>#N/A</v>
      </c>
      <c r="AI182" s="19"/>
    </row>
    <row r="183" spans="1:35" x14ac:dyDescent="0.35">
      <c r="C183" s="335" t="s">
        <v>410</v>
      </c>
      <c r="D183" s="19">
        <f>+ROUNDUP((D181/D182),0)</f>
        <v>0</v>
      </c>
      <c r="E183" s="119" t="s">
        <v>410</v>
      </c>
      <c r="F183" s="19">
        <f>+ROUNDUP((F181/F182),0)</f>
        <v>0</v>
      </c>
      <c r="G183" s="336"/>
      <c r="I183" s="19">
        <v>5</v>
      </c>
      <c r="J183" s="189">
        <v>6.55</v>
      </c>
      <c r="L183" s="335" t="s">
        <v>410</v>
      </c>
      <c r="M183" s="19">
        <f>+ROUNDUP((M181/M182),0)</f>
        <v>6</v>
      </c>
      <c r="N183" s="119" t="s">
        <v>410</v>
      </c>
      <c r="O183" s="19">
        <f>+ROUNDUP((O181/O182),0)</f>
        <v>13</v>
      </c>
      <c r="P183" s="336"/>
      <c r="AE183" s="119" t="s">
        <v>410</v>
      </c>
      <c r="AF183" s="19" t="e">
        <f>+ROUNDUP((AF181/AF182),0)*2</f>
        <v>#N/A</v>
      </c>
      <c r="AG183" s="119" t="s">
        <v>410</v>
      </c>
      <c r="AH183" s="19" t="e">
        <f>+ROUNDUP((AH181/AH182),0)*2</f>
        <v>#N/A</v>
      </c>
      <c r="AI183" s="19"/>
    </row>
    <row r="184" spans="1:35" x14ac:dyDescent="0.35">
      <c r="C184" s="528"/>
      <c r="D184" s="514"/>
      <c r="E184" s="514"/>
      <c r="F184" s="514"/>
      <c r="G184" s="529"/>
      <c r="I184" s="19">
        <v>6</v>
      </c>
      <c r="J184" s="189">
        <v>4.25</v>
      </c>
      <c r="L184" s="513"/>
      <c r="M184" s="514"/>
      <c r="N184" s="514"/>
      <c r="O184" s="514"/>
      <c r="P184" s="515"/>
      <c r="AE184" s="923"/>
      <c r="AF184" s="924"/>
      <c r="AG184" s="924"/>
      <c r="AH184" s="924"/>
      <c r="AI184" s="925"/>
    </row>
    <row r="185" spans="1:35" ht="31" x14ac:dyDescent="0.35">
      <c r="C185" s="335"/>
      <c r="D185" s="118" t="s">
        <v>411</v>
      </c>
      <c r="E185" s="118" t="s">
        <v>412</v>
      </c>
      <c r="F185" s="118" t="s">
        <v>316</v>
      </c>
      <c r="G185" s="337" t="s">
        <v>265</v>
      </c>
      <c r="L185" s="119"/>
      <c r="M185" s="118" t="s">
        <v>411</v>
      </c>
      <c r="N185" s="118" t="s">
        <v>412</v>
      </c>
      <c r="O185" s="118" t="s">
        <v>316</v>
      </c>
      <c r="P185" s="46" t="s">
        <v>265</v>
      </c>
      <c r="AE185" s="119"/>
      <c r="AF185" s="118" t="s">
        <v>411</v>
      </c>
      <c r="AG185" s="118" t="s">
        <v>412</v>
      </c>
      <c r="AH185" s="118" t="s">
        <v>316</v>
      </c>
      <c r="AI185" s="46" t="s">
        <v>265</v>
      </c>
    </row>
    <row r="186" spans="1:35" ht="31" x14ac:dyDescent="0.35">
      <c r="C186" s="335" t="s">
        <v>413</v>
      </c>
      <c r="D186" s="71">
        <f>+INDEX('Cost Sheet'!$N:$N,MATCH('Quotation Structure - Room'!$C$41,'Cost Sheet'!$C:$C,0))+INDEX('Cost Sheet'!$N:$N,MATCH('Quotation Structure - Room'!$D$41,'Cost Sheet'!$C:$C,0))</f>
        <v>3.1924072476272647</v>
      </c>
      <c r="E186" s="71">
        <f>+D186*E136</f>
        <v>0</v>
      </c>
      <c r="F186" s="561">
        <f>+'Product Mark-up'!$G$9</f>
        <v>0</v>
      </c>
      <c r="G186" s="338">
        <f>+E186/(1-F186)</f>
        <v>0</v>
      </c>
      <c r="I186" s="118" t="s">
        <v>422</v>
      </c>
      <c r="J186" s="118" t="s">
        <v>408</v>
      </c>
      <c r="L186" s="119" t="s">
        <v>413</v>
      </c>
      <c r="M186" s="71">
        <f>+INDEX('Cost Sheet'!$N:$N,MATCH('Quotation Structure - Room'!$C$75,'Cost Sheet'!$C:$C,0))+INDEX('Cost Sheet'!$N:$N,MATCH('Quotation Structure - Room'!$D$75,'Cost Sheet'!$C:$C,0))</f>
        <v>3.1924072476272647</v>
      </c>
      <c r="N186" s="71">
        <f>+M186*N137</f>
        <v>766.23903732754718</v>
      </c>
      <c r="O186" s="561">
        <f>+'Product Mark-up'!$G$9</f>
        <v>0</v>
      </c>
      <c r="P186" s="189">
        <f>+N186/(1-O186)</f>
        <v>766.23903732754718</v>
      </c>
      <c r="AE186" s="119" t="s">
        <v>413</v>
      </c>
      <c r="AF186" s="71" t="e">
        <f>+INDEX('Cost Sheet'!$N:$N,MATCH('Quotation Structure - Room'!$C$222,'Cost Sheet'!$C:$C,0))</f>
        <v>#N/A</v>
      </c>
      <c r="AG186" s="71" t="e">
        <f>+AF186*2*AG137</f>
        <v>#N/A</v>
      </c>
      <c r="AH186" s="164">
        <v>0.3</v>
      </c>
      <c r="AI186" s="189" t="e">
        <f>+AG186/(1-AH186)</f>
        <v>#N/A</v>
      </c>
    </row>
    <row r="187" spans="1:35" x14ac:dyDescent="0.35">
      <c r="A187" s="4">
        <f>3/4</f>
        <v>0.75</v>
      </c>
      <c r="C187" s="335" t="s">
        <v>369</v>
      </c>
      <c r="D187" s="71" t="e">
        <f>+INDEX($Q$7:$Q$11,MATCH('Quotation Structure - Room'!$E$41,'Calculation Sheet - BOM '!$P$7:$P$11,0))</f>
        <v>#N/A</v>
      </c>
      <c r="E187" s="71" t="e">
        <f>+D187*E136</f>
        <v>#N/A</v>
      </c>
      <c r="F187" s="561">
        <f>+'Product Mark-up'!$G$9</f>
        <v>0</v>
      </c>
      <c r="G187" s="338" t="e">
        <f t="shared" ref="G187:G192" si="59">+E187/(1-F187)</f>
        <v>#N/A</v>
      </c>
      <c r="I187" s="19">
        <v>3</v>
      </c>
      <c r="J187" s="189">
        <v>3.5</v>
      </c>
      <c r="L187" s="119" t="s">
        <v>369</v>
      </c>
      <c r="M187" s="71">
        <f>+INDEX($Q$7:$Q$11,MATCH('Quotation Structure - Room'!$E$75,'Calculation Sheet - BOM '!$P$7:$P$11,0))</f>
        <v>2.8434499999999998</v>
      </c>
      <c r="N187" s="71">
        <f>+M187*N137</f>
        <v>682.48259751582896</v>
      </c>
      <c r="O187" s="561">
        <f>+'Product Mark-up'!$G$9</f>
        <v>0</v>
      </c>
      <c r="P187" s="189">
        <f t="shared" ref="P187:P192" si="60">+N187/(1-O187)</f>
        <v>682.48259751582896</v>
      </c>
      <c r="AE187" s="119" t="s">
        <v>369</v>
      </c>
      <c r="AF187" s="71" t="e">
        <f>+INDEX($Q$7:$Q$11,MATCH('Quotation Structure - Room'!$F$216,'Calculation Sheet - BOM '!$P$7:$P$11,0))</f>
        <v>#N/A</v>
      </c>
      <c r="AG187" s="71" t="e">
        <f>+AF187*AG137</f>
        <v>#N/A</v>
      </c>
      <c r="AH187" s="164">
        <v>0.3</v>
      </c>
      <c r="AI187" s="189" t="e">
        <f t="shared" ref="AI187:AI189" si="61">+AG187/(1-AH187)</f>
        <v>#N/A</v>
      </c>
    </row>
    <row r="188" spans="1:35" x14ac:dyDescent="0.35">
      <c r="A188" s="4">
        <f>7/16</f>
        <v>0.4375</v>
      </c>
      <c r="C188" s="335" t="s">
        <v>414</v>
      </c>
      <c r="D188" s="71">
        <f>+SUM('Cost Sheet'!$M$29:$M$30)</f>
        <v>2.5100000000000002</v>
      </c>
      <c r="E188" s="71">
        <f>+D188*(D183+F183)*2</f>
        <v>0</v>
      </c>
      <c r="F188" s="561">
        <f>+'Product Mark-up'!$G$9</f>
        <v>0</v>
      </c>
      <c r="G188" s="338">
        <f t="shared" si="59"/>
        <v>0</v>
      </c>
      <c r="I188" s="19">
        <v>4</v>
      </c>
      <c r="J188" s="189">
        <v>4.6500000000000004</v>
      </c>
      <c r="L188" s="119" t="s">
        <v>414</v>
      </c>
      <c r="M188" s="71">
        <f>+SUM('Cost Sheet'!$M$29:$M$30)</f>
        <v>2.5100000000000002</v>
      </c>
      <c r="N188" s="71">
        <f>+M188*(M183+O183)*2</f>
        <v>95.38000000000001</v>
      </c>
      <c r="O188" s="561">
        <f>+'Product Mark-up'!$G$9</f>
        <v>0</v>
      </c>
      <c r="P188" s="189">
        <f t="shared" si="60"/>
        <v>95.38000000000001</v>
      </c>
      <c r="AE188" s="119" t="s">
        <v>414</v>
      </c>
      <c r="AF188" s="71">
        <f>+SUM('Cost Sheet'!$M$29:$M$30)*(IF('Quotation Structure - Room'!$D$225='Calculation Sheet - BOM '!$L$148,1,2))</f>
        <v>5.0200000000000005</v>
      </c>
      <c r="AG188" s="71" t="e">
        <f>+AF188*(AF183+AH183)*2</f>
        <v>#N/A</v>
      </c>
      <c r="AH188" s="164">
        <v>0.3</v>
      </c>
      <c r="AI188" s="189" t="e">
        <f t="shared" si="61"/>
        <v>#N/A</v>
      </c>
    </row>
    <row r="189" spans="1:35" x14ac:dyDescent="0.35">
      <c r="C189" s="335" t="s">
        <v>133</v>
      </c>
      <c r="D189" s="71">
        <f>+INDEX(J$181:$J184,MATCH('Quotation Structure - Room'!$E$39,'Calculation Sheet - BOM '!$I$181:$I$184,0))</f>
        <v>2.5499999999999998</v>
      </c>
      <c r="E189" s="71">
        <f>+D189*E136</f>
        <v>0</v>
      </c>
      <c r="F189" s="561">
        <f>+'Product Mark-up'!$G$9</f>
        <v>0</v>
      </c>
      <c r="G189" s="338">
        <f t="shared" si="59"/>
        <v>0</v>
      </c>
      <c r="I189" s="19">
        <v>5</v>
      </c>
      <c r="J189" s="189">
        <v>5.85</v>
      </c>
      <c r="L189" s="119" t="s">
        <v>133</v>
      </c>
      <c r="M189" s="71">
        <f>+INDEX($J$181:$J$184,MATCH('Quotation Structure - Room'!$E$75,'Calculation Sheet - BOM '!$I$181:$I$184,0))</f>
        <v>2.85</v>
      </c>
      <c r="N189" s="71">
        <f>+M189*N137</f>
        <v>684.0547232833751</v>
      </c>
      <c r="O189" s="561">
        <f>+'Product Mark-up'!$G$9</f>
        <v>0</v>
      </c>
      <c r="P189" s="189">
        <f t="shared" si="60"/>
        <v>684.0547232833751</v>
      </c>
      <c r="AE189" s="119" t="s">
        <v>133</v>
      </c>
      <c r="AF189" s="71" t="e">
        <f>+INDEX($J$181:$J$184,MATCH('Quotation Structure - Room'!$F$216,'Calculation Sheet - BOM '!$I$181:$I$184,0))</f>
        <v>#N/A</v>
      </c>
      <c r="AG189" s="71" t="e">
        <f>+AF189*AG137</f>
        <v>#N/A</v>
      </c>
      <c r="AH189" s="164">
        <v>0.3</v>
      </c>
      <c r="AI189" s="189" t="e">
        <f t="shared" si="61"/>
        <v>#N/A</v>
      </c>
    </row>
    <row r="190" spans="1:35" ht="31" x14ac:dyDescent="0.35">
      <c r="C190" s="335" t="s">
        <v>423</v>
      </c>
      <c r="D190" s="71">
        <f>+'Cost Sheet'!$N$81</f>
        <v>36.5</v>
      </c>
      <c r="E190" s="71">
        <f>+D190*ROUNDUP(($E$136/32),0)</f>
        <v>0</v>
      </c>
      <c r="F190" s="561">
        <f>+'Product Mark-up'!$G$9</f>
        <v>0</v>
      </c>
      <c r="G190" s="338">
        <f t="shared" si="59"/>
        <v>0</v>
      </c>
      <c r="I190" s="19">
        <v>6</v>
      </c>
      <c r="J190" s="189">
        <v>6.95</v>
      </c>
      <c r="L190" s="335" t="s">
        <v>423</v>
      </c>
      <c r="M190" s="71">
        <f>+'Cost Sheet'!$N$81</f>
        <v>36.5</v>
      </c>
      <c r="N190" s="71">
        <f>+M190*ROUNDUP(($N$137/32),0)</f>
        <v>292</v>
      </c>
      <c r="O190" s="561">
        <f>+'Product Mark-up'!$G$9</f>
        <v>0</v>
      </c>
      <c r="P190" s="338">
        <f t="shared" si="60"/>
        <v>292</v>
      </c>
      <c r="AE190" s="334"/>
      <c r="AF190" s="188"/>
      <c r="AG190" s="71"/>
      <c r="AH190" s="164"/>
      <c r="AI190" s="189"/>
    </row>
    <row r="191" spans="1:35" x14ac:dyDescent="0.35">
      <c r="C191" s="335" t="s">
        <v>1001</v>
      </c>
      <c r="D191" s="71">
        <f>+'Cost Sheet'!$N$24</f>
        <v>4.4291666666666663</v>
      </c>
      <c r="E191" s="71">
        <f>+D191*ROUNDUP(($E$136/(5/12)),0)</f>
        <v>0</v>
      </c>
      <c r="F191" s="561">
        <f>+'Product Mark-up'!$G$9</f>
        <v>0</v>
      </c>
      <c r="G191" s="338">
        <f t="shared" si="59"/>
        <v>0</v>
      </c>
      <c r="I191" s="3"/>
      <c r="J191" s="563"/>
      <c r="L191" s="335" t="s">
        <v>1001</v>
      </c>
      <c r="M191" s="71">
        <f>+'Cost Sheet'!$N$24</f>
        <v>4.4291666666666663</v>
      </c>
      <c r="N191" s="71">
        <f>+M191*ROUNDUP(($E$136/(5/12)),0)</f>
        <v>0</v>
      </c>
      <c r="O191" s="561">
        <f>+'Product Mark-up'!$G$9</f>
        <v>0</v>
      </c>
      <c r="P191" s="338">
        <f t="shared" si="60"/>
        <v>0</v>
      </c>
      <c r="AE191" s="334"/>
      <c r="AF191" s="188"/>
      <c r="AG191" s="71"/>
      <c r="AH191" s="164"/>
      <c r="AI191" s="189"/>
    </row>
    <row r="192" spans="1:35" x14ac:dyDescent="0.35">
      <c r="C192" s="335" t="s">
        <v>424</v>
      </c>
      <c r="D192" s="71" t="e">
        <f>+INDEX($J$187:$J$190,MATCH('Quotation Structure - Room'!$E$41,'Calculation Sheet - BOM '!$I$187:$I$190,0))</f>
        <v>#N/A</v>
      </c>
      <c r="E192" s="71" t="e">
        <f>+D192*E136</f>
        <v>#N/A</v>
      </c>
      <c r="F192" s="561">
        <f>+'Product Mark-up'!$G$9</f>
        <v>0</v>
      </c>
      <c r="G192" s="338" t="e">
        <f t="shared" si="59"/>
        <v>#N/A</v>
      </c>
      <c r="L192" s="335" t="s">
        <v>424</v>
      </c>
      <c r="M192" s="71">
        <f>+INDEX($J$187:$J$190,MATCH('Quotation Structure - Room'!$E$75,'Calculation Sheet - BOM '!$I$187:$I$190,0))</f>
        <v>4.6500000000000004</v>
      </c>
      <c r="N192" s="71">
        <f>+M192*N136</f>
        <v>1116.0892853570856</v>
      </c>
      <c r="O192" s="561">
        <f>+'Product Mark-up'!$G$9</f>
        <v>0</v>
      </c>
      <c r="P192" s="338">
        <f t="shared" si="60"/>
        <v>1116.0892853570856</v>
      </c>
      <c r="AE192" s="334"/>
      <c r="AF192" s="188"/>
      <c r="AG192" s="71"/>
      <c r="AH192" s="164"/>
      <c r="AI192" s="189"/>
    </row>
    <row r="193" spans="3:35" ht="16" thickBot="1" x14ac:dyDescent="0.4">
      <c r="C193" s="339"/>
      <c r="D193" s="340"/>
      <c r="E193" s="344" t="e">
        <f>IF($C$127=$C$115,SUM(E186:E189),IF($C$127=$C$116,SUM(E186,E187,E190:E192),""))</f>
        <v>#N/A</v>
      </c>
      <c r="F193" s="562">
        <f>+'Product Mark-up'!$G$9</f>
        <v>0</v>
      </c>
      <c r="G193" s="341" t="e">
        <f>IF($C$127=$C$115,SUM(G186:G189),IF($C$127=$C$116,SUM(G186:G188,G190,G192),IF($C$127=$C$117,SUM(G186:G188,G191,G192),"")))</f>
        <v>#N/A</v>
      </c>
      <c r="L193" s="339"/>
      <c r="M193" s="340"/>
      <c r="N193" s="344" t="str">
        <f>IF($L$130=$C$115,SUM(N186:N189),IF($L$130=$C$116,SUM(N186,N187,N190:N192),""))</f>
        <v/>
      </c>
      <c r="O193" s="561">
        <f>+'Product Mark-up'!$G$9</f>
        <v>0</v>
      </c>
      <c r="P193" s="341" t="e">
        <f>IF($L$130=$C$115,SUM(P186:P189),IF($L$130=$C$116,SUM(P186:P188,P190,P192),IF($L$130=$C$117,SUM(P186:P188,P191,G192),"")))</f>
        <v>#N/A</v>
      </c>
      <c r="AE193" s="3"/>
      <c r="AF193" s="3"/>
      <c r="AG193" s="71" t="e">
        <f>SUM(AG186:AG189)</f>
        <v>#N/A</v>
      </c>
      <c r="AH193" s="164">
        <v>0.3</v>
      </c>
      <c r="AI193" s="189" t="e">
        <f>SUM(AI186:AI189)</f>
        <v>#N/A</v>
      </c>
    </row>
    <row r="194" spans="3:35" x14ac:dyDescent="0.35">
      <c r="AE194" s="3"/>
      <c r="AF194" s="3"/>
      <c r="AG194" s="16"/>
      <c r="AI194" s="15"/>
    </row>
    <row r="195" spans="3:35" x14ac:dyDescent="0.35">
      <c r="C195" s="4" t="s">
        <v>425</v>
      </c>
      <c r="D195" s="206">
        <v>60</v>
      </c>
      <c r="L195" s="4" t="s">
        <v>425</v>
      </c>
      <c r="M195" s="206">
        <v>60</v>
      </c>
      <c r="N195" s="4"/>
      <c r="P195" s="4"/>
      <c r="AE195" s="4" t="s">
        <v>425</v>
      </c>
      <c r="AF195" s="206">
        <v>60</v>
      </c>
    </row>
    <row r="196" spans="3:35" x14ac:dyDescent="0.35">
      <c r="C196" s="4" t="s">
        <v>426</v>
      </c>
      <c r="D196" s="206">
        <v>34</v>
      </c>
      <c r="L196" s="4" t="s">
        <v>426</v>
      </c>
      <c r="M196" s="206">
        <v>34</v>
      </c>
      <c r="N196" s="4"/>
      <c r="P196" s="4"/>
      <c r="AE196" s="4" t="s">
        <v>426</v>
      </c>
      <c r="AF196" s="206">
        <v>34</v>
      </c>
    </row>
    <row r="197" spans="3:35" ht="16" thickBot="1" x14ac:dyDescent="0.4">
      <c r="L197" s="4"/>
      <c r="N197" s="4"/>
      <c r="P197" s="4"/>
      <c r="AF197" s="3"/>
    </row>
    <row r="198" spans="3:35" x14ac:dyDescent="0.35">
      <c r="C198" s="538" t="s">
        <v>427</v>
      </c>
      <c r="D198" s="539"/>
      <c r="E198" s="539"/>
      <c r="F198" s="539"/>
      <c r="G198" s="540"/>
      <c r="L198" s="516" t="s">
        <v>427</v>
      </c>
      <c r="M198" s="517"/>
      <c r="N198" s="517"/>
      <c r="O198" s="517"/>
      <c r="P198" s="518"/>
      <c r="AE198" s="926" t="s">
        <v>427</v>
      </c>
      <c r="AF198" s="927"/>
      <c r="AG198" s="927"/>
      <c r="AH198" s="927"/>
      <c r="AI198" s="928"/>
    </row>
    <row r="199" spans="3:35" x14ac:dyDescent="0.35">
      <c r="C199" s="441" t="s">
        <v>39</v>
      </c>
      <c r="D199" s="3" t="s">
        <v>332</v>
      </c>
      <c r="E199" s="3" t="s">
        <v>428</v>
      </c>
      <c r="G199" s="442"/>
      <c r="L199" s="4" t="s">
        <v>39</v>
      </c>
      <c r="M199" s="3" t="s">
        <v>332</v>
      </c>
      <c r="N199" s="3" t="s">
        <v>428</v>
      </c>
      <c r="P199" s="4"/>
      <c r="AE199" s="4" t="s">
        <v>39</v>
      </c>
      <c r="AF199" s="3" t="s">
        <v>332</v>
      </c>
      <c r="AG199" s="3" t="s">
        <v>428</v>
      </c>
    </row>
    <row r="200" spans="3:35" x14ac:dyDescent="0.35">
      <c r="C200" s="441" t="s">
        <v>429</v>
      </c>
      <c r="D200" s="188">
        <f>+E163</f>
        <v>511.88799999999998</v>
      </c>
      <c r="E200" s="202">
        <f>+(D200/$D$196)*60</f>
        <v>903.33176470588239</v>
      </c>
      <c r="G200" s="442"/>
      <c r="L200" s="4" t="s">
        <v>429</v>
      </c>
      <c r="M200" s="188">
        <f>+N163</f>
        <v>897.67181230870983</v>
      </c>
      <c r="N200" s="202">
        <f>+(M200/$D$196)*60</f>
        <v>1584.1267276036056</v>
      </c>
      <c r="P200" s="4"/>
      <c r="AE200" s="4" t="s">
        <v>429</v>
      </c>
      <c r="AF200" s="188" t="e">
        <f>+AG163</f>
        <v>#N/A</v>
      </c>
      <c r="AG200" s="202" t="e">
        <f>+(AF200/$D$196)*60</f>
        <v>#N/A</v>
      </c>
    </row>
    <row r="201" spans="3:35" x14ac:dyDescent="0.35">
      <c r="C201" s="441" t="s">
        <v>430</v>
      </c>
      <c r="D201" s="188">
        <f>+E175</f>
        <v>180.26249999999999</v>
      </c>
      <c r="E201" s="202">
        <f>+(D201/$D$196)*60</f>
        <v>318.11029411764707</v>
      </c>
      <c r="G201" s="442"/>
      <c r="L201" s="4" t="s">
        <v>430</v>
      </c>
      <c r="M201" s="188">
        <f>+N175</f>
        <v>612.04896293775653</v>
      </c>
      <c r="N201" s="202">
        <f>+(M201/$D$196)*60</f>
        <v>1080.0864051842761</v>
      </c>
      <c r="P201" s="4"/>
      <c r="AE201" s="4" t="s">
        <v>430</v>
      </c>
      <c r="AF201" s="188" t="e">
        <f>+AG175</f>
        <v>#N/A</v>
      </c>
      <c r="AG201" s="202" t="e">
        <f>+(AF201/$D$196)*60</f>
        <v>#N/A</v>
      </c>
    </row>
    <row r="202" spans="3:35" x14ac:dyDescent="0.35">
      <c r="C202" s="441" t="s">
        <v>431</v>
      </c>
      <c r="D202" s="188">
        <f>+E189</f>
        <v>0</v>
      </c>
      <c r="E202" s="202">
        <f>+(D202/$D$196)*60</f>
        <v>0</v>
      </c>
      <c r="G202" s="442"/>
      <c r="L202" s="4" t="s">
        <v>431</v>
      </c>
      <c r="M202" s="188">
        <f>+N189</f>
        <v>684.0547232833751</v>
      </c>
      <c r="N202" s="202">
        <f>+(M202/$D$196)*60</f>
        <v>1207.1553940294853</v>
      </c>
      <c r="P202" s="4"/>
      <c r="AE202" s="4" t="s">
        <v>431</v>
      </c>
      <c r="AF202" s="188" t="e">
        <f>+AG189</f>
        <v>#N/A</v>
      </c>
      <c r="AG202" s="202" t="e">
        <f>+(AF202/$D$196)*60</f>
        <v>#N/A</v>
      </c>
    </row>
    <row r="203" spans="3:35" ht="16" thickBot="1" x14ac:dyDescent="0.4">
      <c r="C203" s="339"/>
      <c r="D203" s="340"/>
      <c r="E203" s="443">
        <f>SUM(E200:E202)</f>
        <v>1221.4420588235294</v>
      </c>
      <c r="F203" s="343" t="str">
        <f>+CONCATENATE((INT(E203/60))," - Hours &amp; ",(ROUNDUP(MOD(E203,60),0))," - Mins.")</f>
        <v>20 - Hours &amp; 22 - Mins.</v>
      </c>
      <c r="G203" s="444"/>
      <c r="L203" s="4"/>
      <c r="N203" s="205">
        <f>SUM(N200:N202)</f>
        <v>3871.3685268173667</v>
      </c>
      <c r="O203" s="4" t="str">
        <f>+CONCATENATE((INT(N203/60))," - Hours &amp; ",(ROUNDUP(MOD(N203,60),0))," - Mins.")</f>
        <v>64 - Hours &amp; 32 - Mins.</v>
      </c>
      <c r="P203" s="4"/>
      <c r="AF203" s="3"/>
      <c r="AG203" s="205" t="e">
        <f>SUM(AG200:AG202)</f>
        <v>#N/A</v>
      </c>
      <c r="AH203" s="4" t="e">
        <f>+CONCATENATE((INT(AG203/60))," - Hours &amp; ",(ROUNDUP(MOD(AG203,60),0))," - Mins.")</f>
        <v>#N/A</v>
      </c>
    </row>
    <row r="210" spans="1:42" ht="43.5" x14ac:dyDescent="0.35">
      <c r="A210" s="526" t="s">
        <v>432</v>
      </c>
      <c r="B210" s="527"/>
      <c r="C210" s="27" t="s">
        <v>433</v>
      </c>
      <c r="D210" s="150" t="s">
        <v>82</v>
      </c>
      <c r="E210" s="160" t="s">
        <v>321</v>
      </c>
      <c r="F210" s="160" t="s">
        <v>334</v>
      </c>
      <c r="G210" s="160" t="s">
        <v>322</v>
      </c>
      <c r="H210" s="220" t="s">
        <v>335</v>
      </c>
      <c r="I210" s="160" t="s">
        <v>336</v>
      </c>
      <c r="J210" s="160" t="s">
        <v>337</v>
      </c>
      <c r="K210" s="220" t="s">
        <v>338</v>
      </c>
      <c r="L210" s="160" t="s">
        <v>339</v>
      </c>
    </row>
    <row r="211" spans="1:42" x14ac:dyDescent="0.35">
      <c r="A211" s="526"/>
      <c r="B211" s="527"/>
      <c r="C211" s="21" t="str">
        <f>'Quotation Structure - Room'!C45</f>
        <v>LED Lights</v>
      </c>
      <c r="D211" s="121" t="str">
        <f>'Quotation Structure - Room'!D45</f>
        <v>Room LED lights - 48"</v>
      </c>
      <c r="E211" s="71">
        <f>IF($D211=0,0,(INDEX('Cost Sheet'!$N:$N,MATCH('Quotation Structure - Room'!$D45,'Cost Sheet'!$C:$C,0))))</f>
        <v>144.44444444444443</v>
      </c>
      <c r="F211" s="20"/>
      <c r="G211" s="19"/>
      <c r="H211" s="71"/>
      <c r="I211" s="71">
        <f>IF($D211=0,0,(INDEX('Cost Sheet'!$N:$N,MATCH(D211,'Cost Sheet'!$C:$C,0))))</f>
        <v>144.44444444444443</v>
      </c>
      <c r="J211" s="71">
        <f>IF($D211=0,0,(INDEX('Cost Sheet'!$P:$P,MATCH('Quotation Structure - Room'!$D45,'Cost Sheet'!$C:$C,0))))</f>
        <v>144.44444444444443</v>
      </c>
      <c r="K211" s="71"/>
      <c r="L211" s="71">
        <f>IF($D211=0,0,(INDEX('Cost Sheet'!$P:$P,MATCH(D211,'Cost Sheet'!$C:$C,0))))</f>
        <v>144.44444444444443</v>
      </c>
    </row>
    <row r="212" spans="1:42" ht="58" x14ac:dyDescent="0.35">
      <c r="A212" s="526"/>
      <c r="B212" s="527"/>
      <c r="C212" s="21" t="str">
        <f>'Quotation Structure - Room'!C46</f>
        <v>Trims per ft.</v>
      </c>
      <c r="D212" s="121" t="str">
        <f>'Quotation Structure - Room'!D46</f>
        <v>Exterior Trim - 2" X 5" (26 GA white smooth)</v>
      </c>
      <c r="E212" s="71">
        <f>IF($D212=0,0,(INDEX('Cost Sheet'!$N:$N,MATCH('Quotation Structure - Room'!$D46,'Cost Sheet'!$C:$C,0))))</f>
        <v>10.555093164575498</v>
      </c>
      <c r="F212" s="20"/>
      <c r="G212" s="19"/>
      <c r="H212" s="71"/>
      <c r="I212" s="71">
        <f>IF($D212=0,0,(INDEX('Cost Sheet'!$N:$N,MATCH(D212,'Cost Sheet'!$C:$C,0))))</f>
        <v>10.555093164575498</v>
      </c>
      <c r="J212" s="71">
        <f>IF($D212=0,0,(INDEX('Cost Sheet'!$P:$P,MATCH('Quotation Structure - Room'!$D46,'Cost Sheet'!$C:$C,0))))</f>
        <v>10.555093164575498</v>
      </c>
      <c r="K212" s="71"/>
      <c r="L212" s="71">
        <f>IF($D212=0,0,(INDEX('Cost Sheet'!$P:$P,MATCH(D212,'Cost Sheet'!$C:$C,0))))</f>
        <v>10.555093164575498</v>
      </c>
      <c r="AE212" s="929" t="s">
        <v>434</v>
      </c>
      <c r="AF212" s="930"/>
      <c r="AG212" s="27" t="s">
        <v>433</v>
      </c>
      <c r="AH212" s="150" t="s">
        <v>82</v>
      </c>
      <c r="AI212" s="160" t="s">
        <v>321</v>
      </c>
      <c r="AJ212" s="160" t="s">
        <v>334</v>
      </c>
      <c r="AK212" s="160" t="s">
        <v>322</v>
      </c>
      <c r="AL212" s="220" t="s">
        <v>335</v>
      </c>
      <c r="AM212" s="160" t="s">
        <v>336</v>
      </c>
      <c r="AN212" s="160" t="s">
        <v>337</v>
      </c>
      <c r="AO212" s="220" t="s">
        <v>338</v>
      </c>
      <c r="AP212" s="160" t="s">
        <v>339</v>
      </c>
    </row>
    <row r="213" spans="1:42" x14ac:dyDescent="0.35">
      <c r="A213" s="526"/>
      <c r="B213" s="527"/>
      <c r="C213" s="21" t="str">
        <f>'Quotation Structure - Room'!C47</f>
        <v>Cut-Outs per unit</v>
      </c>
      <c r="D213" s="121" t="str">
        <f>'Quotation Structure - Room'!D47</f>
        <v xml:space="preserve">Cut-outs </v>
      </c>
      <c r="E213" s="71">
        <f>IF($D213=0,0,(INDEX('Cost Sheet'!$N:$N,MATCH('Quotation Structure - Room'!$D47,'Cost Sheet'!$C:$C,0))))</f>
        <v>148.14814814814815</v>
      </c>
      <c r="F213" s="20"/>
      <c r="G213" s="19"/>
      <c r="H213" s="71"/>
      <c r="I213" s="71">
        <f>IF($D213=0,0,(INDEX('Cost Sheet'!$N:$N,MATCH(D213,'Cost Sheet'!$C:$C,0))))</f>
        <v>148.14814814814815</v>
      </c>
      <c r="J213" s="71">
        <f>IF($D213=0,0,(INDEX('Cost Sheet'!$P:$P,MATCH('Quotation Structure - Room'!$D47,'Cost Sheet'!$C:$C,0))))</f>
        <v>148.14814814814815</v>
      </c>
      <c r="K213" s="71"/>
      <c r="L213" s="71">
        <f>IF($D213=0,0,(INDEX('Cost Sheet'!$P:$P,MATCH(D213,'Cost Sheet'!$C:$C,0))))</f>
        <v>148.14814814814815</v>
      </c>
      <c r="AE213" s="929"/>
      <c r="AF213" s="930"/>
      <c r="AG213" s="21" t="str">
        <f>+'Quotation Structure - Room'!C228</f>
        <v>Internal Light</v>
      </c>
      <c r="AH213" s="121">
        <f>'Quotation Structure - Room'!D228</f>
        <v>0</v>
      </c>
      <c r="AI213" s="71">
        <f>IF($AH213=0,0,(INDEX('Cost Sheet'!$N:$N,MATCH('Quotation Structure - Room'!$D79,'Cost Sheet'!$C:$C,0))))</f>
        <v>0</v>
      </c>
      <c r="AJ213" s="20"/>
      <c r="AK213" s="19" t="s">
        <v>133</v>
      </c>
      <c r="AL213" s="71">
        <f>+IF($AH213=0,0,INDEX('Accessories Install - Labour'!$E:$E,MATCH('Calculation Sheet - BOM '!$AH213,'Accessories Install - Labour'!$C:$C,0)))</f>
        <v>0</v>
      </c>
      <c r="AM213" s="71">
        <f>IF($AH213=0,0,(INDEX('Cost Sheet'!$N:$N,MATCH(AH213,'Cost Sheet'!$C:$C,0))))</f>
        <v>0</v>
      </c>
      <c r="AN213" s="71">
        <f>IF($AH213=0,0,(INDEX('Cost Sheet'!$P:$P,MATCH('Quotation Structure - Room'!$D79,'Cost Sheet'!$C:$C,0))))</f>
        <v>0</v>
      </c>
      <c r="AO213" s="71">
        <f>+IF($AH213=0,0,INDEX('Accessories Install - Labour'!$F:$F,MATCH('Calculation Sheet - BOM '!$AH213,'Accessories Install - Labour'!$C:$C,0)))</f>
        <v>0</v>
      </c>
      <c r="AP213" s="71">
        <f>IF($AH213=0,0,(INDEX('Cost Sheet'!$P:$P,MATCH(AH213,'Cost Sheet'!$C:$C,0))))</f>
        <v>0</v>
      </c>
    </row>
    <row r="214" spans="1:42" x14ac:dyDescent="0.35">
      <c r="A214" s="526"/>
      <c r="B214" s="527"/>
      <c r="C214" s="21" t="str">
        <f>'Quotation Structure - Room'!C48</f>
        <v xml:space="preserve">Ramp per inch. </v>
      </c>
      <c r="D214" s="121" t="str">
        <f>'Quotation Structure - Room'!D48</f>
        <v xml:space="preserve">Ramp </v>
      </c>
      <c r="E214" s="71">
        <f>IF($D214=0,0,(INDEX('Cost Sheet'!$N:$N,MATCH('Quotation Structure - Room'!$D48,'Cost Sheet'!$C:$C,0))))</f>
        <v>6.17</v>
      </c>
      <c r="F214" s="20"/>
      <c r="G214" s="19"/>
      <c r="H214" s="71"/>
      <c r="I214" s="71">
        <f>IF($D214=0,0,(INDEX('Cost Sheet'!$N:$N,MATCH(D214,'Cost Sheet'!$C:$C,0))))</f>
        <v>6.17</v>
      </c>
      <c r="J214" s="71">
        <f>IF($D214=0,0,(INDEX('Cost Sheet'!$P:$P,MATCH('Quotation Structure - Room'!$D48,'Cost Sheet'!$C:$C,0))))</f>
        <v>6.17</v>
      </c>
      <c r="K214" s="71"/>
      <c r="L214" s="71">
        <f>IF($D214=0,0,(INDEX('Cost Sheet'!$P:$P,MATCH(D214,'Cost Sheet'!$C:$C,0))))</f>
        <v>6.17</v>
      </c>
      <c r="AE214" s="929"/>
      <c r="AF214" s="930"/>
      <c r="AG214" s="21" t="str">
        <f>+'Quotation Structure - Room'!C229</f>
        <v>Light Switch</v>
      </c>
      <c r="AH214" s="121">
        <f>'Quotation Structure - Room'!D229</f>
        <v>0</v>
      </c>
      <c r="AI214" s="71">
        <f>IF($AH214=0,0,(INDEX('Cost Sheet'!$N:$N,MATCH('Quotation Structure - Room'!$D80,'Cost Sheet'!$C:$C,0))))</f>
        <v>0</v>
      </c>
      <c r="AJ214" s="20"/>
      <c r="AK214" s="19" t="s">
        <v>133</v>
      </c>
      <c r="AL214" s="71">
        <f>+IF($AH214=0,0,INDEX('Accessories Install - Labour'!$E:$E,MATCH('Calculation Sheet - BOM '!$AH214,'Accessories Install - Labour'!$C:$C,0)))</f>
        <v>0</v>
      </c>
      <c r="AM214" s="71">
        <f>IF($AH214=0,0,(INDEX('Cost Sheet'!$N:$N,MATCH(AH214,'Cost Sheet'!$C:$C,0))))</f>
        <v>0</v>
      </c>
      <c r="AN214" s="71">
        <f>IF($AH214=0,0,(INDEX('Cost Sheet'!$P:$P,MATCH('Quotation Structure - Room'!$D80,'Cost Sheet'!$C:$C,0))))</f>
        <v>0</v>
      </c>
      <c r="AO214" s="71">
        <f>+IF($AH214=0,0,INDEX('Accessories Install - Labour'!$F:$F,MATCH('Calculation Sheet - BOM '!$AH214,'Accessories Install - Labour'!$C:$C,0)))</f>
        <v>0</v>
      </c>
      <c r="AP214" s="71">
        <f>IF($AH214=0,0,(INDEX('Cost Sheet'!$P:$P,MATCH(AH214,'Cost Sheet'!$C:$C,0))))</f>
        <v>0</v>
      </c>
    </row>
    <row r="215" spans="1:42" x14ac:dyDescent="0.35">
      <c r="A215" s="526"/>
      <c r="B215" s="527"/>
      <c r="C215" s="21" t="str">
        <f>'Quotation Structure - Room'!C49</f>
        <v xml:space="preserve">U-Channel per ft. </v>
      </c>
      <c r="D215" s="121" t="str">
        <f>'Quotation Structure - Room'!D49</f>
        <v xml:space="preserve">U-Channel - 3" </v>
      </c>
      <c r="E215" s="71">
        <f>IF($D215=0,0,(INDEX('Cost Sheet'!$N:$N,MATCH('Quotation Structure - Room'!$D49,'Cost Sheet'!$C:$C,0))))</f>
        <v>8.25</v>
      </c>
      <c r="F215" s="20"/>
      <c r="G215" s="19"/>
      <c r="H215" s="71"/>
      <c r="I215" s="71">
        <f>IF($D215=0,0,(INDEX('Cost Sheet'!$N:$N,MATCH(D215,'Cost Sheet'!$C:$C,0))))</f>
        <v>8.25</v>
      </c>
      <c r="J215" s="71">
        <f>IF($D215=0,0,(INDEX('Cost Sheet'!$P:$P,MATCH('Quotation Structure - Room'!$D49,'Cost Sheet'!$C:$C,0))))</f>
        <v>8.25</v>
      </c>
      <c r="K215" s="71"/>
      <c r="L215" s="71">
        <f>IF($D215=0,0,(INDEX('Cost Sheet'!$P:$P,MATCH(D215,'Cost Sheet'!$C:$C,0))))</f>
        <v>8.25</v>
      </c>
      <c r="AE215" s="929"/>
      <c r="AF215" s="930"/>
      <c r="AG215" s="21"/>
      <c r="AH215" s="121"/>
      <c r="AI215" s="71"/>
      <c r="AJ215" s="20"/>
      <c r="AK215" s="19"/>
      <c r="AL215" s="71"/>
      <c r="AM215" s="71"/>
      <c r="AN215" s="71"/>
      <c r="AO215" s="71"/>
      <c r="AP215" s="71"/>
    </row>
    <row r="216" spans="1:42" x14ac:dyDescent="0.35">
      <c r="A216" s="526"/>
      <c r="B216" s="527"/>
      <c r="C216" s="21" t="str">
        <f>'Quotation Structure - Room'!C50</f>
        <v xml:space="preserve">Receptacle Box </v>
      </c>
      <c r="D216" s="121">
        <f>'Quotation Structure - Room'!D50</f>
        <v>0</v>
      </c>
      <c r="E216" s="71">
        <f>IF($D216=0,0,(INDEX('Cost Sheet'!$N:$N,MATCH('Quotation Structure - Room'!$D49,'Cost Sheet'!$C:$C,0))))</f>
        <v>0</v>
      </c>
      <c r="F216" s="20"/>
      <c r="G216" s="19" t="s">
        <v>133</v>
      </c>
      <c r="H216" s="71">
        <f>+IF($D216=0,0,INDEX('Accessories Install - Labour'!$E:$E,MATCH('Calculation Sheet - BOM '!$D216,'Accessories Install - Labour'!$C:$C,0)))</f>
        <v>0</v>
      </c>
      <c r="I216" s="71">
        <f>IF($D216=0,0,(INDEX('Cost Sheet'!$N:$N,MATCH(D216,'Cost Sheet'!$C:$C,0))))+H216</f>
        <v>0</v>
      </c>
      <c r="J216" s="71">
        <f>IF($D216=0,0,(INDEX('Cost Sheet'!$P:$P,MATCH('Quotation Structure - Room'!$D49,'Cost Sheet'!$C:$C,0))))</f>
        <v>0</v>
      </c>
      <c r="K216" s="71">
        <f>+IF($D216=0,0,INDEX('Accessories Install - Labour'!$F:$F,MATCH('Calculation Sheet - BOM '!$D216,'Accessories Install - Labour'!$C:$C,0)))</f>
        <v>0</v>
      </c>
      <c r="L216" s="71">
        <f>IF($D216=0,0,(INDEX('Cost Sheet'!$P:$P,MATCH(D216,'Cost Sheet'!$C:$C,0))))+K216</f>
        <v>0</v>
      </c>
      <c r="AE216" s="929"/>
      <c r="AF216" s="930"/>
      <c r="AG216" s="21" t="str">
        <f>+'Quotation Structure - Room'!C230</f>
        <v>Vent</v>
      </c>
      <c r="AH216" s="121">
        <f>'Quotation Structure - Room'!D230</f>
        <v>0</v>
      </c>
      <c r="AI216" s="71">
        <f>IF($AH216=0,0,(INDEX('Cost Sheet'!$N:$N,MATCH('Quotation Structure - Room'!$D81,'Cost Sheet'!$C:$C,0))))</f>
        <v>0</v>
      </c>
      <c r="AJ216" s="20"/>
      <c r="AK216" s="19" t="s">
        <v>133</v>
      </c>
      <c r="AL216" s="71">
        <f>+IF($AH216=0,0,INDEX('Accessories Install - Labour'!$E:$E,MATCH('Calculation Sheet - BOM '!$AH216,'Accessories Install - Labour'!$C:$C,0)))</f>
        <v>0</v>
      </c>
      <c r="AM216" s="71">
        <f>IF($AH216=0,0,(INDEX('Cost Sheet'!$N:$N,MATCH(AH216,'Cost Sheet'!$C:$C,0))))</f>
        <v>0</v>
      </c>
      <c r="AN216" s="71">
        <f>IF($AH216=0,0,(INDEX('Cost Sheet'!$P:$P,MATCH('Quotation Structure - Room'!$D81,'Cost Sheet'!$C:$C,0))))</f>
        <v>0</v>
      </c>
      <c r="AO216" s="71">
        <f>+IF($AH216=0,0,INDEX('Accessories Install - Labour'!$F:$F,MATCH('Calculation Sheet - BOM '!$AH216,'Accessories Install - Labour'!$C:$C,0)))</f>
        <v>0</v>
      </c>
      <c r="AP216" s="71">
        <f>IF($AH216=0,0,(INDEX('Cost Sheet'!$P:$P,MATCH(AH216,'Cost Sheet'!$C:$C,0))))</f>
        <v>0</v>
      </c>
    </row>
    <row r="217" spans="1:42" x14ac:dyDescent="0.35">
      <c r="A217" s="526"/>
      <c r="B217" s="527"/>
      <c r="C217" s="21" t="str">
        <f>'Quotation Structure - Room'!C51</f>
        <v>Junction Box</v>
      </c>
      <c r="D217" s="121">
        <f>'Quotation Structure - Room'!D51</f>
        <v>0</v>
      </c>
      <c r="E217" s="71">
        <f>IF($D217=0,0,(INDEX('Cost Sheet'!$N:$N,MATCH('Quotation Structure - Room'!$D50,'Cost Sheet'!$C:$C,0))))</f>
        <v>0</v>
      </c>
      <c r="F217" s="20"/>
      <c r="G217" s="19" t="s">
        <v>133</v>
      </c>
      <c r="H217" s="71">
        <f>+IF($D217=0,0,INDEX('Accessories Install - Labour'!$E:$E,MATCH('Calculation Sheet - BOM '!$D217,'Accessories Install - Labour'!$C:$C,0)))</f>
        <v>0</v>
      </c>
      <c r="I217" s="71">
        <f>IF($D217=0,0,(INDEX('Cost Sheet'!$N:$N,MATCH(D217,'Cost Sheet'!$C:$C,0))))+H217</f>
        <v>0</v>
      </c>
      <c r="J217" s="71">
        <f>IF($D217=0,0,(INDEX('Cost Sheet'!$P:$P,MATCH('Quotation Structure - Room'!$D50,'Cost Sheet'!$C:$C,0))))</f>
        <v>0</v>
      </c>
      <c r="K217" s="71">
        <f>+IF($D217=0,0,INDEX('Accessories Install - Labour'!$F:$F,MATCH('Calculation Sheet - BOM '!$D217,'Accessories Install - Labour'!$C:$C,0)))</f>
        <v>0</v>
      </c>
      <c r="L217" s="71">
        <f>IF($D217=0,0,(INDEX('Cost Sheet'!$P:$P,MATCH(D217,'Cost Sheet'!$C:$C,0))))+K217</f>
        <v>0</v>
      </c>
      <c r="AE217" s="929"/>
      <c r="AF217" s="930"/>
      <c r="AG217" s="21" t="str">
        <f>+'Quotation Structure - Room'!C231</f>
        <v xml:space="preserve">Temperature Gauge </v>
      </c>
      <c r="AH217" s="121">
        <f>'Quotation Structure - Room'!D231</f>
        <v>0</v>
      </c>
      <c r="AI217" s="71">
        <f>IF($AH217=0,0,(INDEX('Cost Sheet'!$N:$N,MATCH('Quotation Structure - Room'!$D82,'Cost Sheet'!$C:$C,0))))</f>
        <v>0</v>
      </c>
      <c r="AJ217" s="20"/>
      <c r="AK217" s="19" t="s">
        <v>133</v>
      </c>
      <c r="AL217" s="71">
        <f>+IF($AH217=0,0,INDEX('Accessories Install - Labour'!$E:$E,MATCH('Calculation Sheet - BOM '!$AH217,'Accessories Install - Labour'!$C:$C,0)))</f>
        <v>0</v>
      </c>
      <c r="AM217" s="71">
        <f>IF($AH217=0,0,(INDEX('Cost Sheet'!$N:$N,MATCH(AH217,'Cost Sheet'!$C:$C,0))))</f>
        <v>0</v>
      </c>
      <c r="AN217" s="71">
        <f>IF($AH217=0,0,(INDEX('Cost Sheet'!$P:$P,MATCH('Quotation Structure - Room'!$D82,'Cost Sheet'!$C:$C,0))))</f>
        <v>0</v>
      </c>
      <c r="AO217" s="71">
        <f>+IF($AH217=0,0,INDEX('Accessories Install - Labour'!$F:$F,MATCH('Calculation Sheet - BOM '!$AH217,'Accessories Install - Labour'!$C:$C,0)))</f>
        <v>0</v>
      </c>
      <c r="AP217" s="71">
        <f>IF($AH217=0,0,(INDEX('Cost Sheet'!$P:$P,MATCH(AH217,'Cost Sheet'!$C:$C,0))))</f>
        <v>0</v>
      </c>
    </row>
    <row r="218" spans="1:42" x14ac:dyDescent="0.35">
      <c r="A218" s="526"/>
      <c r="B218" s="527"/>
      <c r="C218" s="21" t="str">
        <f>'Quotation Structure - Room'!C52</f>
        <v>Switch</v>
      </c>
      <c r="D218" s="121">
        <f>'Quotation Structure - Room'!D52</f>
        <v>0</v>
      </c>
      <c r="E218" s="71">
        <f>IF($D218=0,0,(INDEX('Cost Sheet'!$N:$N,MATCH('Quotation Structure - Room'!$D51,'Cost Sheet'!$C:$C,0))))</f>
        <v>0</v>
      </c>
      <c r="F218" s="20"/>
      <c r="G218" s="19" t="s">
        <v>133</v>
      </c>
      <c r="H218" s="71">
        <f>+IF($D218=0,0,INDEX('Accessories Install - Labour'!$E:$E,MATCH('Calculation Sheet - BOM '!$D218,'Accessories Install - Labour'!$C:$C,0)))</f>
        <v>0</v>
      </c>
      <c r="I218" s="71">
        <f>IF($D218=0,0,(INDEX('Cost Sheet'!$N:$N,MATCH(D218,'Cost Sheet'!$C:$C,0))))+H218</f>
        <v>0</v>
      </c>
      <c r="J218" s="71">
        <f>IF($D218=0,0,(INDEX('Cost Sheet'!$P:$P,MATCH('Quotation Structure - Room'!$D51,'Cost Sheet'!$C:$C,0))))</f>
        <v>0</v>
      </c>
      <c r="K218" s="71">
        <f>+IF($D218=0,0,INDEX('Accessories Install - Labour'!$F:$F,MATCH('Calculation Sheet - BOM '!$D218,'Accessories Install - Labour'!$C:$C,0)))</f>
        <v>0</v>
      </c>
      <c r="L218" s="71">
        <f>IF($D218=0,0,(INDEX('Cost Sheet'!$P:$P,MATCH(D218,'Cost Sheet'!$C:$C,0))))+K218</f>
        <v>0</v>
      </c>
      <c r="AE218" s="929"/>
      <c r="AF218" s="930"/>
      <c r="AG218" s="21" t="str">
        <f>+'Quotation Structure - Room'!C232</f>
        <v xml:space="preserve">Receptacle Box </v>
      </c>
      <c r="AH218" s="121">
        <f>'Quotation Structure - Room'!D232</f>
        <v>0</v>
      </c>
      <c r="AI218" s="71">
        <f>IF($AH218=0,0,(INDEX('Cost Sheet'!$N:$N,MATCH('Quotation Structure - Room'!$D83,'Cost Sheet'!$C:$C,0))))</f>
        <v>0</v>
      </c>
      <c r="AJ218" s="20"/>
      <c r="AK218" s="19" t="s">
        <v>133</v>
      </c>
      <c r="AL218" s="71">
        <f>+IF($AH218=0,0,INDEX('Accessories Install - Labour'!$E:$E,MATCH('Calculation Sheet - BOM '!$AH218,'Accessories Install - Labour'!$C:$C,0)))</f>
        <v>0</v>
      </c>
      <c r="AM218" s="71">
        <f>IF($AH218=0,0,(INDEX('Cost Sheet'!$N:$N,MATCH(AH218,'Cost Sheet'!$C:$C,0))))</f>
        <v>0</v>
      </c>
      <c r="AN218" s="71">
        <f>IF($AH218=0,0,(INDEX('Cost Sheet'!$P:$P,MATCH('Quotation Structure - Room'!$D83,'Cost Sheet'!$C:$C,0))))</f>
        <v>0</v>
      </c>
      <c r="AO218" s="71">
        <f>+IF($AH218=0,0,INDEX('Accessories Install - Labour'!$F:$F,MATCH('Calculation Sheet - BOM '!$AH218,'Accessories Install - Labour'!$C:$C,0)))</f>
        <v>0</v>
      </c>
      <c r="AP218" s="71">
        <f>IF($AH218=0,0,(INDEX('Cost Sheet'!$P:$P,MATCH(AH218,'Cost Sheet'!$C:$C,0))))</f>
        <v>0</v>
      </c>
    </row>
    <row r="219" spans="1:42" x14ac:dyDescent="0.35">
      <c r="A219" s="526"/>
      <c r="B219" s="527"/>
      <c r="C219" s="21" t="str">
        <f>'Quotation Structure - Room'!C53</f>
        <v>Cover</v>
      </c>
      <c r="D219" s="121">
        <f>'Quotation Structure - Room'!D53</f>
        <v>0</v>
      </c>
      <c r="E219" s="71">
        <f>IF($D219=0,0,(INDEX('Cost Sheet'!$N:$N,MATCH('Quotation Structure - Room'!$D52,'Cost Sheet'!$C:$C,0))))</f>
        <v>0</v>
      </c>
      <c r="F219" s="20"/>
      <c r="G219" s="19" t="s">
        <v>133</v>
      </c>
      <c r="H219" s="71">
        <f>+IF($D219=0,0,INDEX('Accessories Install - Labour'!$E:$E,MATCH('Calculation Sheet - BOM '!$D219,'Accessories Install - Labour'!$C:$C,0)))</f>
        <v>0</v>
      </c>
      <c r="I219" s="71">
        <f>IF($D219=0,0,(INDEX('Cost Sheet'!$N:$N,MATCH(D219,'Cost Sheet'!$C:$C,0))))+H219</f>
        <v>0</v>
      </c>
      <c r="J219" s="71">
        <f>IF($D219=0,0,(INDEX('Cost Sheet'!$P:$P,MATCH('Quotation Structure - Room'!$D52,'Cost Sheet'!$C:$C,0))))</f>
        <v>0</v>
      </c>
      <c r="K219" s="71">
        <f>+IF($D219=0,0,INDEX('Accessories Install - Labour'!$F:$F,MATCH('Calculation Sheet - BOM '!$D219,'Accessories Install - Labour'!$C:$C,0)))</f>
        <v>0</v>
      </c>
      <c r="L219" s="71">
        <f>IF($D219=0,0,(INDEX('Cost Sheet'!$P:$P,MATCH(D219,'Cost Sheet'!$C:$C,0))))+K219</f>
        <v>0</v>
      </c>
      <c r="AE219" s="929"/>
      <c r="AF219" s="930"/>
      <c r="AG219" s="21" t="str">
        <f>+'Quotation Structure - Room'!C233</f>
        <v>Junction Box</v>
      </c>
      <c r="AH219" s="121">
        <f>'Quotation Structure - Room'!D233</f>
        <v>0</v>
      </c>
      <c r="AI219" s="71">
        <f>IF($AH219=0,0,(INDEX('Cost Sheet'!$N:$N,MATCH('Quotation Structure - Room'!$D84,'Cost Sheet'!$C:$C,0))))</f>
        <v>0</v>
      </c>
      <c r="AJ219" s="20"/>
      <c r="AK219" s="19" t="s">
        <v>133</v>
      </c>
      <c r="AL219" s="71">
        <f>+IF($AH219=0,0,INDEX('Accessories Install - Labour'!$E:$E,MATCH('Calculation Sheet - BOM '!$AH219,'Accessories Install - Labour'!$C:$C,0)))</f>
        <v>0</v>
      </c>
      <c r="AM219" s="71">
        <f>IF($AH219=0,0,(INDEX('Cost Sheet'!$N:$N,MATCH(AH219,'Cost Sheet'!$C:$C,0))))</f>
        <v>0</v>
      </c>
      <c r="AN219" s="71">
        <f>IF($AH219=0,0,(INDEX('Cost Sheet'!$P:$P,MATCH('Quotation Structure - Room'!$D84,'Cost Sheet'!$C:$C,0))))</f>
        <v>0</v>
      </c>
      <c r="AO219" s="71">
        <f>+IF($AH219=0,0,INDEX('Accessories Install - Labour'!$F:$F,MATCH('Calculation Sheet - BOM '!$AH219,'Accessories Install - Labour'!$C:$C,0)))</f>
        <v>0</v>
      </c>
      <c r="AP219" s="71">
        <f>IF($AH219=0,0,(INDEX('Cost Sheet'!$P:$P,MATCH(AH219,'Cost Sheet'!$C:$C,0))))</f>
        <v>0</v>
      </c>
    </row>
    <row r="220" spans="1:42" x14ac:dyDescent="0.35">
      <c r="A220" s="526"/>
      <c r="B220" s="527"/>
      <c r="C220" s="21" t="str">
        <f>'Quotation Structure - Room'!C54</f>
        <v>Silicon</v>
      </c>
      <c r="D220" s="121">
        <f>'Quotation Structure - Room'!D54</f>
        <v>0</v>
      </c>
      <c r="E220" s="71">
        <f>IF($D220=0,0,(INDEX('Cost Sheet'!$N:$N,MATCH('Quotation Structure - Room'!$D54,'Cost Sheet'!$C:$C,0))))</f>
        <v>0</v>
      </c>
      <c r="F220" s="20"/>
      <c r="G220" s="19"/>
      <c r="H220" s="71"/>
      <c r="I220" s="71">
        <f>IF($D220=0,0,(INDEX('Cost Sheet'!$N:$N,MATCH(D220,'Cost Sheet'!$C:$C,0))))</f>
        <v>0</v>
      </c>
      <c r="J220" s="71">
        <f>IF($D220=0,0,(INDEX('Cost Sheet'!$P:$P,MATCH('Quotation Structure - Room'!$D54,'Cost Sheet'!$C:$C,0))))</f>
        <v>0</v>
      </c>
      <c r="K220" s="71"/>
      <c r="L220" s="71">
        <f>IF($D220=0,0,(INDEX('Cost Sheet'!$P:$P,MATCH(D220,'Cost Sheet'!$C:$C,0))))</f>
        <v>0</v>
      </c>
      <c r="AE220" s="929"/>
      <c r="AF220" s="930"/>
      <c r="AG220" s="21" t="str">
        <f>+'Quotation Structure - Room'!C234</f>
        <v xml:space="preserve">Plugs </v>
      </c>
      <c r="AH220" s="121">
        <f>'Quotation Structure - Room'!D234</f>
        <v>0</v>
      </c>
      <c r="AI220" s="71">
        <f>IF($AH220=0,0,(INDEX('Cost Sheet'!$N:$N,MATCH('Quotation Structure - Room'!$D85,'Cost Sheet'!$C:$C,0))))</f>
        <v>0</v>
      </c>
      <c r="AJ220" s="20"/>
      <c r="AK220" s="19" t="s">
        <v>133</v>
      </c>
      <c r="AL220" s="71">
        <f>+IF($AH220=0,0,INDEX('Accessories Install - Labour'!$E:$E,MATCH('Calculation Sheet - BOM '!$AH220,'Accessories Install - Labour'!$C:$C,0)))</f>
        <v>0</v>
      </c>
      <c r="AM220" s="71">
        <f>IF($AH220=0,0,(INDEX('Cost Sheet'!$N:$N,MATCH(AH220,'Cost Sheet'!$C:$C,0))))</f>
        <v>0</v>
      </c>
      <c r="AN220" s="71">
        <f>IF($AH220=0,0,(INDEX('Cost Sheet'!$P:$P,MATCH('Quotation Structure - Room'!$D85,'Cost Sheet'!$C:$C,0))))</f>
        <v>0</v>
      </c>
      <c r="AO220" s="71">
        <f>+IF($AH220=0,0,INDEX('Accessories Install - Labour'!$F:$F,MATCH('Calculation Sheet - BOM '!$AH220,'Accessories Install - Labour'!$C:$C,0)))</f>
        <v>0</v>
      </c>
      <c r="AP220" s="71">
        <f>IF($AH220=0,0,(INDEX('Cost Sheet'!$P:$P,MATCH(AH220,'Cost Sheet'!$C:$C,0))))</f>
        <v>0</v>
      </c>
    </row>
    <row r="221" spans="1:42" x14ac:dyDescent="0.35">
      <c r="AE221" s="929"/>
      <c r="AF221" s="930"/>
      <c r="AG221" s="21" t="str">
        <f>+'Quotation Structure - Room'!C235</f>
        <v>Cover</v>
      </c>
      <c r="AH221" s="121">
        <f>'Quotation Structure - Room'!D235</f>
        <v>0</v>
      </c>
      <c r="AI221" s="71">
        <f>IF($AH221=0,0,(INDEX('Cost Sheet'!$N:$N,MATCH('Quotation Structure - Room'!$D87,'Cost Sheet'!$C:$C,0))))</f>
        <v>0</v>
      </c>
      <c r="AJ221" s="20"/>
      <c r="AK221" s="19" t="s">
        <v>133</v>
      </c>
      <c r="AL221" s="71">
        <f>+IF($AH221=0,0,INDEX('Accessories Install - Labour'!$E:$E,MATCH('Calculation Sheet - BOM '!$AH221,'Accessories Install - Labour'!$C:$C,0)))</f>
        <v>0</v>
      </c>
      <c r="AM221" s="71">
        <f>IF($AH221=0,0,(INDEX('Cost Sheet'!$N:$N,MATCH(AH221,'Cost Sheet'!$C:$C,0))))</f>
        <v>0</v>
      </c>
      <c r="AN221" s="71">
        <f>IF($AH221=0,0,(INDEX('Cost Sheet'!$P:$P,MATCH('Quotation Structure - Room'!$D87,'Cost Sheet'!$C:$C,0))))</f>
        <v>0</v>
      </c>
      <c r="AO221" s="71">
        <f>+IF($AH221=0,0,INDEX('Accessories Install - Labour'!$F:$F,MATCH('Calculation Sheet - BOM '!$AH221,'Accessories Install - Labour'!$C:$C,0)))</f>
        <v>0</v>
      </c>
      <c r="AP221" s="71">
        <f>IF($AH221=0,0,(INDEX('Cost Sheet'!$P:$P,MATCH(AH221,'Cost Sheet'!$C:$C,0))))</f>
        <v>0</v>
      </c>
    </row>
    <row r="222" spans="1:42" x14ac:dyDescent="0.35">
      <c r="AE222" s="929"/>
      <c r="AF222" s="930"/>
      <c r="AG222" s="21" t="str">
        <f>+'Quotation Structure - Room'!C236</f>
        <v>Silicon</v>
      </c>
      <c r="AH222" s="121">
        <f>'Quotation Structure - Room'!D236</f>
        <v>0</v>
      </c>
      <c r="AI222" s="71">
        <f>IF($AH222=0,0,(INDEX('Cost Sheet'!$N:$N,MATCH('Quotation Structure - Room'!$D96,'Cost Sheet'!$C:$C,0))))</f>
        <v>0</v>
      </c>
      <c r="AJ222" s="20"/>
      <c r="AK222" s="19"/>
      <c r="AL222" s="71"/>
      <c r="AM222" s="71">
        <f>IF($AH222=0,0,(INDEX('Cost Sheet'!$N:$N,MATCH(AH222,'Cost Sheet'!$C:$C,0))))</f>
        <v>0</v>
      </c>
      <c r="AN222" s="71">
        <f>IF($AH222=0,0,(INDEX('Cost Sheet'!$P:$P,MATCH('Quotation Structure - Room'!$D96,'Cost Sheet'!$C:$C,0))))</f>
        <v>0</v>
      </c>
      <c r="AO222" s="71"/>
      <c r="AP222" s="71">
        <f>IF($AH222=0,0,(INDEX('Cost Sheet'!$P:$P,MATCH(AH222,'Cost Sheet'!$C:$C,0))))</f>
        <v>0</v>
      </c>
    </row>
    <row r="226" spans="1:12" ht="43.5" x14ac:dyDescent="0.35">
      <c r="A226" s="526" t="s">
        <v>434</v>
      </c>
      <c r="B226" s="527"/>
      <c r="C226" s="27" t="s">
        <v>433</v>
      </c>
      <c r="D226" s="150" t="s">
        <v>82</v>
      </c>
      <c r="E226" s="160" t="s">
        <v>321</v>
      </c>
      <c r="F226" s="160" t="s">
        <v>334</v>
      </c>
      <c r="G226" s="160" t="s">
        <v>322</v>
      </c>
      <c r="H226" s="220" t="s">
        <v>335</v>
      </c>
      <c r="I226" s="160" t="s">
        <v>336</v>
      </c>
      <c r="J226" s="160" t="s">
        <v>337</v>
      </c>
      <c r="K226" s="220" t="s">
        <v>338</v>
      </c>
      <c r="L226" s="160" t="s">
        <v>339</v>
      </c>
    </row>
    <row r="227" spans="1:12" x14ac:dyDescent="0.35">
      <c r="A227" s="526"/>
      <c r="B227" s="527"/>
      <c r="C227" s="21" t="str">
        <f>+'Quotation Structure - Room'!C78</f>
        <v>LED Lights</v>
      </c>
      <c r="D227" s="121" t="str">
        <f>'Quotation Structure - Room'!D78</f>
        <v>Room LED lights - 48"</v>
      </c>
      <c r="E227" s="71">
        <f>IF($D227=0,0,(INDEX('Cost Sheet'!$N:$N,MATCH('Quotation Structure - Room'!D78,'Cost Sheet'!$C:$C,0))))</f>
        <v>144.44444444444443</v>
      </c>
      <c r="F227" s="20"/>
      <c r="G227" s="19" t="s">
        <v>133</v>
      </c>
      <c r="H227" s="71"/>
      <c r="I227" s="71">
        <f>IF($D227=0,0,(INDEX('Cost Sheet'!$N:$N,MATCH(D227,'Cost Sheet'!$C:$C,0))))</f>
        <v>144.44444444444443</v>
      </c>
      <c r="J227" s="71" t="e">
        <f>IF($D227=0,0,(INDEX('Cost Sheet'!$P:$P,MATCH('Quotation Structure - Room'!#REF!,'Cost Sheet'!$C:$C,0))))</f>
        <v>#REF!</v>
      </c>
      <c r="K227" s="71"/>
      <c r="L227" s="71">
        <f>IF($D227=0,0,(INDEX('Cost Sheet'!$P:$P,MATCH(D227,'Cost Sheet'!$C:$C,0))))</f>
        <v>144.44444444444443</v>
      </c>
    </row>
    <row r="228" spans="1:12" x14ac:dyDescent="0.35">
      <c r="A228" s="526"/>
      <c r="B228" s="527"/>
      <c r="C228" s="21" t="str">
        <f>+'Quotation Structure - Room'!C79</f>
        <v>Trims per ft.</v>
      </c>
      <c r="D228" s="121" t="str">
        <f>'Quotation Structure - Room'!D79</f>
        <v>Exterior Trim - 2" X 2" (26 GA white stucco)</v>
      </c>
      <c r="E228" s="71">
        <f>IF($D228=0,0,(INDEX('Cost Sheet'!$N:$N,MATCH('Quotation Structure - Room'!D79,'Cost Sheet'!$C:$C,0))))</f>
        <v>10.465686516761387</v>
      </c>
      <c r="F228" s="20"/>
      <c r="G228" s="19" t="s">
        <v>133</v>
      </c>
      <c r="H228" s="71"/>
      <c r="I228" s="71">
        <f>IF($D228=0,0,(INDEX('Cost Sheet'!$N:$N,MATCH(D228,'Cost Sheet'!$C:$C,0))))</f>
        <v>10.465686516761387</v>
      </c>
      <c r="J228" s="71" t="e">
        <f>IF($D228=0,0,(INDEX('Cost Sheet'!$P:$P,MATCH('Quotation Structure - Room'!#REF!,'Cost Sheet'!$C:$C,0))))</f>
        <v>#REF!</v>
      </c>
      <c r="K228" s="71"/>
      <c r="L228" s="71">
        <f>IF($D228=0,0,(INDEX('Cost Sheet'!$P:$P,MATCH(D228,'Cost Sheet'!$C:$C,0))))</f>
        <v>10.465686516761387</v>
      </c>
    </row>
    <row r="229" spans="1:12" x14ac:dyDescent="0.35">
      <c r="A229" s="526"/>
      <c r="B229" s="527"/>
      <c r="C229" s="21" t="str">
        <f>+'Quotation Structure - Room'!C80</f>
        <v>Cut-Outs per unit</v>
      </c>
      <c r="D229" s="121" t="str">
        <f>'Quotation Structure - Room'!D80</f>
        <v xml:space="preserve">Cut-outs </v>
      </c>
      <c r="E229" s="71">
        <f>IF($D229=0,0,(INDEX('Cost Sheet'!$N:$N,MATCH('Quotation Structure - Room'!D80,'Cost Sheet'!$C:$C,0))))</f>
        <v>148.14814814814815</v>
      </c>
      <c r="F229" s="20"/>
      <c r="G229" s="19" t="s">
        <v>133</v>
      </c>
      <c r="H229" s="71"/>
      <c r="I229" s="71">
        <f>IF($D229=0,0,(INDEX('Cost Sheet'!$N:$N,MATCH(D229,'Cost Sheet'!$C:$C,0))))</f>
        <v>148.14814814814815</v>
      </c>
      <c r="J229" s="71" t="e">
        <f>IF($D229=0,0,(INDEX('Cost Sheet'!$P:$P,MATCH('Quotation Structure - Room'!#REF!,'Cost Sheet'!$C:$C,0))))</f>
        <v>#REF!</v>
      </c>
      <c r="K229" s="71"/>
      <c r="L229" s="71">
        <f>IF($D229=0,0,(INDEX('Cost Sheet'!$P:$P,MATCH(D229,'Cost Sheet'!$C:$C,0))))</f>
        <v>148.14814814814815</v>
      </c>
    </row>
    <row r="230" spans="1:12" x14ac:dyDescent="0.35">
      <c r="A230" s="526"/>
      <c r="B230" s="527"/>
      <c r="C230" s="21" t="str">
        <f>+'Quotation Structure - Room'!C81</f>
        <v xml:space="preserve">Ramp per inch. </v>
      </c>
      <c r="D230" s="121" t="str">
        <f>'Quotation Structure - Room'!D81</f>
        <v xml:space="preserve">Ramp </v>
      </c>
      <c r="E230" s="71">
        <f>IF($D230=0,0,(INDEX('Cost Sheet'!$N:$N,MATCH('Quotation Structure - Room'!D81,'Cost Sheet'!$C:$C,0))))</f>
        <v>6.17</v>
      </c>
      <c r="F230" s="20"/>
      <c r="G230" s="19" t="s">
        <v>133</v>
      </c>
      <c r="H230" s="71"/>
      <c r="I230" s="71">
        <f>IF($D230=0,0,(INDEX('Cost Sheet'!$N:$N,MATCH(D230,'Cost Sheet'!$C:$C,0))))</f>
        <v>6.17</v>
      </c>
      <c r="J230" s="71" t="e">
        <f>IF($D230=0,0,(INDEX('Cost Sheet'!$P:$P,MATCH('Quotation Structure - Room'!$D70,'Cost Sheet'!$C:$C,0))))</f>
        <v>#N/A</v>
      </c>
      <c r="K230" s="71"/>
      <c r="L230" s="71">
        <f>IF($D230=0,0,(INDEX('Cost Sheet'!$P:$P,MATCH(D230,'Cost Sheet'!$C:$C,0))))</f>
        <v>6.17</v>
      </c>
    </row>
    <row r="231" spans="1:12" x14ac:dyDescent="0.35">
      <c r="A231" s="526"/>
      <c r="B231" s="527"/>
      <c r="C231" s="21" t="str">
        <f>+'Quotation Structure - Room'!C82</f>
        <v xml:space="preserve">U-Channel per ft. </v>
      </c>
      <c r="D231" s="121" t="str">
        <f>'Quotation Structure - Room'!D82</f>
        <v xml:space="preserve">U-Channel - 3" </v>
      </c>
      <c r="E231" s="71">
        <f>IF($D231=0,0,(INDEX('Cost Sheet'!$N:$N,MATCH('Quotation Structure - Room'!D82,'Cost Sheet'!$C:$C,0))))</f>
        <v>8.25</v>
      </c>
      <c r="F231" s="20"/>
      <c r="G231" s="19" t="s">
        <v>133</v>
      </c>
      <c r="H231" s="71"/>
      <c r="I231" s="71">
        <f>IF($D231=0,0,(INDEX('Cost Sheet'!$N:$N,MATCH(D231,'Cost Sheet'!$C:$C,0))))</f>
        <v>8.25</v>
      </c>
      <c r="J231" s="71" t="e">
        <f>IF($D231=0,0,(INDEX('Cost Sheet'!$P:$P,MATCH('Quotation Structure - Room'!$E71,'Cost Sheet'!$C:$C,0))))</f>
        <v>#N/A</v>
      </c>
      <c r="K231" s="71"/>
      <c r="L231" s="71">
        <f>IF($D231=0,0,(INDEX('Cost Sheet'!$P:$P,MATCH(D231,'Cost Sheet'!$C:$C,0))))</f>
        <v>8.25</v>
      </c>
    </row>
    <row r="232" spans="1:12" x14ac:dyDescent="0.35">
      <c r="A232" s="526"/>
      <c r="B232" s="527"/>
      <c r="C232" s="21" t="str">
        <f>+'Quotation Structure - Room'!C83</f>
        <v xml:space="preserve">Receptacle Box </v>
      </c>
      <c r="D232" s="121" t="str">
        <f>'Quotation Structure - Room'!D83</f>
        <v xml:space="preserve">Receptacle Box </v>
      </c>
      <c r="E232" s="71">
        <f>IF($D232=0,0,(INDEX('Cost Sheet'!$N:$N,MATCH('Quotation Structure - Room'!D83,'Cost Sheet'!$C:$C,0))))</f>
        <v>1.87</v>
      </c>
      <c r="F232" s="20"/>
      <c r="G232" s="19" t="s">
        <v>133</v>
      </c>
      <c r="H232" s="71">
        <f>+IF($D232=0,0,INDEX('Accessories Install - Labour'!$E:$E,MATCH('Calculation Sheet - BOM '!$D232,'Accessories Install - Labour'!$C:$C,0)))</f>
        <v>17.333333333333332</v>
      </c>
      <c r="I232" s="71">
        <f>IF($D232=0,0,(INDEX('Cost Sheet'!$N:$N,MATCH(D232,'Cost Sheet'!$C:$C,0))))+H232</f>
        <v>19.203333333333333</v>
      </c>
      <c r="J232" s="71" t="e">
        <f>IF($D232=0,0,(INDEX('Cost Sheet'!$P:$P,MATCH('Quotation Structure - Room'!#REF!,'Cost Sheet'!$C:$C,0))))</f>
        <v>#REF!</v>
      </c>
      <c r="K232" s="71">
        <f>+IF($D232=0,0,INDEX('Accessories Install - Labour'!$F:$F,MATCH('Calculation Sheet - BOM '!$D232,'Accessories Install - Labour'!$C:$C,0)))</f>
        <v>17.333333333333332</v>
      </c>
      <c r="L232" s="71">
        <f>IF($D232=0,0,(INDEX('Cost Sheet'!$P:$P,MATCH(D232,'Cost Sheet'!$C:$C,0))))+K232</f>
        <v>19.203333333333333</v>
      </c>
    </row>
    <row r="233" spans="1:12" x14ac:dyDescent="0.35">
      <c r="A233" s="526"/>
      <c r="B233" s="527"/>
      <c r="C233" s="21" t="str">
        <f>+'Quotation Structure - Room'!C84</f>
        <v>Junction Box</v>
      </c>
      <c r="D233" s="121" t="str">
        <f>'Quotation Structure - Room'!D84</f>
        <v xml:space="preserve">Metal - Octagon (Hexagon) Box 4" x 4" x 1-1/2" </v>
      </c>
      <c r="E233" s="71">
        <f>IF($D233=0,0,(INDEX('Cost Sheet'!$N:$N,MATCH('Quotation Structure - Room'!D84,'Cost Sheet'!$C:$C,0))))</f>
        <v>2.27</v>
      </c>
      <c r="F233" s="20"/>
      <c r="G233" s="19" t="s">
        <v>133</v>
      </c>
      <c r="H233" s="71">
        <f>+IF($D233=0,0,INDEX('Accessories Install - Labour'!$E:$E,MATCH('Calculation Sheet - BOM '!$D233,'Accessories Install - Labour'!$C:$C,0)))</f>
        <v>17.333333333333332</v>
      </c>
      <c r="I233" s="71">
        <f>IF($D233=0,0,(INDEX('Cost Sheet'!$N:$N,MATCH(D233,'Cost Sheet'!$C:$C,0))))+H233</f>
        <v>19.603333333333332</v>
      </c>
      <c r="J233" s="71" t="e">
        <f>IF($D233=0,0,(INDEX('Cost Sheet'!$P:$P,MATCH('Quotation Structure - Room'!$E74,'Cost Sheet'!$C:$C,0))))</f>
        <v>#N/A</v>
      </c>
      <c r="K233" s="71">
        <f>+IF($D233=0,0,INDEX('Accessories Install - Labour'!$F:$F,MATCH('Calculation Sheet - BOM '!$D233,'Accessories Install - Labour'!$C:$C,0)))</f>
        <v>17.333333333333332</v>
      </c>
      <c r="L233" s="71">
        <f>IF($D233=0,0,(INDEX('Cost Sheet'!$P:$P,MATCH(D233,'Cost Sheet'!$C:$C,0))))+K233</f>
        <v>19.603333333333332</v>
      </c>
    </row>
    <row r="234" spans="1:12" x14ac:dyDescent="0.35">
      <c r="A234" s="526"/>
      <c r="B234" s="527"/>
      <c r="C234" s="21" t="str">
        <f>+'Quotation Structure - Room'!C85</f>
        <v>Switch</v>
      </c>
      <c r="D234" s="121" t="str">
        <f>'Quotation Structure - Room'!D85</f>
        <v>3 Way Pole Pilot Light Switch</v>
      </c>
      <c r="E234" s="71">
        <f>IF($D234=0,0,(INDEX('Cost Sheet'!$N:$N,MATCH('Quotation Structure - Room'!D85,'Cost Sheet'!$C:$C,0))))</f>
        <v>7.05</v>
      </c>
      <c r="F234" s="20"/>
      <c r="G234" s="19" t="s">
        <v>133</v>
      </c>
      <c r="H234" s="71">
        <f>+IF($D234=0,0,INDEX('Accessories Install - Labour'!$E:$E,MATCH('Calculation Sheet - BOM '!$D234,'Accessories Install - Labour'!$C:$C,0)))</f>
        <v>65</v>
      </c>
      <c r="I234" s="71">
        <f>IF($D234=0,0,(INDEX('Cost Sheet'!$N:$N,MATCH(D234,'Cost Sheet'!$C:$C,0))))+H234</f>
        <v>72.05</v>
      </c>
      <c r="J234" s="71" t="e">
        <f>IF($D234=0,0,(INDEX('Cost Sheet'!$P:$P,MATCH('Quotation Structure - Room'!#REF!,'Cost Sheet'!$C:$C,0))))</f>
        <v>#REF!</v>
      </c>
      <c r="K234" s="71">
        <f>+IF($D234=0,0,INDEX('Accessories Install - Labour'!$F:$F,MATCH('Calculation Sheet - BOM '!$D234,'Accessories Install - Labour'!$C:$C,0)))</f>
        <v>65</v>
      </c>
      <c r="L234" s="71">
        <f>IF($D234=0,0,(INDEX('Cost Sheet'!$P:$P,MATCH(D234,'Cost Sheet'!$C:$C,0))))+K234</f>
        <v>72.05</v>
      </c>
    </row>
    <row r="235" spans="1:12" x14ac:dyDescent="0.35">
      <c r="A235" s="526"/>
      <c r="B235" s="527"/>
      <c r="C235" s="21" t="str">
        <f>+'Quotation Structure - Room'!C86</f>
        <v>Cover</v>
      </c>
      <c r="D235" s="121" t="str">
        <f>'Quotation Structure - Room'!D86</f>
        <v>SS Plain Cover</v>
      </c>
      <c r="E235" s="71">
        <f>IF($D235=0,0,(INDEX('Cost Sheet'!$N:$N,MATCH('Quotation Structure - Room'!D86,'Cost Sheet'!$C:$C,0))))</f>
        <v>1.93</v>
      </c>
      <c r="F235" s="20"/>
      <c r="G235" s="19"/>
      <c r="H235" s="71">
        <f>+IF($D235=0,0,INDEX('Accessories Install - Labour'!$E:$E,MATCH('Calculation Sheet - BOM '!$D235,'Accessories Install - Labour'!$C:$C,0)))</f>
        <v>4.333333333333333</v>
      </c>
      <c r="I235" s="71">
        <f>IF($D235=0,0,(INDEX('Cost Sheet'!$N:$N,MATCH(D235,'Cost Sheet'!$C:$C,0))))+H235</f>
        <v>6.2633333333333328</v>
      </c>
      <c r="J235" s="71" t="e">
        <f>IF($D235=0,0,(INDEX('Cost Sheet'!$P:$P,MATCH('Quotation Structure - Room'!#REF!,'Cost Sheet'!$C:$C,0))))</f>
        <v>#REF!</v>
      </c>
      <c r="K235" s="71">
        <f>+IF($D235=0,0,INDEX('Accessories Install - Labour'!$F:$F,MATCH('Calculation Sheet - BOM '!$D235,'Accessories Install - Labour'!$C:$C,0)))</f>
        <v>4.333333333333333</v>
      </c>
      <c r="L235" s="71">
        <f>IF($D235=0,0,(INDEX('Cost Sheet'!$P:$P,MATCH(D235,'Cost Sheet'!$C:$C,0))))+K235</f>
        <v>6.2633333333333328</v>
      </c>
    </row>
    <row r="236" spans="1:12" x14ac:dyDescent="0.35">
      <c r="A236" s="526"/>
      <c r="B236" s="527"/>
      <c r="C236" s="21" t="str">
        <f>+'Quotation Structure - Room'!C87</f>
        <v>Silicon</v>
      </c>
      <c r="D236" s="121" t="str">
        <f>'Quotation Structure - Room'!D87</f>
        <v xml:space="preserve">White </v>
      </c>
      <c r="E236" s="71">
        <f>IF($D236=0,0,(INDEX('Cost Sheet'!$N:$N,MATCH('Quotation Structure - Room'!D87,'Cost Sheet'!$C:$C,0))))</f>
        <v>7.01</v>
      </c>
      <c r="F236" s="20"/>
      <c r="G236" s="19"/>
      <c r="H236" s="71"/>
      <c r="I236" s="71">
        <f>IF($D236=0,0,(INDEX('Cost Sheet'!$N:$N,MATCH(D236,'Cost Sheet'!$C:$C,0))))+H236</f>
        <v>7.01</v>
      </c>
      <c r="J236" s="71" t="e">
        <f>IF($D236=0,0,(INDEX('Cost Sheet'!$P:$P,MATCH('Quotation Structure - Room'!$E75,'Cost Sheet'!$C:$C,0))))</f>
        <v>#N/A</v>
      </c>
      <c r="K236" s="71"/>
      <c r="L236" s="71">
        <f>IF($D236=0,0,(INDEX('Cost Sheet'!$P:$P,MATCH(D236,'Cost Sheet'!$C:$C,0))))+K236</f>
        <v>7.01</v>
      </c>
    </row>
    <row r="243" spans="3:17" x14ac:dyDescent="0.35">
      <c r="H243" s="4"/>
      <c r="I243" s="188"/>
      <c r="K243" s="4">
        <f>0.29*N249</f>
        <v>37.893333333333331</v>
      </c>
      <c r="L243" s="188"/>
      <c r="N243" s="3"/>
      <c r="O243" s="16"/>
      <c r="P243" s="4"/>
      <c r="Q243" s="15"/>
    </row>
    <row r="244" spans="3:17" ht="18.5" x14ac:dyDescent="0.35">
      <c r="H244" s="4"/>
      <c r="I244" s="188"/>
      <c r="K244" s="4"/>
      <c r="L244" s="188"/>
      <c r="M244" s="445" t="s">
        <v>435</v>
      </c>
      <c r="N244" s="445"/>
      <c r="O244" s="16"/>
      <c r="P244" s="4"/>
      <c r="Q244" s="15"/>
    </row>
    <row r="245" spans="3:17" x14ac:dyDescent="0.35">
      <c r="H245" s="4">
        <f>+(H253*I253)+($D$255*H253)</f>
        <v>45.2</v>
      </c>
      <c r="I245" s="188">
        <f>+H245-$D$253</f>
        <v>-2.7999999999999972</v>
      </c>
      <c r="K245" s="4"/>
      <c r="L245" s="188">
        <f>218*1.3</f>
        <v>283.40000000000003</v>
      </c>
      <c r="M245" s="46" t="s">
        <v>225</v>
      </c>
      <c r="N245" s="46" t="s">
        <v>279</v>
      </c>
      <c r="O245" s="16"/>
      <c r="P245" s="4"/>
      <c r="Q245" s="15"/>
    </row>
    <row r="246" spans="3:17" x14ac:dyDescent="0.35">
      <c r="H246" s="4">
        <f>+(H254*I254)+($D$255*H254)</f>
        <v>46.5</v>
      </c>
      <c r="I246" s="188">
        <f>+H246-$D$253</f>
        <v>-1.5</v>
      </c>
      <c r="K246" s="4"/>
      <c r="L246" s="188"/>
      <c r="M246" s="46" t="s">
        <v>436</v>
      </c>
      <c r="N246" s="19">
        <v>48</v>
      </c>
      <c r="O246" s="16"/>
      <c r="P246" s="4"/>
      <c r="Q246" s="15"/>
    </row>
    <row r="247" spans="3:17" x14ac:dyDescent="0.35">
      <c r="H247" s="4">
        <f>+(H255*I255)+($D$255*H255)</f>
        <v>43.8</v>
      </c>
      <c r="I247" s="188">
        <f>+H247-$D$253</f>
        <v>-4.2000000000000028</v>
      </c>
      <c r="K247" s="4"/>
      <c r="L247" s="188"/>
      <c r="M247" s="46" t="s">
        <v>437</v>
      </c>
      <c r="N247" s="19">
        <v>54</v>
      </c>
      <c r="O247" s="16"/>
      <c r="P247" s="4"/>
      <c r="Q247" s="15"/>
    </row>
    <row r="248" spans="3:17" x14ac:dyDescent="0.35">
      <c r="H248" s="4"/>
      <c r="I248" s="188"/>
      <c r="K248" s="4"/>
      <c r="L248" s="188"/>
      <c r="M248" s="46" t="s">
        <v>406</v>
      </c>
      <c r="N248" s="19">
        <f>8*12</f>
        <v>96</v>
      </c>
      <c r="O248" s="16"/>
      <c r="P248" s="4"/>
      <c r="Q248" s="15"/>
    </row>
    <row r="249" spans="3:17" x14ac:dyDescent="0.35">
      <c r="H249" s="4"/>
      <c r="I249" s="188"/>
      <c r="K249" s="4"/>
      <c r="L249" s="188"/>
      <c r="M249" s="46" t="s">
        <v>438</v>
      </c>
      <c r="N249" s="420">
        <f>+(((N248/12)+(8/12))*(N246/12))+((N246/12)*(N247/12))+((N248/12)+(8/12))*(N247/12)*2</f>
        <v>130.66666666666666</v>
      </c>
      <c r="O249" s="16"/>
      <c r="P249" s="4"/>
      <c r="Q249" s="15"/>
    </row>
    <row r="250" spans="3:17" x14ac:dyDescent="0.35">
      <c r="H250" s="4"/>
      <c r="I250" s="188"/>
      <c r="K250" s="4"/>
      <c r="L250" s="188"/>
      <c r="M250" s="46" t="s">
        <v>439</v>
      </c>
      <c r="N250" s="19">
        <v>2</v>
      </c>
      <c r="O250" s="16"/>
      <c r="P250" s="4"/>
      <c r="Q250" s="15"/>
    </row>
    <row r="251" spans="3:17" x14ac:dyDescent="0.35">
      <c r="H251" s="47" t="s">
        <v>440</v>
      </c>
      <c r="I251" s="188"/>
      <c r="K251" s="46" t="s">
        <v>441</v>
      </c>
      <c r="L251" s="46"/>
      <c r="M251" s="46" t="s">
        <v>442</v>
      </c>
      <c r="N251" s="19">
        <v>75</v>
      </c>
      <c r="O251" s="16"/>
      <c r="P251" s="4"/>
      <c r="Q251" s="15"/>
    </row>
    <row r="252" spans="3:17" x14ac:dyDescent="0.35">
      <c r="C252" s="46" t="s">
        <v>443</v>
      </c>
      <c r="D252" s="46" t="s">
        <v>279</v>
      </c>
      <c r="F252" s="21" t="s">
        <v>444</v>
      </c>
      <c r="G252" s="46" t="s">
        <v>279</v>
      </c>
      <c r="H252" s="19" t="s">
        <v>252</v>
      </c>
      <c r="I252" s="71" t="s">
        <v>445</v>
      </c>
      <c r="K252" s="21" t="s">
        <v>446</v>
      </c>
      <c r="L252" s="189">
        <f>+'Cost Sheet'!$N$198*1.15</f>
        <v>0.28749999999999998</v>
      </c>
      <c r="M252" s="46" t="s">
        <v>447</v>
      </c>
      <c r="N252" s="189">
        <f>+N251*N250*'Accessories Install - Labour'!$E$2/60</f>
        <v>130</v>
      </c>
      <c r="O252" s="16">
        <f>+L252*N249</f>
        <v>37.566666666666663</v>
      </c>
      <c r="P252" s="4"/>
      <c r="Q252" s="15"/>
    </row>
    <row r="253" spans="3:17" x14ac:dyDescent="0.35">
      <c r="C253" s="21" t="s">
        <v>436</v>
      </c>
      <c r="D253" s="19">
        <v>48</v>
      </c>
      <c r="F253" s="20" t="s">
        <v>448</v>
      </c>
      <c r="G253" s="19">
        <v>47</v>
      </c>
      <c r="H253" s="19">
        <v>4</v>
      </c>
      <c r="I253" s="30">
        <f>ROUNDDOWN((($D$253)/(H253+$D$255)),0)</f>
        <v>11</v>
      </c>
      <c r="K253" s="21" t="s">
        <v>449</v>
      </c>
      <c r="L253" s="189">
        <f>+N253</f>
        <v>0.99489795918367352</v>
      </c>
      <c r="M253" s="118" t="s">
        <v>449</v>
      </c>
      <c r="N253" s="189">
        <f>+N252/N249</f>
        <v>0.99489795918367352</v>
      </c>
      <c r="O253" s="16">
        <f>+L253*N249</f>
        <v>130</v>
      </c>
      <c r="P253" s="4"/>
      <c r="Q253" s="15"/>
    </row>
    <row r="254" spans="3:17" x14ac:dyDescent="0.35">
      <c r="C254" s="21" t="s">
        <v>437</v>
      </c>
      <c r="D254" s="19">
        <v>54</v>
      </c>
      <c r="F254" s="20" t="s">
        <v>450</v>
      </c>
      <c r="G254" s="329">
        <f>+F259</f>
        <v>96.003840153606149</v>
      </c>
      <c r="H254" s="19">
        <v>5</v>
      </c>
      <c r="I254" s="30">
        <f>ROUNDDOWN((($D$253)/(H254+$D$255)),0)</f>
        <v>9</v>
      </c>
      <c r="K254" s="4"/>
      <c r="L254" s="4"/>
      <c r="N254" s="3"/>
      <c r="O254" s="16">
        <f>SUM(O252:O253)</f>
        <v>167.56666666666666</v>
      </c>
      <c r="P254" s="4"/>
      <c r="Q254" s="15"/>
    </row>
    <row r="255" spans="3:17" x14ac:dyDescent="0.35">
      <c r="C255" s="21" t="s">
        <v>451</v>
      </c>
      <c r="D255" s="19">
        <v>0.3</v>
      </c>
      <c r="F255" s="20" t="s">
        <v>452</v>
      </c>
      <c r="G255" s="329">
        <f>+$F$270</f>
        <v>120.00480019200768</v>
      </c>
      <c r="H255" s="19">
        <v>6</v>
      </c>
      <c r="I255" s="30">
        <f>ROUNDDOWN((($D$253)/(H255+$D$255)),0)</f>
        <v>7</v>
      </c>
      <c r="K255" s="4"/>
      <c r="L255" s="188"/>
      <c r="N255" s="3"/>
      <c r="O255" s="16"/>
      <c r="P255" s="4"/>
      <c r="Q255" s="15"/>
    </row>
    <row r="256" spans="3:17" x14ac:dyDescent="0.35">
      <c r="H256" s="4"/>
      <c r="I256" s="188"/>
      <c r="K256" s="4"/>
      <c r="L256" s="188"/>
      <c r="N256" s="3"/>
      <c r="O256" s="16"/>
      <c r="P256" s="4"/>
      <c r="Q256" s="15"/>
    </row>
    <row r="257" spans="1:18" ht="16" customHeight="1" thickBot="1" x14ac:dyDescent="0.4">
      <c r="H257" s="4"/>
      <c r="I257" s="188"/>
      <c r="K257" s="4"/>
      <c r="L257" s="188"/>
      <c r="N257" s="3"/>
      <c r="O257" s="16"/>
      <c r="P257" s="4"/>
      <c r="Q257" s="15"/>
    </row>
    <row r="258" spans="1:18" ht="31" x14ac:dyDescent="0.35">
      <c r="A258" s="519" t="s">
        <v>453</v>
      </c>
      <c r="B258" s="520"/>
      <c r="C258" s="352" t="s">
        <v>454</v>
      </c>
      <c r="D258" s="351" t="s">
        <v>455</v>
      </c>
      <c r="E258" s="351" t="s">
        <v>456</v>
      </c>
      <c r="F258" s="351" t="s">
        <v>457</v>
      </c>
      <c r="G258" s="352" t="s">
        <v>458</v>
      </c>
      <c r="H258" s="352" t="s">
        <v>224</v>
      </c>
      <c r="I258" s="352" t="s">
        <v>459</v>
      </c>
      <c r="J258" s="353"/>
      <c r="K258" s="352" t="s">
        <v>460</v>
      </c>
      <c r="L258" s="353" t="s">
        <v>461</v>
      </c>
      <c r="M258" s="352" t="s">
        <v>462</v>
      </c>
      <c r="N258" s="352" t="s">
        <v>463</v>
      </c>
      <c r="O258" s="352" t="s">
        <v>464</v>
      </c>
      <c r="P258" s="351" t="s">
        <v>465</v>
      </c>
      <c r="Q258" s="351" t="s">
        <v>466</v>
      </c>
      <c r="R258" s="354" t="s">
        <v>180</v>
      </c>
    </row>
    <row r="259" spans="1:18" x14ac:dyDescent="0.35">
      <c r="A259" s="521"/>
      <c r="B259" s="512"/>
      <c r="C259" s="20" t="s">
        <v>467</v>
      </c>
      <c r="D259" s="329">
        <f>+'Quotation - Summary Sheet ROOMS'!F15/'Calculation Sheet - BOM '!$L$2</f>
        <v>81.003240129605189</v>
      </c>
      <c r="E259" s="329">
        <f>+'Quotation - Summary Sheet ROOMS'!G15/'Calculation Sheet - BOM '!$L$2</f>
        <v>96.003840153606149</v>
      </c>
      <c r="F259" s="530">
        <f>+'Quotation - Summary Sheet ROOMS'!H15/'Calculation Sheet - BOM '!$L$2</f>
        <v>96.003840153606149</v>
      </c>
      <c r="G259" s="19">
        <f>+'Quotation - Summary Sheet ROOMS'!I15</f>
        <v>3</v>
      </c>
      <c r="H259" s="30">
        <f t="shared" ref="H259:H264" si="62">ROUNDUP(D259/$G$253,0)+ROUNDUP(E259/$G$254,0)</f>
        <v>3</v>
      </c>
      <c r="I259" s="20" t="s">
        <v>224</v>
      </c>
      <c r="J259" s="30">
        <f>+SUM(H259:H264)</f>
        <v>17</v>
      </c>
      <c r="K259" s="30" t="e">
        <f>+(((MAX('Quotation - Summary Sheet ROOMS'!$G$15:$G$18,'Quotation - Summary Sheet ROOMS'!$F$20,'Quotation - Summary Sheet ROOMS'!$F$21)+(8/12))*ROUNDUP((((O259*(INDEX($H$253:$H$255,MATCH($O$259,$I$253:$I$255,0))))+4)/12),1))+(ROUNDUP((((O259*(INDEX($H$253:$H$255,MATCH($O$259,$I$253:$I$255,0))))+4)/12),1)*($D$254/12))+((MAX('Quotation - Summary Sheet ROOMS'!$G$15:$G$18,'Quotation - Summary Sheet ROOMS'!F20,'Quotation - Summary Sheet ROOMS'!F21)+(8/12))*($D$254/12)))*2</f>
        <v>#N/A</v>
      </c>
      <c r="L259" s="30">
        <f>+(J261*2.35)+IF(C263=C113,(J262*2.35),(J262*2.8))+IF(C264=C115,(J263*2.65),(J263*3.05))</f>
        <v>707.19725000000005</v>
      </c>
      <c r="M259" s="19" t="e">
        <f>+ROUNDUP((J259/J260),0)</f>
        <v>#N/A</v>
      </c>
      <c r="N259" s="19">
        <v>1</v>
      </c>
      <c r="O259" s="30" t="e">
        <f>+J260</f>
        <v>#N/A</v>
      </c>
      <c r="P259" s="19" t="e">
        <f>+CONCATENATE((((ROUND(MAX($G$254),0)))+(9))," inches - X ",ROUNDUP((((O259*(INDEX($H$253:$H$255,MATCH($O$259,$I$253:$I$255,0))))+4)),1)," inches - X ",($D$254)," inches")</f>
        <v>#N/A</v>
      </c>
      <c r="Q259" s="19" t="e">
        <f>ROUNDUP(((((ROUND(MAX('Quotation - Summary Sheet ROOMS'!$G$15:$G$18,'Quotation - Summary Sheet ROOMS'!$F$20,'Quotation - Summary Sheet ROOMS'!$F$21),0))+(8/12))+(ROUNDUP((((O259*(INDEX($H$253:$H$255,MATCH($O$259,$I$253:$I$255,0))))+4)/12),1))+($D$254/12))*4)+((4*((2*(ROUND(MAX('Quotation - Summary Sheet ROOMS'!$G$15:$G$18,'Quotation - Summary Sheet ROOMS'!$F$20,'Quotation - Summary Sheet ROOMS'!$F$21),0)))+($D$254/12)))),0)</f>
        <v>#N/A</v>
      </c>
      <c r="R259" s="355" t="e">
        <f>+(($L$253*K259)+($L$252*Q259))</f>
        <v>#N/A</v>
      </c>
    </row>
    <row r="260" spans="1:18" x14ac:dyDescent="0.35">
      <c r="A260" s="521"/>
      <c r="B260" s="512"/>
      <c r="C260" s="20" t="s">
        <v>468</v>
      </c>
      <c r="D260" s="329">
        <f>+'Quotation - Summary Sheet ROOMS'!F16/'Calculation Sheet - BOM '!$L$2</f>
        <v>81.003240129605189</v>
      </c>
      <c r="E260" s="329">
        <f>+'Quotation - Summary Sheet ROOMS'!G16/'Calculation Sheet - BOM '!$L$2</f>
        <v>96.003840153606149</v>
      </c>
      <c r="F260" s="531"/>
      <c r="G260" s="19"/>
      <c r="H260" s="30">
        <f t="shared" si="62"/>
        <v>3</v>
      </c>
      <c r="I260" s="49" t="s">
        <v>469</v>
      </c>
      <c r="J260" s="30" t="e">
        <f>+INDEX($I$253:$I$255,MATCH(G259,$H$253:$H$255,0))</f>
        <v>#N/A</v>
      </c>
      <c r="K260" s="30" t="e">
        <f>+(((MAX('Quotation - Summary Sheet ROOMS'!$G$15:$G$18,'Quotation - Summary Sheet ROOMS'!$F$20,'Quotation - Summary Sheet ROOMS'!$F$21)+(8/12))*ROUNDUP((((O260*(INDEX($H$253:$H$255,MATCH($O$259,$I$253:$I$255,0))))+4)/12),1))+(ROUNDUP((((O260*(INDEX($H$253:$H$255,MATCH($O$259,$I$253:$I$255,0))))+4)/12),1)*($D$254/12))+((MAX('Quotation - Summary Sheet ROOMS'!$G$15:$G$18,'Quotation - Summary Sheet ROOMS'!F21,'Quotation - Summary Sheet ROOMS'!F22)+(8/12))*($D$254/12)))*2</f>
        <v>#N/A</v>
      </c>
      <c r="L260" s="71"/>
      <c r="M260" s="20"/>
      <c r="N260" s="19">
        <v>2</v>
      </c>
      <c r="O260" s="30" t="e">
        <f>IF($J$259&gt;$J$260,IF(($J$259-O259)&gt;$J$260,$J$260,($J$259-O259)),0)</f>
        <v>#N/A</v>
      </c>
      <c r="P260" s="19" t="e">
        <f>+CONCATENATE((((ROUND(MAX($G$254),0)))+(9))," inches - X ",ROUNDUP((((O260*(INDEX($H$253:$H$255,MATCH($O$259,$I$253:$I$255,0))))+4)),1)," inches - X ",($D$254)," inches")</f>
        <v>#N/A</v>
      </c>
      <c r="Q260" s="19" t="e">
        <f>ROUNDUP(((((ROUND(MAX('Quotation - Summary Sheet ROOMS'!$G$15:$G$18,'Quotation - Summary Sheet ROOMS'!$F$20,'Quotation - Summary Sheet ROOMS'!$F$21),0))+(8/12))+(ROUNDUP((((O260*(INDEX($H$253:$H$255,MATCH($O$259,$I$253:$I$255,0))))+4)/12),1))+($D$254/12))*4)+((4*((2*(ROUND(MAX('Quotation - Summary Sheet ROOMS'!$G$15:$G$18,'Quotation - Summary Sheet ROOMS'!$F$20,'Quotation - Summary Sheet ROOMS'!$F$21),0)))+($D$254/12)))),0)</f>
        <v>#N/A</v>
      </c>
      <c r="R260" s="355" t="e">
        <f>+(($L$253*K260)+($L$252*Q260))</f>
        <v>#N/A</v>
      </c>
    </row>
    <row r="261" spans="1:18" x14ac:dyDescent="0.35">
      <c r="A261" s="521"/>
      <c r="B261" s="512"/>
      <c r="C261" s="20" t="s">
        <v>470</v>
      </c>
      <c r="D261" s="329">
        <f>+'Quotation - Summary Sheet ROOMS'!F17/'Calculation Sheet - BOM '!$L$2</f>
        <v>85.923436937477504</v>
      </c>
      <c r="E261" s="329">
        <f>+'Quotation - Summary Sheet ROOMS'!G17/'Calculation Sheet - BOM '!$L$2</f>
        <v>96.003840153606149</v>
      </c>
      <c r="F261" s="531"/>
      <c r="G261" s="19"/>
      <c r="H261" s="30">
        <f t="shared" si="62"/>
        <v>3</v>
      </c>
      <c r="I261" s="421" t="s">
        <v>471</v>
      </c>
      <c r="J261" s="30">
        <f>+E134</f>
        <v>222.56</v>
      </c>
      <c r="K261" s="30">
        <f>_xlfn.IFNA((((MAX('Quotation - Summary Sheet ROOMS'!$G$15:$G$18,'Quotation - Summary Sheet ROOMS'!$F$20,'Quotation - Summary Sheet ROOMS'!$F$21)+(8/12))*ROUNDUP((((O261*(INDEX($H$253:$H$255,MATCH($O$261,$I$253:$I$255,0))))+4)/12),1))+(ROUNDUP((((O261*(INDEX($H$253:$H$255,MATCH($O$261,$I$253:$I$255,0))))+4)/12),1)*($D$254/12))+((MAX('Quotation - Summary Sheet ROOMS'!$G$15:$G$18,'Quotation - Summary Sheet ROOMS'!F22,'Quotation - Summary Sheet ROOMS'!F23)+(8/12))*($D$254/12)))*2,0)</f>
        <v>0</v>
      </c>
      <c r="L261" s="71"/>
      <c r="M261" s="20"/>
      <c r="N261" s="19">
        <v>3</v>
      </c>
      <c r="O261" s="30" t="e">
        <f>IF($J$259&gt;$J$260,IF(($J$259-SUM(O259:O260))&gt;$J$260,$J$260,($J$259-SUM(O259:O260))),0)</f>
        <v>#N/A</v>
      </c>
      <c r="P261" s="19">
        <f>_xlfn.IFNA(CONCATENATE((((ROUND(MAX($G$254),0)))+(9))," inches - X ",ROUNDUP((((O261*(INDEX($H$253:$H$255,MATCH($O$261,$I$253:$I$255,0))))+4)),1)," inches - X ",($D$254)," inches"),0)</f>
        <v>0</v>
      </c>
      <c r="Q261" s="19" t="e">
        <f>ROUNDUP(((((ROUND(MAX('Quotation - Summary Sheet ROOMS'!$G$15:$G$18,'Quotation - Summary Sheet ROOMS'!$F$20,'Quotation - Summary Sheet ROOMS'!$F$21),0))+(8/12))+(ROUNDUP((((O261*(INDEX($H$253:$H$255,MATCH($O$259,$I$253:$I$255,0))))+4)/12),1))+($D$254/12))*4)+((4*((2*(ROUND(MAX('Quotation - Summary Sheet ROOMS'!$G$15:$G$18,'Quotation - Summary Sheet ROOMS'!$F$20,'Quotation - Summary Sheet ROOMS'!$F$21),0)))+($D$254/12)))),0)</f>
        <v>#N/A</v>
      </c>
      <c r="R261" s="355" t="e">
        <f>+(($L$253*K261)+($L$252*Q261))</f>
        <v>#N/A</v>
      </c>
    </row>
    <row r="262" spans="1:18" x14ac:dyDescent="0.35">
      <c r="A262" s="521"/>
      <c r="B262" s="512"/>
      <c r="C262" s="20" t="s">
        <v>208</v>
      </c>
      <c r="D262" s="329">
        <f>+'Quotation - Summary Sheet ROOMS'!F18/'Calculation Sheet - BOM '!$L$2</f>
        <v>85.923436937477504</v>
      </c>
      <c r="E262" s="329">
        <f>+'Quotation - Summary Sheet ROOMS'!G18/'Calculation Sheet - BOM '!$L$2</f>
        <v>96.003840153606149</v>
      </c>
      <c r="F262" s="532"/>
      <c r="G262" s="19"/>
      <c r="H262" s="30">
        <f t="shared" si="62"/>
        <v>3</v>
      </c>
      <c r="I262" s="421" t="s">
        <v>472</v>
      </c>
      <c r="J262" s="30">
        <f>+E135</f>
        <v>78.375</v>
      </c>
      <c r="K262" s="30">
        <f>_xlfn.IFNA((((MAX('Quotation - Summary Sheet ROOMS'!$G$15:$G$18,'Quotation - Summary Sheet ROOMS'!$F$20,'Quotation - Summary Sheet ROOMS'!$F$21)+(8/12))*ROUNDUP((((O262*(INDEX($H$253:$H$255,MATCH($O$262,$I$253:$I$255,0))))+4)/12),1))+(ROUNDUP((((O262*(INDEX($H$253:$H$255,MATCH($O$262,$I$253:$I$255,0))))+4)/12),1)*($D$254/12))+((MAX('Quotation - Summary Sheet ROOMS'!$G$15:$G$18,'Quotation - Summary Sheet ROOMS'!F23,'Quotation - Summary Sheet ROOMS'!F24)+(8/12))*($D$254/12)))*2,0)</f>
        <v>0</v>
      </c>
      <c r="L262" s="71"/>
      <c r="M262" s="20"/>
      <c r="N262" s="19">
        <v>4</v>
      </c>
      <c r="O262" s="30" t="e">
        <f>IF($J$259&gt;$J$260,IF(($J$259-SUM(O259:O261))&gt;$J$260,$J$260,($J$259-SUM(O259:O261))),0)</f>
        <v>#N/A</v>
      </c>
      <c r="P262" s="19">
        <f>_xlfn.IFNA(CONCATENATE((((ROUND(MAX($G$254),0)))+(9))," inches - X ",ROUNDUP((((O262*(INDEX($H$253:$H$255,MATCH($O$262,$I$253:$I$255,0))))+4)),1)," inches - X ",($D$254)," inches"),0)</f>
        <v>0</v>
      </c>
      <c r="Q262" s="19" t="e">
        <f>ROUNDUP(((((ROUND(MAX('Quotation - Summary Sheet ROOMS'!$G$15:$G$18,'Quotation - Summary Sheet ROOMS'!$F$20,'Quotation - Summary Sheet ROOMS'!$F$21),0))+(8/12))+(ROUNDUP((((O262*(INDEX($H$253:$H$255,MATCH($O$259,$I$253:$I$255,0))))+4)/12),1))+($D$254/12))*4)+((4*((2*(ROUND(MAX('Quotation - Summary Sheet ROOMS'!$G$15:$G$18,'Quotation - Summary Sheet ROOMS'!$F$20,'Quotation - Summary Sheet ROOMS'!$F$21),0)))+($D$254/12)))),0)</f>
        <v>#N/A</v>
      </c>
      <c r="R262" s="355" t="e">
        <f>+(($L$253*K262)+($L$252*Q262))</f>
        <v>#N/A</v>
      </c>
    </row>
    <row r="263" spans="1:18" x14ac:dyDescent="0.35">
      <c r="A263" s="521"/>
      <c r="B263" s="512"/>
      <c r="C263" s="20" t="str">
        <f>+'Quotation - Summary Sheet ROOMS'!C20</f>
        <v>Standard Ceiling</v>
      </c>
      <c r="D263" s="30">
        <f>+'Quotation - Summary Sheet ROOMS'!F20*12</f>
        <v>99</v>
      </c>
      <c r="E263" s="30">
        <f>+'Quotation - Summary Sheet ROOMS'!G20*12</f>
        <v>114</v>
      </c>
      <c r="F263" s="530">
        <f>+'Quotation - Summary Sheet ROOMS'!H20/'Calculation Sheet - BOM '!$L$2</f>
        <v>96.003840153606149</v>
      </c>
      <c r="G263" s="499">
        <f>+'Quotation - Summary Sheet ROOMS'!I20</f>
        <v>3</v>
      </c>
      <c r="H263" s="30">
        <f t="shared" si="62"/>
        <v>5</v>
      </c>
      <c r="I263" s="422" t="s">
        <v>473</v>
      </c>
      <c r="J263" s="30">
        <f>+E136</f>
        <v>0</v>
      </c>
      <c r="K263" s="30">
        <f>_xlfn.IFNA((((MAX('Quotation - Summary Sheet ROOMS'!$G$15:$G$18,'Quotation - Summary Sheet ROOMS'!$F$20,'Quotation - Summary Sheet ROOMS'!$F$21)+(8/12))*ROUNDUP((((O263*(INDEX($H$253:$H$255,MATCH($O$263,$I$253:$I$255,0))))+4)/12),1))+(ROUNDUP((((O263*(INDEX($H$253:$H$255,MATCH($O$263,$I$253:$I$255,0))))+4)/12),1)*($D$254/12))+((MAX('Quotation - Summary Sheet ROOMS'!$G$15:$G$18,'Quotation - Summary Sheet ROOMS'!F24,'Quotation - Summary Sheet ROOMS'!F25)+(8/12))*($D$254/12)))*2,0)</f>
        <v>0</v>
      </c>
      <c r="L263" s="71"/>
      <c r="M263" s="20"/>
      <c r="N263" s="19">
        <v>5</v>
      </c>
      <c r="O263" s="30" t="e">
        <f>IF($J$259&gt;$J$260,IF(($J$259-SUM(O259:O262))&gt;$J$260,$J$260,($J$259-SUM(O259:O262))),0)</f>
        <v>#N/A</v>
      </c>
      <c r="P263" s="19"/>
      <c r="Q263" s="19"/>
      <c r="R263" s="336"/>
    </row>
    <row r="264" spans="1:18" x14ac:dyDescent="0.35">
      <c r="A264" s="521"/>
      <c r="B264" s="512"/>
      <c r="C264" s="20" t="str">
        <f>+'Quotation - Summary Sheet ROOMS'!C21</f>
        <v xml:space="preserve">Standard Floor </v>
      </c>
      <c r="D264" s="30">
        <f>+'Quotation - Summary Sheet ROOMS'!F21*12</f>
        <v>0</v>
      </c>
      <c r="E264" s="30">
        <f>+'Quotation - Summary Sheet ROOMS'!G21*12</f>
        <v>0</v>
      </c>
      <c r="F264" s="530">
        <f>+'Quotation - Summary Sheet ROOMS'!H21/'Calculation Sheet - BOM '!$L$2</f>
        <v>0</v>
      </c>
      <c r="G264" s="499">
        <f>+'Quotation - Summary Sheet ROOMS'!I21</f>
        <v>0</v>
      </c>
      <c r="H264" s="30">
        <f t="shared" si="62"/>
        <v>0</v>
      </c>
      <c r="I264" s="20"/>
      <c r="J264" s="30"/>
      <c r="K264" s="20"/>
      <c r="L264" s="71"/>
      <c r="M264" s="20"/>
      <c r="N264" s="19">
        <v>6</v>
      </c>
      <c r="O264" s="19"/>
      <c r="P264" s="19"/>
      <c r="Q264" s="19"/>
      <c r="R264" s="336"/>
    </row>
    <row r="265" spans="1:18" x14ac:dyDescent="0.35">
      <c r="A265" s="521"/>
      <c r="B265" s="512"/>
      <c r="C265" s="20"/>
      <c r="D265" s="30"/>
      <c r="E265" s="30"/>
      <c r="F265" s="30"/>
      <c r="G265" s="20"/>
      <c r="H265" s="30"/>
      <c r="I265" s="20"/>
      <c r="J265" s="30"/>
      <c r="K265" s="20"/>
      <c r="L265" s="71"/>
      <c r="M265" s="20"/>
      <c r="N265" s="19"/>
      <c r="O265" s="19"/>
      <c r="P265" s="19"/>
      <c r="Q265" s="19"/>
      <c r="R265" s="336"/>
    </row>
    <row r="266" spans="1:18" x14ac:dyDescent="0.35">
      <c r="A266" s="521"/>
      <c r="B266" s="512"/>
      <c r="C266" s="20"/>
      <c r="D266" s="30"/>
      <c r="E266" s="30"/>
      <c r="F266" s="30"/>
      <c r="G266" s="20"/>
      <c r="H266" s="30"/>
      <c r="I266" s="20" t="s">
        <v>474</v>
      </c>
      <c r="J266" s="30">
        <f>+SUM(H263:H264)</f>
        <v>5</v>
      </c>
      <c r="K266" s="20"/>
      <c r="L266" s="71"/>
      <c r="M266" s="20"/>
      <c r="N266" s="19"/>
      <c r="O266" s="19"/>
      <c r="P266" s="19"/>
      <c r="Q266" s="19"/>
      <c r="R266" s="336"/>
    </row>
    <row r="267" spans="1:18" ht="16" thickBot="1" x14ac:dyDescent="0.4">
      <c r="A267" s="522"/>
      <c r="B267" s="523"/>
      <c r="C267" s="357"/>
      <c r="D267" s="356"/>
      <c r="E267" s="356"/>
      <c r="F267" s="356"/>
      <c r="G267" s="357"/>
      <c r="H267" s="356"/>
      <c r="I267" s="357"/>
      <c r="J267" s="358"/>
      <c r="K267" s="357"/>
      <c r="L267" s="358"/>
      <c r="M267" s="357"/>
      <c r="N267" s="359"/>
      <c r="O267" s="359"/>
      <c r="P267" s="359"/>
      <c r="Q267" s="359"/>
      <c r="R267" s="360"/>
    </row>
    <row r="268" spans="1:18" ht="16" customHeight="1" thickBot="1" x14ac:dyDescent="0.4">
      <c r="E268" s="3"/>
      <c r="H268" s="4"/>
      <c r="J268" s="188"/>
      <c r="K268" s="4"/>
      <c r="L268" s="188"/>
      <c r="M268" s="4"/>
      <c r="N268" s="4"/>
      <c r="P268" s="3"/>
      <c r="Q268" s="3"/>
      <c r="R268" s="3"/>
    </row>
    <row r="269" spans="1:18" ht="31" x14ac:dyDescent="0.35">
      <c r="A269" s="519" t="s">
        <v>475</v>
      </c>
      <c r="B269" s="520"/>
      <c r="C269" s="352" t="s">
        <v>454</v>
      </c>
      <c r="D269" s="351" t="s">
        <v>455</v>
      </c>
      <c r="E269" s="351" t="s">
        <v>456</v>
      </c>
      <c r="F269" s="351" t="s">
        <v>457</v>
      </c>
      <c r="G269" s="352" t="s">
        <v>458</v>
      </c>
      <c r="H269" s="352" t="s">
        <v>224</v>
      </c>
      <c r="I269" s="352" t="s">
        <v>459</v>
      </c>
      <c r="J269" s="353"/>
      <c r="K269" s="352" t="s">
        <v>460</v>
      </c>
      <c r="L269" s="353" t="s">
        <v>461</v>
      </c>
      <c r="M269" s="352" t="s">
        <v>462</v>
      </c>
      <c r="N269" s="352" t="s">
        <v>463</v>
      </c>
      <c r="O269" s="352" t="s">
        <v>464</v>
      </c>
      <c r="P269" s="351" t="s">
        <v>465</v>
      </c>
      <c r="Q269" s="351" t="s">
        <v>466</v>
      </c>
      <c r="R269" s="354" t="s">
        <v>180</v>
      </c>
    </row>
    <row r="270" spans="1:18" x14ac:dyDescent="0.35">
      <c r="A270" s="521"/>
      <c r="B270" s="512"/>
      <c r="C270" s="20" t="s">
        <v>467</v>
      </c>
      <c r="D270" s="329">
        <f>+'Quotation - Summary Sheet ROOMS'!F39/'Calculation Sheet - BOM '!$L$2</f>
        <v>120.00480019200768</v>
      </c>
      <c r="E270" s="329">
        <f>+'Quotation - Summary Sheet ROOMS'!G39/'Calculation Sheet - BOM '!$L$2</f>
        <v>96.003840153606149</v>
      </c>
      <c r="F270" s="530">
        <f>+'Quotation - Summary Sheet ROOMS'!H39/'Calculation Sheet - BOM '!$L$2</f>
        <v>120.00480019200768</v>
      </c>
      <c r="G270" s="19">
        <f>+'Quotation - Summary Sheet ROOMS'!I39</f>
        <v>4</v>
      </c>
      <c r="H270" s="30">
        <f t="shared" ref="H270:H278" si="63">ROUNDUP(D270/$G$253,0)+ROUNDUP(E270/$G$255,0)</f>
        <v>4</v>
      </c>
      <c r="I270" s="20" t="s">
        <v>224</v>
      </c>
      <c r="J270" s="30">
        <f>+SUM(H270:H278)</f>
        <v>44</v>
      </c>
      <c r="K270" s="19">
        <f>+(((MAX('Quotation - Summary Sheet ROOMS'!$G$39:G$45,'Quotation - Summary Sheet ROOMS'!F$47,'Quotation - Summary Sheet ROOMS'!F$48)+(6/12))*ROUNDUP((((O270*(INDEX($H$253:$H$255,MATCH($O$270,$I$253:$I$255,0))))+4)/12),1))+(ROUNDUP((((O270*(INDEX($H$253:$H$255,MATCH($O$270,$I$253:$I$255,0))))+4)/12),1)*($D$254/12))+((MAX('Quotation - Summary Sheet ROOMS'!$G$39:$G$45,'Quotation - Summary Sheet ROOMS'!$F$47,'Quotation - Summary Sheet ROOMS'!$F$48)+(6/12))*($D$254/12)))*2</f>
        <v>214.5</v>
      </c>
      <c r="L270" s="30">
        <f>+(J273*2.35)+(J274*2.35)+IF(C274=C113,(J275*2.35),(J275*2.8))+IF(C275=C115,(J276*2.65),(J276*3.05))</f>
        <v>2870.6296457786548</v>
      </c>
      <c r="M270" s="19">
        <f>+ROUNDUP((J270/J271),0)</f>
        <v>4</v>
      </c>
      <c r="N270" s="19">
        <v>1</v>
      </c>
      <c r="O270" s="30">
        <f>+J271</f>
        <v>11</v>
      </c>
      <c r="P270" s="19" t="str">
        <f t="shared" ref="P270:P275" si="64">+CONCATENATE((((ROUND(MAX($G$255),0)))+(9))," inches - X ",ROUNDUP((((O270*(INDEX($H$253:$H$255,MATCH($O$270,$I$253:$I$255,0))))+4)),1)," inches - X ",($D$254)," inches")</f>
        <v>129 inches - X 48 inches - X 54 inches</v>
      </c>
      <c r="Q270" s="19">
        <f>((((ROUND(MAX('Quotation - Summary Sheet ROOMS'!$G$39:$G$45,'Quotation - Summary Sheet ROOMS'!$F$47,'Quotation - Summary Sheet ROOMS'!$F$48),0))+(9/12))+ROUNDUP((((O270*(INDEX($H$253:$H$255,MATCH($O$270,$I$253:$I$255,0))))+4)/12),1)+($D$254/12))*4)+(((2*(ROUND(MAX('Quotation - Summary Sheet ROOMS'!$G$39:$G$45,'Quotation - Summary Sheet ROOMS'!$F$47,'Quotation - Summary Sheet ROOMS'!$F$48),0)))+($D$254/12))*4)</f>
        <v>175</v>
      </c>
      <c r="R270" s="355">
        <f>+(($L$253*K270)+($L$252*Q270))</f>
        <v>263.71811224489795</v>
      </c>
    </row>
    <row r="271" spans="1:18" x14ac:dyDescent="0.35">
      <c r="A271" s="521"/>
      <c r="B271" s="512"/>
      <c r="C271" s="20" t="s">
        <v>468</v>
      </c>
      <c r="D271" s="329">
        <f>+'Quotation - Summary Sheet ROOMS'!F40/'Calculation Sheet - BOM '!$L$2</f>
        <v>144.00576023040921</v>
      </c>
      <c r="E271" s="329">
        <f>+'Quotation - Summary Sheet ROOMS'!G40/'Calculation Sheet - BOM '!$L$2</f>
        <v>96.003840153606149</v>
      </c>
      <c r="F271" s="531"/>
      <c r="G271" s="19"/>
      <c r="H271" s="30">
        <f t="shared" si="63"/>
        <v>5</v>
      </c>
      <c r="I271" s="20" t="s">
        <v>469</v>
      </c>
      <c r="J271" s="30">
        <f>+INDEX($I$253:$I$255,MATCH(G270,$H$253:$H$255,0))</f>
        <v>11</v>
      </c>
      <c r="K271" s="19">
        <f>+(((MAX('Quotation - Summary Sheet ROOMS'!$G$39:G$45,'Quotation - Summary Sheet ROOMS'!F$47,'Quotation - Summary Sheet ROOMS'!F$48)+(6/12))*ROUNDUP((((O271*(INDEX($H$253:$H$255,MATCH($O$270,$I$253:$I$255,0))))+4)/12),1))+(ROUNDUP((((O271*(INDEX($H$253:$H$255,MATCH($O$270,$I$253:$I$255,0))))+4)/12),1)*($D$254/12))+((MAX('Quotation - Summary Sheet ROOMS'!$G$39:$G$45,'Quotation - Summary Sheet ROOMS'!$F$47,'Quotation - Summary Sheet ROOMS'!$F$48)+(6/12))*($D$254/12)))*2</f>
        <v>214.5</v>
      </c>
      <c r="L271" s="71"/>
      <c r="M271" s="20"/>
      <c r="N271" s="19">
        <v>2</v>
      </c>
      <c r="O271" s="30">
        <f>IF($J$270&gt;$J$271,IF(($J$270-O270)&gt;$J$271,$J$271,($J$270-O270)),0)</f>
        <v>11</v>
      </c>
      <c r="P271" s="19" t="str">
        <f t="shared" si="64"/>
        <v>129 inches - X 48 inches - X 54 inches</v>
      </c>
      <c r="Q271" s="19">
        <f>((((ROUND(MAX('Quotation - Summary Sheet ROOMS'!$G$39:$G$45,'Quotation - Summary Sheet ROOMS'!$F$47,'Quotation - Summary Sheet ROOMS'!$F$48),0))+(9/12))+ROUNDUP((((O271*(INDEX($H$253:$H$255,MATCH($O$270,$I$253:$I$255,0))))+4)/12),1)+($D$254/12))*4)+(((2*(ROUND(MAX('Quotation - Summary Sheet ROOMS'!$G$39:$G$45,'Quotation - Summary Sheet ROOMS'!$F$47,'Quotation - Summary Sheet ROOMS'!$F$48),0)))+($D$254/12))*4)</f>
        <v>175</v>
      </c>
      <c r="R271" s="355">
        <f>+(($L$253*K271)+($L$252*Q271))</f>
        <v>263.71811224489795</v>
      </c>
    </row>
    <row r="272" spans="1:18" x14ac:dyDescent="0.35">
      <c r="A272" s="521"/>
      <c r="B272" s="512"/>
      <c r="C272" s="20" t="s">
        <v>470</v>
      </c>
      <c r="D272" s="329">
        <f>+'Quotation - Summary Sheet ROOMS'!F41/'Calculation Sheet - BOM '!$L$2</f>
        <v>144.00576023040921</v>
      </c>
      <c r="E272" s="329">
        <f>+'Quotation - Summary Sheet ROOMS'!G41/'Calculation Sheet - BOM '!$L$2</f>
        <v>96.003840153606149</v>
      </c>
      <c r="F272" s="531"/>
      <c r="G272" s="19"/>
      <c r="H272" s="30">
        <f t="shared" si="63"/>
        <v>5</v>
      </c>
      <c r="I272" s="20" t="s">
        <v>476</v>
      </c>
      <c r="J272" s="30">
        <f>+SUM(N134:N137)</f>
        <v>1104.0883252994827</v>
      </c>
      <c r="K272" s="19">
        <f>+(((MAX('Quotation - Summary Sheet ROOMS'!$G$39:G$45,'Quotation - Summary Sheet ROOMS'!F$47,'Quotation - Summary Sheet ROOMS'!F$48)+(6/12))*ROUNDUP((((O272*(INDEX($H$253:$H$255,MATCH($O$270,$I$253:$I$255,0))))+4)/12),1))+(ROUNDUP((((O272*(INDEX($H$253:$H$255,MATCH($O$270,$I$253:$I$255,0))))+4)/12),1)*($D$254/12))+((MAX('Quotation - Summary Sheet ROOMS'!$G$39:$G$45,'Quotation - Summary Sheet ROOMS'!$F$47,'Quotation - Summary Sheet ROOMS'!$F$48)+(6/12))*($D$254/12)))*2</f>
        <v>214.5</v>
      </c>
      <c r="L272" s="71"/>
      <c r="M272" s="20"/>
      <c r="N272" s="19">
        <v>3</v>
      </c>
      <c r="O272" s="30">
        <f>IF($J$270&gt;$J$271,IF(($J$270-SUM(O270:O271))&gt;$J$271,$J$271,($J$270-SUM(O270:O271))),0)</f>
        <v>11</v>
      </c>
      <c r="P272" s="19" t="str">
        <f t="shared" si="64"/>
        <v>129 inches - X 48 inches - X 54 inches</v>
      </c>
      <c r="Q272" s="19">
        <f>((((ROUND(MAX('Quotation - Summary Sheet ROOMS'!$G$39:$G$45,'Quotation - Summary Sheet ROOMS'!$F$47,'Quotation - Summary Sheet ROOMS'!$F$48),0))+(9/12))+ROUNDUP((((O272*(INDEX($H$253:$H$255,MATCH($O$270,$I$253:$I$255,0))))+4)/12),1)+($D$254/12))*4)+(((2*(ROUND(MAX('Quotation - Summary Sheet ROOMS'!$G$39:$G$45,'Quotation - Summary Sheet ROOMS'!$F$47,'Quotation - Summary Sheet ROOMS'!$F$48),0)))+($D$254/12))*4)</f>
        <v>175</v>
      </c>
      <c r="R272" s="355">
        <f>+(($L$253*K272)+($L$252*Q272))</f>
        <v>263.71811224489795</v>
      </c>
    </row>
    <row r="273" spans="1:18" x14ac:dyDescent="0.35">
      <c r="A273" s="521"/>
      <c r="B273" s="512"/>
      <c r="C273" s="20" t="s">
        <v>208</v>
      </c>
      <c r="D273" s="329">
        <f>+'Quotation - Summary Sheet ROOMS'!F42/'Calculation Sheet - BOM '!$L$2</f>
        <v>120.00480019200768</v>
      </c>
      <c r="E273" s="329">
        <f>+'Quotation - Summary Sheet ROOMS'!G42/'Calculation Sheet - BOM '!$L$2</f>
        <v>96.003840153606149</v>
      </c>
      <c r="F273" s="532"/>
      <c r="G273" s="19"/>
      <c r="H273" s="30">
        <f t="shared" si="63"/>
        <v>4</v>
      </c>
      <c r="I273" s="421" t="str">
        <f>+L134</f>
        <v>Wall - Freezer</v>
      </c>
      <c r="J273" s="30">
        <f>+N134</f>
        <v>352.02816168969014</v>
      </c>
      <c r="K273" s="19">
        <f>+(((MAX('Quotation - Summary Sheet ROOMS'!$G$39:G$45,'Quotation - Summary Sheet ROOMS'!F$47,'Quotation - Summary Sheet ROOMS'!F$48)+(6/12))*ROUNDUP((((O273*(INDEX($H$253:$H$255,MATCH($O$270,$I$253:$I$255,0))))+4)/12),1))+(ROUNDUP((((O273*(INDEX($H$253:$H$255,MATCH($O$270,$I$253:$I$255,0))))+4)/12),1)*($D$254/12))+((MAX('Quotation - Summary Sheet ROOMS'!$G$39:$G$45,'Quotation - Summary Sheet ROOMS'!$F$47,'Quotation - Summary Sheet ROOMS'!$F$48)+(6/12))*($D$254/12)))*2</f>
        <v>214.5</v>
      </c>
      <c r="L273" s="71"/>
      <c r="M273" s="20"/>
      <c r="N273" s="19">
        <v>4</v>
      </c>
      <c r="O273" s="30">
        <f>IF($J$270&gt;$J$271,IF(($J$270-SUM(O270:O272))&gt;$J$271,$J$271,($J$270-SUM(O270:O272))),0)</f>
        <v>11</v>
      </c>
      <c r="P273" s="19" t="str">
        <f t="shared" si="64"/>
        <v>129 inches - X 48 inches - X 54 inches</v>
      </c>
      <c r="Q273" s="19">
        <f>((((ROUND(MAX('Quotation - Summary Sheet ROOMS'!$G$39:$G$45,'Quotation - Summary Sheet ROOMS'!$F$47,'Quotation - Summary Sheet ROOMS'!$F$48),0))+(9/12))+ROUNDUP((((O273*(INDEX($H$253:$H$255,MATCH($O$270,$I$253:$I$255,0))))+4)/12),1)+($D$254/12))*4)+(((2*(ROUND(MAX('Quotation - Summary Sheet ROOMS'!$G$39:$G$45,'Quotation - Summary Sheet ROOMS'!$F$47,'Quotation - Summary Sheet ROOMS'!$F$48),0)))+($D$254/12))*4)</f>
        <v>175</v>
      </c>
      <c r="R273" s="355">
        <f>+(($L$253*K273)+($L$252*Q273))</f>
        <v>263.71811224489795</v>
      </c>
    </row>
    <row r="274" spans="1:18" x14ac:dyDescent="0.35">
      <c r="A274" s="521"/>
      <c r="B274" s="512"/>
      <c r="C274" s="20" t="s">
        <v>237</v>
      </c>
      <c r="D274" s="329">
        <f>+'Quotation - Summary Sheet ROOMS'!F43/'Calculation Sheet - BOM '!$L$2</f>
        <v>120.00480019200768</v>
      </c>
      <c r="E274" s="329">
        <f>+'Quotation - Summary Sheet ROOMS'!G43/'Calculation Sheet - BOM '!$L$2</f>
        <v>96.003840153606149</v>
      </c>
      <c r="F274" s="530">
        <f>+'Quotation - Summary Sheet ROOMS'!H43/'Calculation Sheet - BOM '!$L$2</f>
        <v>120.00480019200768</v>
      </c>
      <c r="G274" s="499">
        <f>+'Quotation - Summary Sheet ROOMS'!I43</f>
        <v>4</v>
      </c>
      <c r="H274" s="30">
        <f t="shared" si="63"/>
        <v>4</v>
      </c>
      <c r="I274" s="421" t="str">
        <f>+L135</f>
        <v>Wall - Cooler</v>
      </c>
      <c r="J274" s="30">
        <f>+N135</f>
        <v>272.0217613056696</v>
      </c>
      <c r="K274" s="19">
        <f>+(((MAX('Quotation - Summary Sheet ROOMS'!$G$39:G$45,'Quotation - Summary Sheet ROOMS'!F$47,'Quotation - Summary Sheet ROOMS'!F$48)+(6/12))*ROUNDUP((((O274*(INDEX($H$253:$H$255,MATCH($O$270,$I$253:$I$255,0))))+4)/12),1))+(ROUNDUP((((O274*(INDEX($H$253:$H$255,MATCH($O$270,$I$253:$I$255,0))))+4)/12),1)*($D$254/12))+((MAX('Quotation - Summary Sheet ROOMS'!$G$39:$G$45,'Quotation - Summary Sheet ROOMS'!$F$47,'Quotation - Summary Sheet ROOMS'!$F$48)+(6/12))*($D$254/12)))*2</f>
        <v>106.5</v>
      </c>
      <c r="L274" s="71"/>
      <c r="M274" s="20"/>
      <c r="N274" s="19">
        <v>5</v>
      </c>
      <c r="O274" s="30">
        <f>IF($J$270&gt;$J$271,IF(($J$270-SUM(O270:O273))&gt;$J$271,$J$271,($J$270-SUM(O270:O273))),0)</f>
        <v>0</v>
      </c>
      <c r="P274" s="19" t="str">
        <f t="shared" si="64"/>
        <v>129 inches - X 4 inches - X 54 inches</v>
      </c>
      <c r="Q274" s="19">
        <f>((((ROUND(MAX('Quotation - Summary Sheet ROOMS'!$G$39:$G$45,'Quotation - Summary Sheet ROOMS'!$F$47,'Quotation - Summary Sheet ROOMS'!$F$48),0))+(9/12))+ROUNDUP((((O274*(INDEX($H$253:$H$255,MATCH($O$270,$I$253:$I$255,0))))+4)/12),1)+($D$254/12))*4)+(((2*(ROUND(MAX('Quotation - Summary Sheet ROOMS'!$G$39:$G$45,'Quotation - Summary Sheet ROOMS'!$F$47,'Quotation - Summary Sheet ROOMS'!$F$48),0)))+($D$254/12))*4)</f>
        <v>160.6</v>
      </c>
      <c r="R274" s="355">
        <f>+(($L$253*K274)+($L$252*Q274))</f>
        <v>152.12913265306122</v>
      </c>
    </row>
    <row r="275" spans="1:18" x14ac:dyDescent="0.35">
      <c r="A275" s="521"/>
      <c r="B275" s="512"/>
      <c r="C275" s="20" t="s">
        <v>239</v>
      </c>
      <c r="D275" s="329">
        <f>+'Quotation - Summary Sheet ROOMS'!F44/'Calculation Sheet - BOM '!$L$2</f>
        <v>144.00576023040921</v>
      </c>
      <c r="E275" s="329">
        <f>+'Quotation - Summary Sheet ROOMS'!G44/'Calculation Sheet - BOM '!$L$2</f>
        <v>96.003840153606149</v>
      </c>
      <c r="F275" s="531"/>
      <c r="G275" s="524"/>
      <c r="H275" s="30">
        <f t="shared" si="63"/>
        <v>5</v>
      </c>
      <c r="I275" s="421" t="str">
        <f>+L136</f>
        <v xml:space="preserve">Ceiling </v>
      </c>
      <c r="J275" s="30">
        <f>+N136</f>
        <v>240.01920115206141</v>
      </c>
      <c r="K275" s="19">
        <f>+(((MAX('Quotation - Summary Sheet ROOMS'!$G$39:G$45,'Quotation - Summary Sheet ROOMS'!F$47,'Quotation - Summary Sheet ROOMS'!F$48)+(6/12))*ROUNDUP((((O275*(INDEX($H$253:$H$255,MATCH($O$270,$I$253:$I$255,0))))+4)/12),1))+(ROUNDUP((((O275*(INDEX($H$253:$H$255,MATCH($O$270,$I$253:$I$255,0))))+4)/12),1)*($D$254/12))+((MAX('Quotation - Summary Sheet ROOMS'!$G$39:$G$45,'Quotation - Summary Sheet ROOMS'!$F$47,'Quotation - Summary Sheet ROOMS'!$F$48)+(6/12))*($D$254/12)))*2</f>
        <v>106.5</v>
      </c>
      <c r="L275" s="71"/>
      <c r="M275" s="20"/>
      <c r="N275" s="19">
        <v>6</v>
      </c>
      <c r="O275" s="30">
        <f>IF($J$270&gt;$J$271,IF(($J$270-SUM(O270:O274))&gt;$J$271,$J$271,($J$270-SUM(O270:O274))),0)</f>
        <v>0</v>
      </c>
      <c r="P275" s="19" t="str">
        <f t="shared" si="64"/>
        <v>129 inches - X 4 inches - X 54 inches</v>
      </c>
      <c r="Q275" s="19">
        <f>((((ROUND(MAX('Quotation - Summary Sheet ROOMS'!$G$39:$G$45,'Quotation - Summary Sheet ROOMS'!$F$47,'Quotation - Summary Sheet ROOMS'!$F$48),0))+(9/12))+ROUNDUP((((O275*(INDEX($H$253:$H$255,MATCH($O$270,$I$253:$I$255,0))))+4)/12),1)+($D$254/12))*4)+(((2*(ROUND(MAX('Quotation - Summary Sheet ROOMS'!$G$39:$G$45,'Quotation - Summary Sheet ROOMS'!$F$47,'Quotation - Summary Sheet ROOMS'!$F$48),0)))+($D$254/12))*4)</f>
        <v>160.6</v>
      </c>
      <c r="R275" s="355">
        <f>IF(O275=0,0,(($L$253*K275)+($L$252*Q275)))</f>
        <v>0</v>
      </c>
    </row>
    <row r="276" spans="1:18" x14ac:dyDescent="0.35">
      <c r="A276" s="521"/>
      <c r="B276" s="512"/>
      <c r="C276" s="20" t="s">
        <v>240</v>
      </c>
      <c r="D276" s="329">
        <f>+'Quotation - Summary Sheet ROOMS'!F45/'Calculation Sheet - BOM '!$L$2</f>
        <v>144.00576023040921</v>
      </c>
      <c r="E276" s="329">
        <f>+'Quotation - Summary Sheet ROOMS'!G45/'Calculation Sheet - BOM '!$L$2</f>
        <v>96.003840153606149</v>
      </c>
      <c r="F276" s="532"/>
      <c r="G276" s="525"/>
      <c r="H276" s="30">
        <f t="shared" si="63"/>
        <v>5</v>
      </c>
      <c r="I276" s="421" t="str">
        <f>+L137</f>
        <v>Floor</v>
      </c>
      <c r="J276" s="30">
        <f>+N137</f>
        <v>240.01920115206141</v>
      </c>
      <c r="K276" s="19">
        <f>+(((MAX('Quotation - Summary Sheet ROOMS'!$G$39:G$45,'Quotation - Summary Sheet ROOMS'!F$47,'Quotation - Summary Sheet ROOMS'!F$48)+(6/12))*ROUNDUP((((O276*(INDEX($H$253:$H$255,MATCH($O$270,$I$253:$I$255,0))))+4)/12),1))+(ROUNDUP((((O276*(INDEX($H$253:$H$255,MATCH($O$270,$I$253:$I$255,0))))+4)/12),1)*($D$254/12))+((MAX('Quotation - Summary Sheet ROOMS'!$G$39:$G$45,'Quotation - Summary Sheet ROOMS'!$F$47,'Quotation - Summary Sheet ROOMS'!$F$48)+(6/12))*($D$254/12)))*2</f>
        <v>106.5</v>
      </c>
      <c r="L276" s="71"/>
      <c r="M276" s="20"/>
      <c r="N276" s="20"/>
      <c r="O276" s="20"/>
      <c r="P276" s="19"/>
      <c r="Q276" s="3"/>
      <c r="R276" s="336"/>
    </row>
    <row r="277" spans="1:18" x14ac:dyDescent="0.35">
      <c r="A277" s="521"/>
      <c r="B277" s="512"/>
      <c r="C277" s="20" t="str">
        <f>+'Quotation - Summary Sheet ROOMS'!C47</f>
        <v>Standard Ceiling</v>
      </c>
      <c r="D277" s="30">
        <f>+'Quotation - Summary Sheet ROOMS'!F47/'Calculation Sheet - BOM '!$L$2</f>
        <v>120.00480019200768</v>
      </c>
      <c r="E277" s="30">
        <f>+'Quotation - Summary Sheet ROOMS'!G47/'Calculation Sheet - BOM '!$L$2</f>
        <v>288.01152046081842</v>
      </c>
      <c r="F277" s="329">
        <f>+'Quotation - Summary Sheet ROOMS'!H47/'Calculation Sheet - BOM '!$L$2</f>
        <v>120.00480019200768</v>
      </c>
      <c r="G277" s="19">
        <f>+'Quotation - Summary Sheet ROOMS'!I47</f>
        <v>4</v>
      </c>
      <c r="H277" s="30">
        <f t="shared" si="63"/>
        <v>6</v>
      </c>
      <c r="I277" s="20"/>
      <c r="J277" s="71"/>
      <c r="K277" s="20"/>
      <c r="L277" s="71"/>
      <c r="M277" s="20"/>
      <c r="N277" s="20"/>
      <c r="O277" s="20"/>
      <c r="P277" s="19"/>
      <c r="Q277" s="3"/>
      <c r="R277" s="336"/>
    </row>
    <row r="278" spans="1:18" ht="16" thickBot="1" x14ac:dyDescent="0.4">
      <c r="A278" s="522"/>
      <c r="B278" s="523"/>
      <c r="C278" s="357" t="str">
        <f>+'Quotation - Summary Sheet ROOMS'!C48</f>
        <v>Reinforced Floor - Plastic</v>
      </c>
      <c r="D278" s="356">
        <f>+'Quotation - Summary Sheet ROOMS'!F48/'Calculation Sheet - BOM '!$L$2</f>
        <v>120.00480019200768</v>
      </c>
      <c r="E278" s="356">
        <f>+'Quotation - Summary Sheet ROOMS'!G48/'Calculation Sheet - BOM '!$L$2</f>
        <v>288.01152046081842</v>
      </c>
      <c r="F278" s="329">
        <f>+'Quotation - Summary Sheet ROOMS'!H48/'Calculation Sheet - BOM '!$L$2</f>
        <v>0</v>
      </c>
      <c r="G278" s="359">
        <f>+'Quotation - Summary Sheet ROOMS'!I48</f>
        <v>4</v>
      </c>
      <c r="H278" s="356">
        <f t="shared" si="63"/>
        <v>6</v>
      </c>
      <c r="I278" s="357"/>
      <c r="J278" s="358"/>
      <c r="K278" s="357"/>
      <c r="L278" s="358"/>
      <c r="M278" s="357"/>
      <c r="N278" s="357"/>
      <c r="O278" s="357"/>
      <c r="P278" s="359"/>
      <c r="Q278" s="3"/>
      <c r="R278" s="360"/>
    </row>
    <row r="309" spans="3:12" x14ac:dyDescent="0.35">
      <c r="C309" s="4" t="s">
        <v>454</v>
      </c>
      <c r="D309" s="3" t="s">
        <v>455</v>
      </c>
      <c r="E309" s="4" t="s">
        <v>458</v>
      </c>
      <c r="F309" s="4" t="s">
        <v>224</v>
      </c>
      <c r="G309" s="4" t="s">
        <v>459</v>
      </c>
      <c r="I309" s="4" t="s">
        <v>462</v>
      </c>
      <c r="J309" s="4" t="s">
        <v>477</v>
      </c>
      <c r="K309" s="188" t="s">
        <v>461</v>
      </c>
      <c r="L309" s="3" t="s">
        <v>465</v>
      </c>
    </row>
    <row r="310" spans="3:12" x14ac:dyDescent="0.35">
      <c r="C310" s="4" t="s">
        <v>467</v>
      </c>
      <c r="D310" s="328">
        <f>11*12</f>
        <v>132</v>
      </c>
      <c r="E310" s="3">
        <v>4</v>
      </c>
      <c r="F310" s="202">
        <f>ROUNDUP(D310/$G$253,0)</f>
        <v>3</v>
      </c>
      <c r="G310" s="4" t="s">
        <v>224</v>
      </c>
      <c r="H310" s="202">
        <f>+SUM(F310:F313)</f>
        <v>14</v>
      </c>
      <c r="I310" s="3">
        <f>+ROUNDUP((H310/H311),0)</f>
        <v>2</v>
      </c>
      <c r="K310" s="202">
        <f>+H312*2.24</f>
        <v>1543.3600000000001</v>
      </c>
      <c r="L310" s="3" t="str">
        <f>+CONCATENATE(ROUND(MAX(D310:D313),0)," inch - X ",D265," inch - X ",D266," inch")</f>
        <v>156 inch - X  inch - X  inch</v>
      </c>
    </row>
    <row r="311" spans="3:12" x14ac:dyDescent="0.35">
      <c r="C311" s="4" t="s">
        <v>468</v>
      </c>
      <c r="D311" s="328">
        <f>11*12</f>
        <v>132</v>
      </c>
      <c r="E311" s="3"/>
      <c r="F311" s="202">
        <f>ROUNDUP(D311/$G$253,0)</f>
        <v>3</v>
      </c>
      <c r="G311" s="4" t="s">
        <v>469</v>
      </c>
      <c r="H311" s="202">
        <f>+INDEX($I$253:$I$255,MATCH(E310,$H$253:$H$255,0))</f>
        <v>11</v>
      </c>
      <c r="L311" s="3" t="s">
        <v>478</v>
      </c>
    </row>
    <row r="312" spans="3:12" x14ac:dyDescent="0.35">
      <c r="C312" s="4" t="s">
        <v>470</v>
      </c>
      <c r="D312" s="328">
        <f>13*12</f>
        <v>156</v>
      </c>
      <c r="E312" s="3"/>
      <c r="F312" s="202">
        <f>ROUNDUP(D312/$G$253,0)</f>
        <v>4</v>
      </c>
      <c r="G312" s="4" t="s">
        <v>476</v>
      </c>
      <c r="H312" s="202">
        <f>546+D314</f>
        <v>689</v>
      </c>
    </row>
    <row r="313" spans="3:12" x14ac:dyDescent="0.35">
      <c r="C313" s="4" t="s">
        <v>208</v>
      </c>
      <c r="D313" s="328">
        <f>13*12</f>
        <v>156</v>
      </c>
      <c r="E313" s="3"/>
      <c r="F313" s="202">
        <f>ROUNDUP(D313/$G$253,0)</f>
        <v>4</v>
      </c>
    </row>
    <row r="314" spans="3:12" x14ac:dyDescent="0.35">
      <c r="C314" s="4" t="s">
        <v>212</v>
      </c>
      <c r="D314" s="3">
        <f>13*11</f>
        <v>143</v>
      </c>
      <c r="F314" s="202">
        <f>ROUNDUP(D314/16,0)</f>
        <v>9</v>
      </c>
      <c r="L314" s="3">
        <f>13*12</f>
        <v>156</v>
      </c>
    </row>
    <row r="318" spans="3:12" x14ac:dyDescent="0.35">
      <c r="J318" s="4">
        <v>6</v>
      </c>
      <c r="K318" s="188">
        <v>8</v>
      </c>
      <c r="L318" s="3">
        <f>+SUMPRODUCT(J318:J321,K318:K321)</f>
        <v>192</v>
      </c>
    </row>
    <row r="319" spans="3:12" x14ac:dyDescent="0.35">
      <c r="J319" s="4">
        <v>6</v>
      </c>
      <c r="K319" s="188">
        <v>8</v>
      </c>
    </row>
    <row r="320" spans="3:12" x14ac:dyDescent="0.35">
      <c r="J320" s="4">
        <v>6</v>
      </c>
      <c r="K320" s="188">
        <v>8</v>
      </c>
    </row>
    <row r="321" spans="3:12" x14ac:dyDescent="0.35">
      <c r="J321" s="4">
        <v>6</v>
      </c>
      <c r="K321" s="188">
        <v>8</v>
      </c>
    </row>
    <row r="324" spans="3:12" x14ac:dyDescent="0.35">
      <c r="C324" s="4" t="s">
        <v>454</v>
      </c>
      <c r="D324" s="3" t="s">
        <v>455</v>
      </c>
      <c r="E324" s="4" t="s">
        <v>458</v>
      </c>
      <c r="F324" s="4" t="s">
        <v>224</v>
      </c>
      <c r="G324" s="4" t="s">
        <v>459</v>
      </c>
      <c r="I324" s="4" t="s">
        <v>462</v>
      </c>
      <c r="J324" s="4" t="s">
        <v>477</v>
      </c>
      <c r="K324" s="188" t="s">
        <v>461</v>
      </c>
      <c r="L324" s="3" t="s">
        <v>465</v>
      </c>
    </row>
    <row r="325" spans="3:12" x14ac:dyDescent="0.35">
      <c r="C325" s="4" t="s">
        <v>467</v>
      </c>
      <c r="D325" s="328">
        <f>14*12</f>
        <v>168</v>
      </c>
      <c r="E325" s="3">
        <v>4</v>
      </c>
      <c r="F325" s="202">
        <f>ROUNDUP(D325/$G$253,0)</f>
        <v>4</v>
      </c>
      <c r="G325" s="4" t="s">
        <v>224</v>
      </c>
      <c r="H325" s="202">
        <f>+SUM(F325:F328)</f>
        <v>12</v>
      </c>
      <c r="I325" s="3">
        <f>+ROUNDUP((H325/H326),0)</f>
        <v>2</v>
      </c>
      <c r="K325" s="202">
        <f>+H327*2.24</f>
        <v>1223.0400000000002</v>
      </c>
      <c r="L325" s="3" t="str">
        <f>+CONCATENATE(ROUND(MAX(D325:D328),0)," inch - X ",D319," inch - X ",D320," inch")</f>
        <v>168 inch - X  inch - X  inch</v>
      </c>
    </row>
    <row r="326" spans="3:12" x14ac:dyDescent="0.35">
      <c r="C326" s="4" t="s">
        <v>468</v>
      </c>
      <c r="D326" s="328">
        <f>14*12</f>
        <v>168</v>
      </c>
      <c r="E326" s="3"/>
      <c r="F326" s="202">
        <f>ROUNDUP(D326/$G$253,0)</f>
        <v>4</v>
      </c>
      <c r="G326" s="4" t="s">
        <v>469</v>
      </c>
      <c r="H326" s="202">
        <f>+INDEX($I$253:$I$255,MATCH(E325,$H$253:$H$255,0))</f>
        <v>11</v>
      </c>
      <c r="L326" s="3" t="s">
        <v>479</v>
      </c>
    </row>
    <row r="327" spans="3:12" x14ac:dyDescent="0.35">
      <c r="C327" s="4" t="s">
        <v>470</v>
      </c>
      <c r="D327" s="328">
        <f>7*12</f>
        <v>84</v>
      </c>
      <c r="E327" s="3"/>
      <c r="F327" s="202">
        <f>ROUNDUP(D327/$G$253,0)</f>
        <v>2</v>
      </c>
      <c r="G327" s="4" t="s">
        <v>476</v>
      </c>
      <c r="H327" s="202">
        <f>448+98</f>
        <v>546</v>
      </c>
    </row>
    <row r="328" spans="3:12" x14ac:dyDescent="0.35">
      <c r="C328" s="4" t="s">
        <v>208</v>
      </c>
      <c r="D328" s="328">
        <f>7*12</f>
        <v>84</v>
      </c>
      <c r="E328" s="3"/>
      <c r="F328" s="202">
        <f>ROUNDUP(D328/$G$253,0)</f>
        <v>2</v>
      </c>
    </row>
    <row r="329" spans="3:12" x14ac:dyDescent="0.35">
      <c r="C329" s="4" t="s">
        <v>212</v>
      </c>
      <c r="D329" s="3">
        <f>14*7</f>
        <v>98</v>
      </c>
      <c r="F329" s="202">
        <f>ROUNDUP(D329/16,0)</f>
        <v>7</v>
      </c>
      <c r="L329" s="3">
        <f>14*12</f>
        <v>168</v>
      </c>
    </row>
    <row r="330" spans="3:12" x14ac:dyDescent="0.35">
      <c r="F330" s="4" t="s">
        <v>480</v>
      </c>
    </row>
    <row r="332" spans="3:12" x14ac:dyDescent="0.35">
      <c r="C332" s="4" t="s">
        <v>454</v>
      </c>
      <c r="D332" s="3" t="s">
        <v>455</v>
      </c>
      <c r="E332" s="4" t="s">
        <v>458</v>
      </c>
      <c r="F332" s="4" t="s">
        <v>224</v>
      </c>
      <c r="G332" s="4" t="s">
        <v>459</v>
      </c>
      <c r="I332" s="4" t="s">
        <v>462</v>
      </c>
      <c r="J332" s="4" t="s">
        <v>477</v>
      </c>
      <c r="K332" s="188" t="s">
        <v>461</v>
      </c>
      <c r="L332" s="3" t="s">
        <v>465</v>
      </c>
    </row>
    <row r="333" spans="3:12" x14ac:dyDescent="0.35">
      <c r="C333" s="4" t="s">
        <v>467</v>
      </c>
      <c r="D333" s="328">
        <f>9*12</f>
        <v>108</v>
      </c>
      <c r="E333" s="3">
        <v>4</v>
      </c>
      <c r="F333" s="202">
        <f>ROUNDUP(D333/$G$253,0)</f>
        <v>3</v>
      </c>
      <c r="G333" s="4" t="s">
        <v>224</v>
      </c>
      <c r="H333" s="202">
        <f>+SUM(F333:F336)</f>
        <v>14</v>
      </c>
      <c r="I333" s="3">
        <f>+ROUNDUP((H333/H334),0)</f>
        <v>2</v>
      </c>
      <c r="K333" s="202">
        <f>+H335*2.24</f>
        <v>994.56000000000006</v>
      </c>
      <c r="L333" s="3" t="str">
        <f>+CONCATENATE(ROUND(MAX(D333:D336),0)," inch - X ",D327," inch - X ",D328," inch")</f>
        <v>144 inch - X 84 inch - X 84 inch</v>
      </c>
    </row>
    <row r="334" spans="3:12" x14ac:dyDescent="0.35">
      <c r="C334" s="4" t="s">
        <v>468</v>
      </c>
      <c r="D334" s="328">
        <f>9*12</f>
        <v>108</v>
      </c>
      <c r="E334" s="3"/>
      <c r="F334" s="202">
        <f>ROUNDUP(D334/$G$253,0)</f>
        <v>3</v>
      </c>
      <c r="G334" s="4" t="s">
        <v>469</v>
      </c>
      <c r="H334" s="202">
        <f>+INDEX($I$253:$I$255,MATCH(E333,$H$253:$H$255,0))</f>
        <v>11</v>
      </c>
      <c r="L334" s="3" t="s">
        <v>481</v>
      </c>
    </row>
    <row r="335" spans="3:12" x14ac:dyDescent="0.35">
      <c r="C335" s="4" t="s">
        <v>470</v>
      </c>
      <c r="D335" s="328">
        <f>12*12</f>
        <v>144</v>
      </c>
      <c r="E335" s="3"/>
      <c r="F335" s="202">
        <f>ROUNDUP(D335/$G$253,0)</f>
        <v>4</v>
      </c>
      <c r="G335" s="4" t="s">
        <v>476</v>
      </c>
      <c r="H335" s="202">
        <f>336+108</f>
        <v>444</v>
      </c>
    </row>
    <row r="336" spans="3:12" x14ac:dyDescent="0.35">
      <c r="C336" s="4" t="s">
        <v>208</v>
      </c>
      <c r="D336" s="328">
        <f>12*12</f>
        <v>144</v>
      </c>
      <c r="E336" s="3"/>
      <c r="F336" s="202">
        <f>ROUNDUP(D336/$G$253,0)</f>
        <v>4</v>
      </c>
    </row>
    <row r="337" spans="3:12" x14ac:dyDescent="0.35">
      <c r="C337" s="4" t="s">
        <v>212</v>
      </c>
      <c r="D337" s="3">
        <f>9*12</f>
        <v>108</v>
      </c>
      <c r="F337" s="202">
        <f>ROUNDUP(D337/16,0)</f>
        <v>7</v>
      </c>
      <c r="L337" s="3">
        <f>14*12</f>
        <v>168</v>
      </c>
    </row>
    <row r="340" spans="3:12" x14ac:dyDescent="0.35">
      <c r="C340" s="4" t="s">
        <v>454</v>
      </c>
      <c r="D340" s="3" t="s">
        <v>455</v>
      </c>
      <c r="E340" s="4" t="s">
        <v>458</v>
      </c>
      <c r="F340" s="4" t="s">
        <v>224</v>
      </c>
      <c r="G340" s="4" t="s">
        <v>459</v>
      </c>
      <c r="I340" s="4" t="s">
        <v>462</v>
      </c>
      <c r="J340" s="4" t="s">
        <v>477</v>
      </c>
      <c r="K340" s="188" t="s">
        <v>461</v>
      </c>
      <c r="L340" s="3" t="s">
        <v>465</v>
      </c>
    </row>
    <row r="341" spans="3:12" x14ac:dyDescent="0.35">
      <c r="C341" s="4" t="s">
        <v>467</v>
      </c>
      <c r="D341" s="328">
        <f>6*12</f>
        <v>72</v>
      </c>
      <c r="E341" s="3">
        <v>4</v>
      </c>
      <c r="F341" s="202">
        <f>ROUNDUP(D341/$G$253,0)</f>
        <v>2</v>
      </c>
      <c r="G341" s="4" t="s">
        <v>224</v>
      </c>
      <c r="H341" s="202">
        <f>+SUM(F341:F344)</f>
        <v>8</v>
      </c>
      <c r="I341" s="3">
        <f>+ROUNDUP((H341/H342),0)</f>
        <v>1</v>
      </c>
      <c r="K341" s="202">
        <f>+H343*2.24</f>
        <v>510.72</v>
      </c>
      <c r="L341" s="3" t="str">
        <f>+CONCATENATE(ROUND(MAX(D341:D344),0)," inch - X ",D335," inch - X ",D336," inch")</f>
        <v>72 inch - X 144 inch - X 144 inch</v>
      </c>
    </row>
    <row r="342" spans="3:12" x14ac:dyDescent="0.35">
      <c r="C342" s="4" t="s">
        <v>468</v>
      </c>
      <c r="D342" s="328">
        <f>6*12</f>
        <v>72</v>
      </c>
      <c r="E342" s="3"/>
      <c r="F342" s="202">
        <f>ROUNDUP(D342/$G$253,0)</f>
        <v>2</v>
      </c>
      <c r="G342" s="4" t="s">
        <v>469</v>
      </c>
      <c r="H342" s="202">
        <f>+INDEX($I$253:$I$255,MATCH(E341,$H$253:$H$255,0))</f>
        <v>11</v>
      </c>
      <c r="L342" s="3" t="s">
        <v>481</v>
      </c>
    </row>
    <row r="343" spans="3:12" x14ac:dyDescent="0.35">
      <c r="C343" s="4" t="s">
        <v>470</v>
      </c>
      <c r="D343" s="328">
        <f>6*12</f>
        <v>72</v>
      </c>
      <c r="E343" s="3"/>
      <c r="F343" s="202">
        <f>ROUNDUP(D343/$G$253,0)</f>
        <v>2</v>
      </c>
      <c r="G343" s="4" t="s">
        <v>476</v>
      </c>
      <c r="H343" s="202">
        <f>192+36</f>
        <v>228</v>
      </c>
    </row>
    <row r="344" spans="3:12" x14ac:dyDescent="0.35">
      <c r="C344" s="4" t="s">
        <v>208</v>
      </c>
      <c r="D344" s="328">
        <f>6*12</f>
        <v>72</v>
      </c>
      <c r="E344" s="3"/>
      <c r="F344" s="202">
        <f>ROUNDUP(D344/$G$253,0)</f>
        <v>2</v>
      </c>
    </row>
    <row r="345" spans="3:12" x14ac:dyDescent="0.35">
      <c r="C345" s="4" t="s">
        <v>212</v>
      </c>
      <c r="D345" s="3">
        <f>6*6</f>
        <v>36</v>
      </c>
      <c r="F345" s="202">
        <f>ROUNDUP(D345/16,0)</f>
        <v>3</v>
      </c>
      <c r="L345" s="3">
        <f>14*12</f>
        <v>168</v>
      </c>
    </row>
  </sheetData>
  <mergeCells count="34">
    <mergeCell ref="A2:B10"/>
    <mergeCell ref="J11:L11"/>
    <mergeCell ref="O2:R2"/>
    <mergeCell ref="E11:I11"/>
    <mergeCell ref="L18:L20"/>
    <mergeCell ref="J18:J20"/>
    <mergeCell ref="K18:K20"/>
    <mergeCell ref="E18:E20"/>
    <mergeCell ref="F18:F20"/>
    <mergeCell ref="G18:G20"/>
    <mergeCell ref="H18:H20"/>
    <mergeCell ref="N13:X13"/>
    <mergeCell ref="K1:L1"/>
    <mergeCell ref="K3:L3"/>
    <mergeCell ref="AE119:AJ119"/>
    <mergeCell ref="I18:I20"/>
    <mergeCell ref="AB13:AL13"/>
    <mergeCell ref="O1:T1"/>
    <mergeCell ref="C104:R108"/>
    <mergeCell ref="O146:R146"/>
    <mergeCell ref="R153:V153"/>
    <mergeCell ref="AE133:AF133"/>
    <mergeCell ref="AI133:AJ133"/>
    <mergeCell ref="AH146:AK146"/>
    <mergeCell ref="AE153:AI153"/>
    <mergeCell ref="P133:Q133"/>
    <mergeCell ref="AE170:AI170"/>
    <mergeCell ref="AE180:AI180"/>
    <mergeCell ref="R158:V158"/>
    <mergeCell ref="AE212:AF222"/>
    <mergeCell ref="AE184:AI184"/>
    <mergeCell ref="AE198:AI198"/>
    <mergeCell ref="AE166:AI166"/>
    <mergeCell ref="AE158:AI158"/>
  </mergeCells>
  <phoneticPr fontId="10" type="noConversion"/>
  <dataValidations count="2">
    <dataValidation type="list" allowBlank="1" showInputMessage="1" showErrorMessage="1" sqref="D5" xr:uid="{26AFD1D2-D040-420A-8B86-26238DD33265}">
      <formula1>$U$3:$U$4</formula1>
    </dataValidation>
    <dataValidation type="list" allowBlank="1" showInputMessage="1" showErrorMessage="1" sqref="D4:D5" xr:uid="{0E6CC47D-B75F-4C10-A916-76FEC2B4EED7}">
      <formula1>$Y$9:$Y$10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xr:uid="{863E275C-278E-4955-B32D-DAB108EB766B}">
          <x14:formula1>
            <xm:f>'Cost Sheet'!$C$73:$C$75</xm:f>
          </x14:formula1>
          <xm:sqref>D35</xm:sqref>
        </x14:dataValidation>
        <x14:dataValidation type="list" allowBlank="1" showInputMessage="1" showErrorMessage="1" xr:uid="{D301D2BE-0BF5-4416-9FD2-8C16756DFA77}">
          <x14:formula1>
            <xm:f>'Cost Sheet'!$C$72</xm:f>
          </x14:formula1>
          <xm:sqref>D34</xm:sqref>
        </x14:dataValidation>
        <x14:dataValidation type="list" allowBlank="1" showInputMessage="1" showErrorMessage="1" xr:uid="{7DB4B1CF-2133-4DEE-AEF8-4C650EF9C2A1}">
          <x14:formula1>
            <xm:f>_xlfn.ANCHORARRAY('Door Table'!$W$134)</xm:f>
          </x14:formula1>
          <xm:sqref>D216:D220</xm:sqref>
        </x14:dataValidation>
        <x14:dataValidation type="list" allowBlank="1" showInputMessage="1" showErrorMessage="1" xr:uid="{D5B7D227-5B04-4524-80DD-296C740D52F8}">
          <x14:formula1>
            <xm:f>_xlfn.ANCHORARRAY('Door Table'!$S$134)</xm:f>
          </x14:formula1>
          <xm:sqref>D71</xm:sqref>
        </x14:dataValidation>
        <x14:dataValidation type="list" allowBlank="1" showInputMessage="1" showErrorMessage="1" xr:uid="{9E3B27E4-814D-4EC9-8ADC-37FD438EF254}">
          <x14:formula1>
            <xm:f>_xlfn.ANCHORARRAY('Door Table'!$R$134)</xm:f>
          </x14:formula1>
          <xm:sqref>D214:D215</xm:sqref>
        </x14:dataValidation>
        <x14:dataValidation type="list" allowBlank="1" showInputMessage="1" showErrorMessage="1" xr:uid="{3CAB23B0-0FCE-47AE-874F-7B879C45A48A}">
          <x14:formula1>
            <xm:f>_xlfn.ANCHORARRAY('Door Table'!$Q$134)</xm:f>
          </x14:formula1>
          <xm:sqref>D213</xm:sqref>
        </x14:dataValidation>
        <x14:dataValidation type="list" allowBlank="1" showInputMessage="1" showErrorMessage="1" xr:uid="{27474E83-5E7C-42C0-A56F-6CCB4B05918E}">
          <x14:formula1>
            <xm:f>_xlfn.ANCHORARRAY('Door Table'!$P$134)</xm:f>
          </x14:formula1>
          <xm:sqref>D69</xm:sqref>
        </x14:dataValidation>
        <x14:dataValidation type="list" allowBlank="1" showInputMessage="1" showErrorMessage="1" xr:uid="{50E43CBA-6F71-4A3A-98B9-6A9F01E03DC9}">
          <x14:formula1>
            <xm:f>_xlfn.ANCHORARRAY('Door Table'!$O$134)</xm:f>
          </x14:formula1>
          <xm:sqref>D212</xm:sqref>
        </x14:dataValidation>
        <x14:dataValidation type="list" allowBlank="1" showInputMessage="1" showErrorMessage="1" xr:uid="{E9D4DC70-2C16-42E9-921E-A4F0ABEA2909}">
          <x14:formula1>
            <xm:f>_xlfn.ANCHORARRAY('Door Table'!$N$134)</xm:f>
          </x14:formula1>
          <xm:sqref>D211</xm:sqref>
        </x14:dataValidation>
        <x14:dataValidation type="list" allowBlank="1" showInputMessage="1" showErrorMessage="1" xr:uid="{B91F5B40-CB18-454A-B1D2-BF8E617C6849}">
          <x14:formula1>
            <xm:f>_xlfn.ANCHORARRAY('Door Table'!$M$134)</xm:f>
          </x14:formula1>
          <xm:sqref>D68</xm:sqref>
        </x14:dataValidation>
        <x14:dataValidation type="list" allowBlank="1" showInputMessage="1" showErrorMessage="1" xr:uid="{58F9DF89-4825-4E62-BE75-E24266812DAD}">
          <x14:formula1>
            <xm:f>_xlfn.ANCHORARRAY('Door Table'!$L$134)</xm:f>
          </x14:formula1>
          <xm:sqref>D67</xm:sqref>
        </x14:dataValidation>
        <x14:dataValidation type="list" allowBlank="1" showInputMessage="1" showErrorMessage="1" xr:uid="{3AE36143-1A4B-41EE-BBB0-6F379180FBA4}">
          <x14:formula1>
            <xm:f>_xlfn.ANCHORARRAY('Door Table'!$K$134)</xm:f>
          </x14:formula1>
          <xm:sqref>D66</xm:sqref>
        </x14:dataValidation>
        <x14:dataValidation type="list" allowBlank="1" showInputMessage="1" showErrorMessage="1" xr:uid="{F45618DE-9C36-4621-97D3-F668D798AF56}">
          <x14:formula1>
            <xm:f>_xlfn.ANCHORARRAY('Door Table'!$J$134)</xm:f>
          </x14:formula1>
          <xm:sqref>D65</xm:sqref>
        </x14:dataValidation>
        <x14:dataValidation type="list" allowBlank="1" showInputMessage="1" showErrorMessage="1" xr:uid="{FF756514-8657-4432-8D24-F2BC3119D856}">
          <x14:formula1>
            <xm:f>_xlfn.ANCHORARRAY('Door Table'!$I$134)</xm:f>
          </x14:formula1>
          <xm:sqref>D64</xm:sqref>
        </x14:dataValidation>
        <x14:dataValidation type="list" allowBlank="1" showInputMessage="1" showErrorMessage="1" xr:uid="{17F41FCB-C936-4902-AD89-75EF3B3E96E7}">
          <x14:formula1>
            <xm:f>_xlfn.ANCHORARRAY('Door Table'!$H$134)</xm:f>
          </x14:formula1>
          <xm:sqref>D63</xm:sqref>
        </x14:dataValidation>
        <x14:dataValidation type="list" allowBlank="1" showInputMessage="1" showErrorMessage="1" xr:uid="{E1C78D83-F637-4DA8-AB4C-2D49C6B8BB13}">
          <x14:formula1>
            <xm:f>_xlfn.ANCHORARRAY('Door Table'!$G$134)</xm:f>
          </x14:formula1>
          <xm:sqref>D62</xm:sqref>
        </x14:dataValidation>
        <x14:dataValidation type="list" allowBlank="1" showInputMessage="1" showErrorMessage="1" xr:uid="{14BA6EE3-4EBB-4B95-9FAD-3EB0E0E3ACC6}">
          <x14:formula1>
            <xm:f>_xlfn.ANCHORARRAY('Door Table'!$F$134)</xm:f>
          </x14:formula1>
          <xm:sqref>D61</xm:sqref>
        </x14:dataValidation>
        <x14:dataValidation type="list" allowBlank="1" showInputMessage="1" showErrorMessage="1" xr:uid="{C126FD1D-2C68-45BD-BCB8-92DFDE0D43E2}">
          <x14:formula1>
            <xm:f>_xlfn.ANCHORARRAY('Door Table'!$E$134)</xm:f>
          </x14:formula1>
          <xm:sqref>D60</xm:sqref>
        </x14:dataValidation>
        <x14:dataValidation type="list" allowBlank="1" showInputMessage="1" showErrorMessage="1" xr:uid="{48774B9C-C3DD-41A1-A95F-BCC41FA47BCB}">
          <x14:formula1>
            <xm:f>_xlfn.ANCHORARRAY('Door Table'!$D$134)</xm:f>
          </x14:formula1>
          <xm:sqref>D59</xm:sqref>
        </x14:dataValidation>
        <x14:dataValidation type="list" allowBlank="1" showInputMessage="1" showErrorMessage="1" xr:uid="{3FEF9E39-B04B-480E-A156-8F0EAFA3555C}">
          <x14:formula1>
            <xm:f>_xlfn.ANCHORARRAY('Door Table'!$Q$3)</xm:f>
          </x14:formula1>
          <xm:sqref>D25:D30</xm:sqref>
        </x14:dataValidation>
        <x14:dataValidation type="list" allowBlank="1" showInputMessage="1" showErrorMessage="1" xr:uid="{1EB0F6F5-43F3-4E12-A0ED-77D091C7AA7B}">
          <x14:formula1>
            <xm:f>_xlfn.ANCHORARRAY('Door Table'!$P$3)</xm:f>
          </x14:formula1>
          <xm:sqref>D24</xm:sqref>
        </x14:dataValidation>
        <x14:dataValidation type="list" allowBlank="1" showInputMessage="1" showErrorMessage="1" xr:uid="{96A62199-C87B-42F9-93A8-8C33BFEBEC26}">
          <x14:formula1>
            <xm:f>_xlfn.ANCHORARRAY('Door Table'!$O$3)</xm:f>
          </x14:formula1>
          <xm:sqref>D23</xm:sqref>
        </x14:dataValidation>
        <x14:dataValidation type="list" allowBlank="1" showInputMessage="1" showErrorMessage="1" xr:uid="{5BBD18B6-C79E-43F7-B764-DF98A1CAF9A2}">
          <x14:formula1>
            <xm:f>_xlfn.ANCHORARRAY('Door Table'!$N$3)</xm:f>
          </x14:formula1>
          <xm:sqref>D22</xm:sqref>
        </x14:dataValidation>
        <x14:dataValidation type="list" allowBlank="1" showInputMessage="1" showErrorMessage="1" xr:uid="{A34369D6-6971-430A-8667-7B54129E5770}">
          <x14:formula1>
            <xm:f>_xlfn.ANCHORARRAY('Door Table'!$M$3)</xm:f>
          </x14:formula1>
          <xm:sqref>D21</xm:sqref>
        </x14:dataValidation>
        <x14:dataValidation type="list" allowBlank="1" showInputMessage="1" showErrorMessage="1" xr:uid="{F6ABDD62-6705-4CF4-9A4A-5D5452665C87}">
          <x14:formula1>
            <xm:f>_xlfn.ANCHORARRAY('Door Table'!$L$3)</xm:f>
          </x14:formula1>
          <xm:sqref>D20</xm:sqref>
        </x14:dataValidation>
        <x14:dataValidation type="list" allowBlank="1" showInputMessage="1" showErrorMessage="1" xr:uid="{F5E588EA-587C-4352-9E87-94CF1398780F}">
          <x14:formula1>
            <xm:f>_xlfn.ANCHORARRAY('Door Table'!$K$3)</xm:f>
          </x14:formula1>
          <xm:sqref>D19</xm:sqref>
        </x14:dataValidation>
        <x14:dataValidation type="list" allowBlank="1" showInputMessage="1" showErrorMessage="1" xr:uid="{3426DA92-D95A-4260-9BEA-E7E657F5219A}">
          <x14:formula1>
            <xm:f>_xlfn.ANCHORARRAY('Door Table'!$J$3)</xm:f>
          </x14:formula1>
          <xm:sqref>D18</xm:sqref>
        </x14:dataValidation>
        <x14:dataValidation type="list" allowBlank="1" showInputMessage="1" showErrorMessage="1" xr:uid="{55FAAC74-745A-402F-9707-12B260177431}">
          <x14:formula1>
            <xm:f>_xlfn.ANCHORARRAY('Door Table'!$G$3)</xm:f>
          </x14:formula1>
          <xm:sqref>D16:D17</xm:sqref>
        </x14:dataValidation>
        <x14:dataValidation type="list" allowBlank="1" showInputMessage="1" showErrorMessage="1" xr:uid="{02A7D14C-DFC9-4302-9F16-D8F793F5FECF}">
          <x14:formula1>
            <xm:f>_xlfn.ANCHORARRAY('Door Table'!$F$3)</xm:f>
          </x14:formula1>
          <xm:sqref>D15</xm:sqref>
        </x14:dataValidation>
        <x14:dataValidation type="list" allowBlank="1" showInputMessage="1" showErrorMessage="1" xr:uid="{008535AB-94E5-4F2C-8FE7-CB6BE2923CD1}">
          <x14:formula1>
            <xm:f>_xlfn.ANCHORARRAY('Door Table'!$D$3)</xm:f>
          </x14:formula1>
          <xm:sqref>D13</xm:sqref>
        </x14:dataValidation>
        <x14:dataValidation type="list" allowBlank="1" showInputMessage="1" showErrorMessage="1" xr:uid="{A86BC1C7-C3FC-4BC6-A575-CBE7D96ED0E0}">
          <x14:formula1>
            <xm:f>_xlfn.ANCHORARRAY('Door Table'!$E$3)</xm:f>
          </x14:formula1>
          <xm:sqref>D14</xm:sqref>
        </x14:dataValidation>
        <x14:dataValidation type="list" allowBlank="1" showInputMessage="1" showErrorMessage="1" xr:uid="{214608FD-7FE4-4E1C-89C4-8D93B5D798AB}">
          <x14:formula1>
            <xm:f>Controller!$A$13:$A$21</xm:f>
          </x14:formula1>
          <xm:sqref>D2</xm:sqref>
        </x14:dataValidation>
        <x14:dataValidation type="list" allowBlank="1" showInputMessage="1" showErrorMessage="1" xr:uid="{507CE3F4-CDFC-4B73-9309-FC24EFF683DD}">
          <x14:formula1>
            <xm:f>Controller!#REF!</xm:f>
          </x14:formula1>
          <xm:sqref>D3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74A1-7797-460B-922C-21555F83073F}">
  <sheetPr codeName="Sheet5">
    <tabColor rgb="FFFF0000"/>
  </sheetPr>
  <dimension ref="A1:K89"/>
  <sheetViews>
    <sheetView zoomScale="115" zoomScaleNormal="115" workbookViewId="0">
      <selection activeCell="M41" sqref="M41"/>
    </sheetView>
  </sheetViews>
  <sheetFormatPr defaultRowHeight="15.5" x14ac:dyDescent="0.35"/>
  <cols>
    <col min="1" max="1" width="6.25" bestFit="1" customWidth="1"/>
    <col min="2" max="2" width="37.83203125" bestFit="1" customWidth="1"/>
    <col min="3" max="3" width="43.75" bestFit="1" customWidth="1"/>
    <col min="4" max="4" width="21.58203125" style="63" bestFit="1" customWidth="1"/>
    <col min="5" max="5" width="14.08203125" hidden="1" customWidth="1"/>
    <col min="6" max="6" width="14.08203125" bestFit="1" customWidth="1"/>
    <col min="10" max="10" width="13.75" bestFit="1" customWidth="1"/>
  </cols>
  <sheetData>
    <row r="1" spans="1:8" ht="35.5" customHeight="1" x14ac:dyDescent="0.5">
      <c r="A1" s="962" t="s">
        <v>850</v>
      </c>
      <c r="B1" s="962"/>
      <c r="C1" s="962"/>
      <c r="D1" s="962"/>
      <c r="E1" s="211" t="s">
        <v>851</v>
      </c>
      <c r="F1" s="211" t="s">
        <v>852</v>
      </c>
    </row>
    <row r="2" spans="1:8" ht="29" x14ac:dyDescent="0.35">
      <c r="A2" s="208" t="s">
        <v>853</v>
      </c>
      <c r="B2" s="208" t="s">
        <v>854</v>
      </c>
      <c r="C2" s="208" t="s">
        <v>855</v>
      </c>
      <c r="D2" s="213" t="s">
        <v>856</v>
      </c>
      <c r="E2" s="210">
        <f>+'Door and Panel Labor Exp. '!$C$1</f>
        <v>52</v>
      </c>
      <c r="F2" s="210">
        <f>+'Door and Panel Labor Exp. '!$C$1</f>
        <v>52</v>
      </c>
    </row>
    <row r="3" spans="1:8" x14ac:dyDescent="0.35">
      <c r="A3" s="209"/>
      <c r="B3" s="209" t="s">
        <v>857</v>
      </c>
      <c r="C3" s="209" t="s">
        <v>295</v>
      </c>
      <c r="D3" s="212">
        <v>25</v>
      </c>
      <c r="E3" s="214">
        <f>+D3*$E$2/60</f>
        <v>21.666666666666668</v>
      </c>
      <c r="F3" s="70">
        <f>+D3*$F$2/60</f>
        <v>21.666666666666668</v>
      </c>
    </row>
    <row r="4" spans="1:8" x14ac:dyDescent="0.35">
      <c r="A4" s="209"/>
      <c r="B4" s="209" t="s">
        <v>857</v>
      </c>
      <c r="C4" s="209" t="s">
        <v>303</v>
      </c>
      <c r="D4" s="212">
        <v>35</v>
      </c>
      <c r="E4" s="214">
        <f t="shared" ref="E4:E81" si="0">+D4*$E$2/60</f>
        <v>30.333333333333332</v>
      </c>
      <c r="F4" s="70">
        <f t="shared" ref="F4:F83" si="1">+D4*$F$2/60</f>
        <v>30.333333333333332</v>
      </c>
    </row>
    <row r="5" spans="1:8" x14ac:dyDescent="0.35">
      <c r="A5" s="209"/>
      <c r="B5" s="209" t="s">
        <v>857</v>
      </c>
      <c r="C5" s="209" t="s">
        <v>310</v>
      </c>
      <c r="D5" s="212">
        <v>40</v>
      </c>
      <c r="E5" s="214">
        <f t="shared" si="0"/>
        <v>34.666666666666664</v>
      </c>
      <c r="F5" s="70">
        <f t="shared" si="1"/>
        <v>34.666666666666664</v>
      </c>
    </row>
    <row r="6" spans="1:8" x14ac:dyDescent="0.35">
      <c r="A6" s="209"/>
      <c r="B6" s="209" t="s">
        <v>857</v>
      </c>
      <c r="C6" s="209" t="s">
        <v>318</v>
      </c>
      <c r="D6" s="212">
        <v>50</v>
      </c>
      <c r="E6" s="214">
        <f t="shared" si="0"/>
        <v>43.333333333333336</v>
      </c>
      <c r="F6" s="70">
        <f t="shared" si="1"/>
        <v>43.333333333333336</v>
      </c>
    </row>
    <row r="7" spans="1:8" x14ac:dyDescent="0.35">
      <c r="A7" s="209"/>
      <c r="B7" s="209" t="s">
        <v>857</v>
      </c>
      <c r="C7" s="555" t="s">
        <v>858</v>
      </c>
      <c r="D7" s="212">
        <v>45</v>
      </c>
      <c r="E7" s="214">
        <f t="shared" si="0"/>
        <v>39</v>
      </c>
      <c r="F7" s="70">
        <f t="shared" si="1"/>
        <v>39</v>
      </c>
    </row>
    <row r="8" spans="1:8" x14ac:dyDescent="0.35">
      <c r="A8" s="209"/>
      <c r="B8" s="209" t="s">
        <v>857</v>
      </c>
      <c r="C8" s="555" t="s">
        <v>859</v>
      </c>
      <c r="D8" s="212">
        <v>60</v>
      </c>
      <c r="E8" s="214">
        <f t="shared" si="0"/>
        <v>52</v>
      </c>
      <c r="F8" s="70">
        <f t="shared" si="1"/>
        <v>52</v>
      </c>
    </row>
    <row r="9" spans="1:8" x14ac:dyDescent="0.35">
      <c r="A9" s="209"/>
      <c r="B9" s="555" t="s">
        <v>860</v>
      </c>
      <c r="C9" s="555" t="s">
        <v>629</v>
      </c>
      <c r="D9" s="212">
        <v>90</v>
      </c>
      <c r="E9" s="214">
        <f t="shared" si="0"/>
        <v>78</v>
      </c>
      <c r="F9" s="70">
        <f t="shared" si="1"/>
        <v>78</v>
      </c>
    </row>
    <row r="10" spans="1:8" x14ac:dyDescent="0.35">
      <c r="A10" s="209"/>
      <c r="B10" s="555" t="s">
        <v>861</v>
      </c>
      <c r="C10" s="555" t="s">
        <v>629</v>
      </c>
      <c r="D10" s="212">
        <v>150</v>
      </c>
      <c r="E10" s="214">
        <f t="shared" si="0"/>
        <v>130</v>
      </c>
      <c r="F10" s="70">
        <f t="shared" si="1"/>
        <v>130</v>
      </c>
    </row>
    <row r="11" spans="1:8" x14ac:dyDescent="0.35">
      <c r="A11" s="209"/>
      <c r="B11" s="555" t="s">
        <v>860</v>
      </c>
      <c r="C11" s="555" t="s">
        <v>862</v>
      </c>
      <c r="D11" s="212">
        <v>90</v>
      </c>
      <c r="E11" s="214">
        <f t="shared" si="0"/>
        <v>78</v>
      </c>
      <c r="F11" s="70">
        <f t="shared" si="1"/>
        <v>78</v>
      </c>
    </row>
    <row r="12" spans="1:8" x14ac:dyDescent="0.35">
      <c r="A12" s="209"/>
      <c r="B12" s="555" t="s">
        <v>861</v>
      </c>
      <c r="C12" s="555" t="s">
        <v>862</v>
      </c>
      <c r="D12" s="212">
        <v>150</v>
      </c>
      <c r="E12" s="214">
        <f t="shared" si="0"/>
        <v>130</v>
      </c>
      <c r="F12" s="70">
        <f t="shared" si="1"/>
        <v>130</v>
      </c>
    </row>
    <row r="13" spans="1:8" s="456" customFormat="1" x14ac:dyDescent="0.35">
      <c r="A13" s="455"/>
      <c r="B13" s="555" t="s">
        <v>863</v>
      </c>
      <c r="C13" s="555" t="s">
        <v>864</v>
      </c>
      <c r="D13" s="212">
        <v>150</v>
      </c>
      <c r="E13" s="214">
        <f t="shared" si="0"/>
        <v>130</v>
      </c>
      <c r="F13" s="70">
        <f t="shared" si="1"/>
        <v>130</v>
      </c>
      <c r="H13" s="555" t="s">
        <v>865</v>
      </c>
    </row>
    <row r="14" spans="1:8" x14ac:dyDescent="0.35">
      <c r="A14" s="209"/>
      <c r="B14" s="555" t="s">
        <v>863</v>
      </c>
      <c r="C14" s="555" t="s">
        <v>866</v>
      </c>
      <c r="D14" s="212">
        <v>150</v>
      </c>
      <c r="E14" s="214">
        <f t="shared" si="0"/>
        <v>130</v>
      </c>
      <c r="F14" s="70">
        <f t="shared" si="1"/>
        <v>130</v>
      </c>
      <c r="H14" s="555" t="s">
        <v>867</v>
      </c>
    </row>
    <row r="15" spans="1:8" x14ac:dyDescent="0.35">
      <c r="A15" s="209"/>
      <c r="B15" s="209" t="s">
        <v>868</v>
      </c>
      <c r="C15" s="555" t="s">
        <v>146</v>
      </c>
      <c r="D15" s="212">
        <v>15</v>
      </c>
      <c r="E15" s="214">
        <f t="shared" si="0"/>
        <v>13</v>
      </c>
      <c r="F15" s="70">
        <f t="shared" si="1"/>
        <v>13</v>
      </c>
    </row>
    <row r="16" spans="1:8" x14ac:dyDescent="0.35">
      <c r="A16" s="209"/>
      <c r="B16" s="555" t="s">
        <v>868</v>
      </c>
      <c r="C16" s="555" t="s">
        <v>869</v>
      </c>
      <c r="D16" s="212">
        <v>40</v>
      </c>
      <c r="E16" s="214">
        <f t="shared" si="0"/>
        <v>34.666666666666664</v>
      </c>
      <c r="F16" s="70">
        <f t="shared" si="1"/>
        <v>34.666666666666664</v>
      </c>
      <c r="H16" s="203" t="s">
        <v>870</v>
      </c>
    </row>
    <row r="17" spans="1:10" x14ac:dyDescent="0.35">
      <c r="A17" s="209"/>
      <c r="B17" s="209" t="s">
        <v>871</v>
      </c>
      <c r="C17" s="209" t="s">
        <v>872</v>
      </c>
      <c r="D17" s="212">
        <v>25</v>
      </c>
      <c r="E17" s="214">
        <f t="shared" si="0"/>
        <v>21.666666666666668</v>
      </c>
      <c r="F17" s="70">
        <f t="shared" si="1"/>
        <v>21.666666666666668</v>
      </c>
    </row>
    <row r="18" spans="1:10" x14ac:dyDescent="0.35">
      <c r="A18" s="209"/>
      <c r="B18" s="209" t="s">
        <v>873</v>
      </c>
      <c r="C18" s="209" t="s">
        <v>188</v>
      </c>
      <c r="D18" s="212">
        <v>5</v>
      </c>
      <c r="E18" s="214">
        <f t="shared" si="0"/>
        <v>4.333333333333333</v>
      </c>
      <c r="F18" s="70">
        <f t="shared" si="1"/>
        <v>4.333333333333333</v>
      </c>
      <c r="J18" t="s">
        <v>188</v>
      </c>
    </row>
    <row r="19" spans="1:10" x14ac:dyDescent="0.35">
      <c r="A19" s="209"/>
      <c r="B19" s="209" t="s">
        <v>873</v>
      </c>
      <c r="C19" s="209" t="s">
        <v>652</v>
      </c>
      <c r="D19" s="212">
        <v>45</v>
      </c>
      <c r="E19" s="214">
        <f t="shared" si="0"/>
        <v>39</v>
      </c>
      <c r="F19" s="70">
        <f t="shared" si="1"/>
        <v>39</v>
      </c>
      <c r="J19" t="s">
        <v>650</v>
      </c>
    </row>
    <row r="20" spans="1:10" x14ac:dyDescent="0.35">
      <c r="A20" s="209"/>
      <c r="B20" s="209" t="s">
        <v>873</v>
      </c>
      <c r="C20" s="555" t="s">
        <v>653</v>
      </c>
      <c r="D20" s="212">
        <v>50</v>
      </c>
      <c r="E20" s="214">
        <f t="shared" si="0"/>
        <v>43.333333333333336</v>
      </c>
      <c r="F20" s="70">
        <f t="shared" si="1"/>
        <v>43.333333333333336</v>
      </c>
      <c r="J20" t="s">
        <v>652</v>
      </c>
    </row>
    <row r="21" spans="1:10" x14ac:dyDescent="0.35">
      <c r="A21" s="209"/>
      <c r="B21" s="209" t="s">
        <v>873</v>
      </c>
      <c r="C21" s="556" t="s">
        <v>650</v>
      </c>
      <c r="D21" s="212">
        <v>60</v>
      </c>
      <c r="E21" s="214">
        <f t="shared" si="0"/>
        <v>52</v>
      </c>
      <c r="F21" s="70">
        <f t="shared" si="1"/>
        <v>52</v>
      </c>
    </row>
    <row r="22" spans="1:10" x14ac:dyDescent="0.35">
      <c r="A22" s="209"/>
      <c r="B22" s="209" t="s">
        <v>873</v>
      </c>
      <c r="C22" s="209" t="s">
        <v>654</v>
      </c>
      <c r="D22" s="229">
        <v>90</v>
      </c>
      <c r="E22" s="214">
        <f t="shared" si="0"/>
        <v>78</v>
      </c>
      <c r="F22" s="70">
        <f t="shared" si="1"/>
        <v>78</v>
      </c>
      <c r="J22" t="s">
        <v>654</v>
      </c>
    </row>
    <row r="23" spans="1:10" x14ac:dyDescent="0.35">
      <c r="A23" s="209"/>
      <c r="B23" s="209" t="s">
        <v>873</v>
      </c>
      <c r="C23" s="209" t="s">
        <v>655</v>
      </c>
      <c r="D23" s="229">
        <v>120</v>
      </c>
      <c r="E23" s="214">
        <f t="shared" si="0"/>
        <v>104</v>
      </c>
      <c r="F23" s="70">
        <f t="shared" si="1"/>
        <v>104</v>
      </c>
      <c r="J23" t="s">
        <v>655</v>
      </c>
    </row>
    <row r="24" spans="1:10" x14ac:dyDescent="0.35">
      <c r="A24" s="209"/>
      <c r="B24" s="209" t="s">
        <v>873</v>
      </c>
      <c r="C24" s="230" t="s">
        <v>656</v>
      </c>
      <c r="D24" s="229">
        <v>75</v>
      </c>
      <c r="E24" s="214">
        <f t="shared" si="0"/>
        <v>65</v>
      </c>
      <c r="F24" s="70">
        <f t="shared" si="1"/>
        <v>65</v>
      </c>
    </row>
    <row r="25" spans="1:10" x14ac:dyDescent="0.35">
      <c r="A25" s="209"/>
      <c r="B25" s="457" t="s">
        <v>668</v>
      </c>
      <c r="C25" s="457" t="s">
        <v>874</v>
      </c>
      <c r="D25" s="458">
        <v>25</v>
      </c>
      <c r="E25" s="214">
        <f t="shared" si="0"/>
        <v>21.666666666666668</v>
      </c>
      <c r="F25" s="70">
        <f t="shared" si="1"/>
        <v>21.666666666666668</v>
      </c>
      <c r="J25" t="s">
        <v>656</v>
      </c>
    </row>
    <row r="26" spans="1:10" x14ac:dyDescent="0.35">
      <c r="A26" s="209"/>
      <c r="B26" s="457" t="s">
        <v>668</v>
      </c>
      <c r="C26" s="457" t="s">
        <v>670</v>
      </c>
      <c r="D26" s="459">
        <v>25</v>
      </c>
      <c r="E26" s="214">
        <f t="shared" si="0"/>
        <v>21.666666666666668</v>
      </c>
      <c r="F26" s="70">
        <f t="shared" si="1"/>
        <v>21.666666666666668</v>
      </c>
    </row>
    <row r="27" spans="1:10" x14ac:dyDescent="0.35">
      <c r="A27" s="209"/>
      <c r="B27" s="457" t="s">
        <v>875</v>
      </c>
      <c r="C27" s="457" t="s">
        <v>876</v>
      </c>
      <c r="D27" s="459">
        <v>25</v>
      </c>
      <c r="E27" s="214">
        <f t="shared" si="0"/>
        <v>21.666666666666668</v>
      </c>
      <c r="F27" s="70">
        <f t="shared" si="1"/>
        <v>21.666666666666668</v>
      </c>
    </row>
    <row r="28" spans="1:10" x14ac:dyDescent="0.35">
      <c r="A28" s="209"/>
      <c r="B28" s="555" t="s">
        <v>877</v>
      </c>
      <c r="C28" s="209" t="s">
        <v>677</v>
      </c>
      <c r="D28" s="212">
        <v>15</v>
      </c>
      <c r="E28" s="214">
        <f t="shared" si="0"/>
        <v>13</v>
      </c>
      <c r="F28" s="70">
        <f t="shared" si="1"/>
        <v>13</v>
      </c>
    </row>
    <row r="29" spans="1:10" x14ac:dyDescent="0.35">
      <c r="A29" s="209"/>
      <c r="B29" s="555" t="s">
        <v>878</v>
      </c>
      <c r="C29" s="209" t="s">
        <v>677</v>
      </c>
      <c r="D29" s="212">
        <v>15</v>
      </c>
      <c r="E29" s="214">
        <f t="shared" si="0"/>
        <v>13</v>
      </c>
      <c r="F29" s="70">
        <f t="shared" si="1"/>
        <v>13</v>
      </c>
      <c r="G29" t="s">
        <v>879</v>
      </c>
    </row>
    <row r="30" spans="1:10" x14ac:dyDescent="0.35">
      <c r="A30" s="209"/>
      <c r="B30" s="555" t="s">
        <v>880</v>
      </c>
      <c r="C30" s="209"/>
      <c r="D30" s="212">
        <v>20</v>
      </c>
      <c r="E30" s="214">
        <f t="shared" si="0"/>
        <v>17.333333333333332</v>
      </c>
      <c r="F30" s="70">
        <f t="shared" si="1"/>
        <v>17.333333333333332</v>
      </c>
    </row>
    <row r="31" spans="1:10" x14ac:dyDescent="0.35">
      <c r="A31" s="209"/>
      <c r="B31" s="555" t="s">
        <v>881</v>
      </c>
      <c r="C31" s="209"/>
      <c r="D31" s="212">
        <v>20</v>
      </c>
      <c r="E31" s="214">
        <f t="shared" si="0"/>
        <v>17.333333333333332</v>
      </c>
      <c r="F31" s="70">
        <f t="shared" si="1"/>
        <v>17.333333333333332</v>
      </c>
    </row>
    <row r="32" spans="1:10" x14ac:dyDescent="0.35">
      <c r="A32" s="209"/>
      <c r="B32" s="555" t="s">
        <v>882</v>
      </c>
      <c r="C32" s="555" t="s">
        <v>883</v>
      </c>
      <c r="D32" s="212">
        <v>45</v>
      </c>
      <c r="E32" s="214">
        <f t="shared" si="0"/>
        <v>39</v>
      </c>
      <c r="F32" s="70">
        <f t="shared" si="1"/>
        <v>39</v>
      </c>
    </row>
    <row r="33" spans="1:7" x14ac:dyDescent="0.35">
      <c r="A33" s="209"/>
      <c r="B33" s="555" t="s">
        <v>884</v>
      </c>
      <c r="C33" s="555" t="s">
        <v>883</v>
      </c>
      <c r="D33" s="212">
        <v>75</v>
      </c>
      <c r="E33" s="214">
        <f t="shared" si="0"/>
        <v>65</v>
      </c>
      <c r="F33" s="70">
        <f t="shared" si="1"/>
        <v>65</v>
      </c>
    </row>
    <row r="34" spans="1:7" x14ac:dyDescent="0.35">
      <c r="A34" s="209"/>
      <c r="B34" s="555" t="s">
        <v>882</v>
      </c>
      <c r="C34" s="555" t="s">
        <v>885</v>
      </c>
      <c r="D34" s="212">
        <v>45</v>
      </c>
      <c r="E34" s="214">
        <f t="shared" si="0"/>
        <v>39</v>
      </c>
      <c r="F34" s="70">
        <f t="shared" si="1"/>
        <v>39</v>
      </c>
    </row>
    <row r="35" spans="1:7" x14ac:dyDescent="0.35">
      <c r="A35" s="460"/>
      <c r="B35" s="555" t="s">
        <v>884</v>
      </c>
      <c r="C35" s="555" t="s">
        <v>885</v>
      </c>
      <c r="D35" s="212">
        <v>75</v>
      </c>
      <c r="E35" s="214">
        <f t="shared" si="0"/>
        <v>65</v>
      </c>
      <c r="F35" s="70">
        <f t="shared" si="1"/>
        <v>65</v>
      </c>
    </row>
    <row r="36" spans="1:7" x14ac:dyDescent="0.35">
      <c r="A36" s="963" t="s">
        <v>886</v>
      </c>
      <c r="B36" s="555" t="s">
        <v>887</v>
      </c>
      <c r="C36" s="209" t="s">
        <v>162</v>
      </c>
      <c r="D36" s="212">
        <v>30</v>
      </c>
      <c r="E36" s="214">
        <f t="shared" si="0"/>
        <v>26</v>
      </c>
      <c r="F36" s="70">
        <f t="shared" si="1"/>
        <v>26</v>
      </c>
      <c r="G36" s="461" t="s">
        <v>888</v>
      </c>
    </row>
    <row r="37" spans="1:7" x14ac:dyDescent="0.35">
      <c r="A37" s="964"/>
      <c r="B37" s="555" t="s">
        <v>889</v>
      </c>
      <c r="C37" s="209" t="s">
        <v>162</v>
      </c>
      <c r="D37" s="212">
        <v>20</v>
      </c>
      <c r="E37" s="214">
        <f t="shared" si="0"/>
        <v>17.333333333333332</v>
      </c>
      <c r="F37" s="70">
        <f t="shared" si="1"/>
        <v>17.333333333333332</v>
      </c>
    </row>
    <row r="38" spans="1:7" x14ac:dyDescent="0.35">
      <c r="A38" s="964"/>
      <c r="B38" s="209" t="s">
        <v>160</v>
      </c>
      <c r="C38" s="209" t="s">
        <v>220</v>
      </c>
      <c r="D38" s="212">
        <v>30</v>
      </c>
      <c r="E38" s="214">
        <f t="shared" si="0"/>
        <v>26</v>
      </c>
      <c r="F38" s="70">
        <f t="shared" si="1"/>
        <v>26</v>
      </c>
    </row>
    <row r="39" spans="1:7" x14ac:dyDescent="0.35">
      <c r="A39" s="965"/>
      <c r="B39" s="230" t="s">
        <v>168</v>
      </c>
      <c r="C39" s="230" t="s">
        <v>223</v>
      </c>
      <c r="D39" s="229">
        <v>75</v>
      </c>
      <c r="E39" s="214">
        <f t="shared" si="0"/>
        <v>65</v>
      </c>
      <c r="F39" s="70">
        <f t="shared" si="1"/>
        <v>65</v>
      </c>
    </row>
    <row r="40" spans="1:7" x14ac:dyDescent="0.35">
      <c r="A40" s="209"/>
      <c r="B40" s="209" t="s">
        <v>492</v>
      </c>
      <c r="C40" s="209" t="s">
        <v>709</v>
      </c>
      <c r="D40" s="212">
        <v>20</v>
      </c>
      <c r="E40" s="214">
        <f t="shared" si="0"/>
        <v>17.333333333333332</v>
      </c>
      <c r="F40" s="70">
        <f t="shared" si="1"/>
        <v>17.333333333333332</v>
      </c>
    </row>
    <row r="41" spans="1:7" x14ac:dyDescent="0.35">
      <c r="A41" s="209"/>
      <c r="B41" s="209" t="s">
        <v>492</v>
      </c>
      <c r="C41" s="209" t="s">
        <v>189</v>
      </c>
      <c r="D41" s="212">
        <v>20</v>
      </c>
      <c r="E41" s="214">
        <f t="shared" si="0"/>
        <v>17.333333333333332</v>
      </c>
      <c r="F41" s="70">
        <f t="shared" si="1"/>
        <v>17.333333333333332</v>
      </c>
    </row>
    <row r="42" spans="1:7" x14ac:dyDescent="0.35">
      <c r="A42" s="209"/>
      <c r="B42" s="209" t="s">
        <v>492</v>
      </c>
      <c r="C42" s="555" t="s">
        <v>710</v>
      </c>
      <c r="D42" s="212">
        <v>40</v>
      </c>
      <c r="E42" s="214">
        <f t="shared" si="0"/>
        <v>34.666666666666664</v>
      </c>
      <c r="F42" s="70">
        <f t="shared" si="1"/>
        <v>34.666666666666664</v>
      </c>
    </row>
    <row r="43" spans="1:7" x14ac:dyDescent="0.35">
      <c r="A43" s="209"/>
      <c r="B43" s="209" t="s">
        <v>890</v>
      </c>
      <c r="C43" s="555" t="s">
        <v>891</v>
      </c>
      <c r="D43" s="212">
        <v>45</v>
      </c>
      <c r="E43" s="214">
        <f t="shared" si="0"/>
        <v>39</v>
      </c>
      <c r="F43" s="70">
        <f t="shared" si="1"/>
        <v>39</v>
      </c>
    </row>
    <row r="44" spans="1:7" x14ac:dyDescent="0.35">
      <c r="A44" s="209"/>
      <c r="B44" s="209" t="s">
        <v>890</v>
      </c>
      <c r="C44" s="555" t="s">
        <v>892</v>
      </c>
      <c r="D44" s="212">
        <v>90</v>
      </c>
      <c r="E44" s="214">
        <f t="shared" si="0"/>
        <v>78</v>
      </c>
      <c r="F44" s="70">
        <f t="shared" si="1"/>
        <v>78</v>
      </c>
    </row>
    <row r="45" spans="1:7" x14ac:dyDescent="0.35">
      <c r="A45" s="209"/>
      <c r="B45" s="209" t="s">
        <v>890</v>
      </c>
      <c r="C45" s="555" t="s">
        <v>893</v>
      </c>
      <c r="D45" s="212">
        <v>120</v>
      </c>
      <c r="E45" s="214">
        <f t="shared" si="0"/>
        <v>104</v>
      </c>
      <c r="F45" s="70">
        <f t="shared" si="1"/>
        <v>104</v>
      </c>
    </row>
    <row r="46" spans="1:7" x14ac:dyDescent="0.35">
      <c r="A46" s="209"/>
      <c r="B46" s="209" t="s">
        <v>894</v>
      </c>
      <c r="C46" s="555" t="s">
        <v>891</v>
      </c>
      <c r="D46" s="212">
        <v>45</v>
      </c>
      <c r="E46" s="214">
        <f t="shared" si="0"/>
        <v>39</v>
      </c>
      <c r="F46" s="70">
        <f t="shared" si="1"/>
        <v>39</v>
      </c>
    </row>
    <row r="47" spans="1:7" x14ac:dyDescent="0.35">
      <c r="A47" s="209"/>
      <c r="B47" s="209" t="s">
        <v>894</v>
      </c>
      <c r="C47" s="555" t="s">
        <v>892</v>
      </c>
      <c r="D47" s="212">
        <v>90</v>
      </c>
      <c r="E47" s="214">
        <f t="shared" si="0"/>
        <v>78</v>
      </c>
      <c r="F47" s="70">
        <f t="shared" si="1"/>
        <v>78</v>
      </c>
    </row>
    <row r="48" spans="1:7" x14ac:dyDescent="0.35">
      <c r="A48" s="209"/>
      <c r="B48" s="209" t="s">
        <v>894</v>
      </c>
      <c r="C48" s="555" t="s">
        <v>893</v>
      </c>
      <c r="D48" s="212">
        <v>120</v>
      </c>
      <c r="E48" s="214">
        <f t="shared" si="0"/>
        <v>104</v>
      </c>
      <c r="F48" s="70">
        <f t="shared" si="1"/>
        <v>104</v>
      </c>
    </row>
    <row r="49" spans="1:7" x14ac:dyDescent="0.35">
      <c r="A49" s="209"/>
      <c r="B49" s="209" t="s">
        <v>165</v>
      </c>
      <c r="C49" s="209" t="s">
        <v>165</v>
      </c>
      <c r="D49" s="212">
        <v>20</v>
      </c>
      <c r="E49" s="214">
        <f t="shared" si="0"/>
        <v>17.333333333333332</v>
      </c>
      <c r="F49" s="70">
        <f t="shared" si="1"/>
        <v>17.333333333333332</v>
      </c>
      <c r="G49" t="s">
        <v>895</v>
      </c>
    </row>
    <row r="50" spans="1:7" x14ac:dyDescent="0.35">
      <c r="A50" s="209"/>
      <c r="B50" s="209" t="s">
        <v>497</v>
      </c>
      <c r="C50" s="209" t="s">
        <v>221</v>
      </c>
      <c r="D50" s="212">
        <v>20</v>
      </c>
      <c r="E50" s="214">
        <f t="shared" si="0"/>
        <v>17.333333333333332</v>
      </c>
      <c r="F50" s="70">
        <f t="shared" si="1"/>
        <v>17.333333333333332</v>
      </c>
    </row>
    <row r="51" spans="1:7" x14ac:dyDescent="0.35">
      <c r="A51" s="209"/>
      <c r="B51" s="209" t="s">
        <v>497</v>
      </c>
      <c r="C51" s="209" t="s">
        <v>167</v>
      </c>
      <c r="D51" s="212">
        <v>20</v>
      </c>
      <c r="E51" s="214">
        <f t="shared" si="0"/>
        <v>17.333333333333332</v>
      </c>
      <c r="F51" s="70">
        <f t="shared" si="1"/>
        <v>17.333333333333332</v>
      </c>
    </row>
    <row r="52" spans="1:7" x14ac:dyDescent="0.35">
      <c r="A52" s="209"/>
      <c r="B52" s="209" t="s">
        <v>159</v>
      </c>
      <c r="C52" s="209" t="s">
        <v>216</v>
      </c>
      <c r="D52" s="212">
        <v>10</v>
      </c>
      <c r="E52" s="214">
        <f t="shared" si="0"/>
        <v>8.6666666666666661</v>
      </c>
      <c r="F52" s="70">
        <f t="shared" si="1"/>
        <v>8.6666666666666661</v>
      </c>
    </row>
    <row r="53" spans="1:7" x14ac:dyDescent="0.35">
      <c r="A53" s="209"/>
      <c r="B53" s="209" t="s">
        <v>163</v>
      </c>
      <c r="C53" s="209" t="s">
        <v>164</v>
      </c>
      <c r="D53" s="212">
        <v>30</v>
      </c>
      <c r="E53" s="214">
        <f t="shared" si="0"/>
        <v>26</v>
      </c>
      <c r="F53" s="70">
        <f t="shared" si="1"/>
        <v>26</v>
      </c>
    </row>
    <row r="54" spans="1:7" x14ac:dyDescent="0.35">
      <c r="A54" s="209"/>
      <c r="B54" s="209" t="s">
        <v>169</v>
      </c>
      <c r="C54" s="209" t="s">
        <v>775</v>
      </c>
      <c r="D54" s="212">
        <v>5</v>
      </c>
      <c r="E54" s="214">
        <f t="shared" si="0"/>
        <v>4.333333333333333</v>
      </c>
      <c r="F54" s="70">
        <f t="shared" si="1"/>
        <v>4.333333333333333</v>
      </c>
    </row>
    <row r="55" spans="1:7" x14ac:dyDescent="0.35">
      <c r="A55" s="209"/>
      <c r="B55" s="209" t="s">
        <v>801</v>
      </c>
      <c r="C55" s="209" t="s">
        <v>620</v>
      </c>
      <c r="D55" s="212">
        <v>150</v>
      </c>
      <c r="E55" s="214">
        <f t="shared" si="0"/>
        <v>130</v>
      </c>
      <c r="F55" s="70">
        <f t="shared" si="1"/>
        <v>130</v>
      </c>
    </row>
    <row r="56" spans="1:7" x14ac:dyDescent="0.35">
      <c r="A56" s="209"/>
      <c r="B56" s="209" t="s">
        <v>801</v>
      </c>
      <c r="C56" s="555" t="s">
        <v>896</v>
      </c>
      <c r="D56" s="212">
        <v>120</v>
      </c>
      <c r="E56" s="214">
        <f t="shared" si="0"/>
        <v>104</v>
      </c>
      <c r="F56" s="70">
        <f t="shared" si="1"/>
        <v>104</v>
      </c>
    </row>
    <row r="57" spans="1:7" x14ac:dyDescent="0.35">
      <c r="A57" s="209"/>
      <c r="B57" s="209" t="s">
        <v>801</v>
      </c>
      <c r="C57" s="555" t="s">
        <v>897</v>
      </c>
      <c r="D57" s="212">
        <f>+D56+60</f>
        <v>180</v>
      </c>
      <c r="E57" s="214">
        <f t="shared" si="0"/>
        <v>156</v>
      </c>
      <c r="F57" s="70">
        <f t="shared" si="1"/>
        <v>156</v>
      </c>
    </row>
    <row r="58" spans="1:7" x14ac:dyDescent="0.35">
      <c r="A58" s="209"/>
      <c r="B58" s="209" t="s">
        <v>801</v>
      </c>
      <c r="C58" s="555" t="s">
        <v>898</v>
      </c>
      <c r="D58" s="212">
        <f>60*4</f>
        <v>240</v>
      </c>
      <c r="E58" s="214">
        <f t="shared" si="0"/>
        <v>208</v>
      </c>
      <c r="F58" s="70">
        <f t="shared" si="1"/>
        <v>208</v>
      </c>
    </row>
    <row r="59" spans="1:7" x14ac:dyDescent="0.35">
      <c r="A59" s="209"/>
      <c r="B59" s="209" t="s">
        <v>801</v>
      </c>
      <c r="C59" s="555" t="s">
        <v>899</v>
      </c>
      <c r="D59" s="212">
        <f>+D58+60</f>
        <v>300</v>
      </c>
      <c r="E59" s="214">
        <f t="shared" si="0"/>
        <v>260</v>
      </c>
      <c r="F59" s="70">
        <f t="shared" si="1"/>
        <v>260</v>
      </c>
    </row>
    <row r="60" spans="1:7" x14ac:dyDescent="0.35">
      <c r="A60" s="209"/>
      <c r="B60" s="209" t="s">
        <v>801</v>
      </c>
      <c r="C60" s="555" t="s">
        <v>900</v>
      </c>
      <c r="D60" s="212">
        <f>60*8</f>
        <v>480</v>
      </c>
      <c r="E60" s="214">
        <f t="shared" si="0"/>
        <v>416</v>
      </c>
      <c r="F60" s="70">
        <f t="shared" si="1"/>
        <v>416</v>
      </c>
    </row>
    <row r="61" spans="1:7" x14ac:dyDescent="0.35">
      <c r="A61" s="209"/>
      <c r="B61" s="209" t="s">
        <v>801</v>
      </c>
      <c r="C61" s="209" t="s">
        <v>805</v>
      </c>
      <c r="D61" s="212">
        <v>20</v>
      </c>
      <c r="E61" s="214">
        <f t="shared" si="0"/>
        <v>17.333333333333332</v>
      </c>
      <c r="F61" s="70">
        <f t="shared" si="1"/>
        <v>17.333333333333332</v>
      </c>
    </row>
    <row r="62" spans="1:7" x14ac:dyDescent="0.35">
      <c r="A62" s="209"/>
      <c r="B62" s="209" t="s">
        <v>801</v>
      </c>
      <c r="C62" s="555" t="s">
        <v>901</v>
      </c>
      <c r="D62" s="212">
        <v>60</v>
      </c>
      <c r="E62" s="214">
        <f t="shared" si="0"/>
        <v>52</v>
      </c>
      <c r="F62" s="70">
        <f t="shared" si="1"/>
        <v>52</v>
      </c>
    </row>
    <row r="63" spans="1:7" x14ac:dyDescent="0.35">
      <c r="A63" s="209"/>
      <c r="B63" s="209" t="s">
        <v>801</v>
      </c>
      <c r="C63" s="555" t="s">
        <v>902</v>
      </c>
      <c r="D63" s="212">
        <v>90</v>
      </c>
      <c r="E63" s="214">
        <f t="shared" si="0"/>
        <v>78</v>
      </c>
      <c r="F63" s="70">
        <f t="shared" si="1"/>
        <v>78</v>
      </c>
    </row>
    <row r="64" spans="1:7" x14ac:dyDescent="0.35">
      <c r="A64" s="209"/>
      <c r="B64" s="209" t="s">
        <v>801</v>
      </c>
      <c r="C64" s="555" t="s">
        <v>903</v>
      </c>
      <c r="D64" s="212">
        <v>15</v>
      </c>
      <c r="E64" s="214">
        <f t="shared" si="0"/>
        <v>13</v>
      </c>
      <c r="F64" s="70">
        <f t="shared" si="1"/>
        <v>13</v>
      </c>
    </row>
    <row r="65" spans="1:6" x14ac:dyDescent="0.35">
      <c r="A65" s="209"/>
      <c r="B65" s="209" t="s">
        <v>801</v>
      </c>
      <c r="C65" s="555" t="s">
        <v>904</v>
      </c>
      <c r="D65" s="212">
        <v>30</v>
      </c>
      <c r="E65" s="214">
        <f t="shared" si="0"/>
        <v>26</v>
      </c>
      <c r="F65" s="70">
        <f t="shared" si="1"/>
        <v>26</v>
      </c>
    </row>
    <row r="66" spans="1:6" x14ac:dyDescent="0.35">
      <c r="A66" s="209"/>
      <c r="B66" s="209" t="s">
        <v>801</v>
      </c>
      <c r="C66" s="555" t="s">
        <v>905</v>
      </c>
      <c r="D66" s="212">
        <v>15</v>
      </c>
      <c r="E66" s="214">
        <f t="shared" si="0"/>
        <v>13</v>
      </c>
      <c r="F66" s="70">
        <f t="shared" si="1"/>
        <v>13</v>
      </c>
    </row>
    <row r="67" spans="1:6" x14ac:dyDescent="0.35">
      <c r="A67" s="209"/>
      <c r="B67" s="209" t="s">
        <v>801</v>
      </c>
      <c r="C67" s="555" t="s">
        <v>906</v>
      </c>
      <c r="D67" s="212">
        <v>30</v>
      </c>
      <c r="E67" s="214">
        <f t="shared" si="0"/>
        <v>26</v>
      </c>
      <c r="F67" s="70">
        <f t="shared" si="1"/>
        <v>26</v>
      </c>
    </row>
    <row r="68" spans="1:6" x14ac:dyDescent="0.35">
      <c r="A68" s="209"/>
      <c r="B68" s="209" t="s">
        <v>801</v>
      </c>
      <c r="C68" s="555" t="s">
        <v>907</v>
      </c>
      <c r="D68" s="212">
        <v>15</v>
      </c>
      <c r="E68" s="214">
        <f t="shared" si="0"/>
        <v>13</v>
      </c>
      <c r="F68" s="70">
        <f t="shared" si="1"/>
        <v>13</v>
      </c>
    </row>
    <row r="69" spans="1:6" x14ac:dyDescent="0.35">
      <c r="A69" s="209"/>
      <c r="B69" s="209" t="s">
        <v>801</v>
      </c>
      <c r="C69" s="555" t="s">
        <v>908</v>
      </c>
      <c r="D69" s="212">
        <v>30</v>
      </c>
      <c r="E69" s="214">
        <f t="shared" si="0"/>
        <v>26</v>
      </c>
      <c r="F69" s="70">
        <f t="shared" ref="F69" si="2">+D69*$F$2/60</f>
        <v>26</v>
      </c>
    </row>
    <row r="70" spans="1:6" x14ac:dyDescent="0.35">
      <c r="A70" s="209"/>
      <c r="B70" s="209" t="s">
        <v>801</v>
      </c>
      <c r="C70" s="209" t="s">
        <v>811</v>
      </c>
      <c r="D70" s="212">
        <v>25</v>
      </c>
      <c r="E70" s="214">
        <f t="shared" si="0"/>
        <v>21.666666666666668</v>
      </c>
      <c r="F70" s="70">
        <f t="shared" si="1"/>
        <v>21.666666666666668</v>
      </c>
    </row>
    <row r="71" spans="1:6" x14ac:dyDescent="0.35">
      <c r="A71" s="209"/>
      <c r="B71" s="209" t="s">
        <v>801</v>
      </c>
      <c r="C71" s="209" t="s">
        <v>498</v>
      </c>
      <c r="D71" s="212">
        <v>10</v>
      </c>
      <c r="E71" s="214">
        <f t="shared" si="0"/>
        <v>8.6666666666666661</v>
      </c>
      <c r="F71" s="70">
        <f t="shared" si="1"/>
        <v>8.6666666666666661</v>
      </c>
    </row>
    <row r="72" spans="1:6" x14ac:dyDescent="0.35">
      <c r="A72" s="209"/>
      <c r="B72" s="209" t="s">
        <v>801</v>
      </c>
      <c r="C72" s="209" t="s">
        <v>500</v>
      </c>
      <c r="D72" s="212">
        <v>10</v>
      </c>
      <c r="E72" s="214">
        <f t="shared" si="0"/>
        <v>8.6666666666666661</v>
      </c>
      <c r="F72" s="70">
        <f t="shared" si="1"/>
        <v>8.6666666666666661</v>
      </c>
    </row>
    <row r="73" spans="1:6" x14ac:dyDescent="0.35">
      <c r="A73" s="209"/>
      <c r="B73" s="209" t="s">
        <v>801</v>
      </c>
      <c r="C73" s="209" t="s">
        <v>501</v>
      </c>
      <c r="D73" s="212">
        <v>30</v>
      </c>
      <c r="E73" s="214">
        <f t="shared" si="0"/>
        <v>26</v>
      </c>
      <c r="F73" s="70">
        <f t="shared" si="1"/>
        <v>26</v>
      </c>
    </row>
    <row r="74" spans="1:6" x14ac:dyDescent="0.35">
      <c r="A74" s="209"/>
      <c r="B74" s="209" t="s">
        <v>801</v>
      </c>
      <c r="C74" s="209" t="s">
        <v>503</v>
      </c>
      <c r="D74" s="212">
        <v>30</v>
      </c>
      <c r="E74" s="214">
        <f t="shared" si="0"/>
        <v>26</v>
      </c>
      <c r="F74" s="70">
        <f t="shared" si="1"/>
        <v>26</v>
      </c>
    </row>
    <row r="75" spans="1:6" x14ac:dyDescent="0.35">
      <c r="A75" s="209"/>
      <c r="B75" s="209" t="s">
        <v>801</v>
      </c>
      <c r="C75" s="209" t="s">
        <v>504</v>
      </c>
      <c r="D75" s="212">
        <v>20</v>
      </c>
      <c r="E75" s="214">
        <f t="shared" si="0"/>
        <v>17.333333333333332</v>
      </c>
      <c r="F75" s="70">
        <f t="shared" si="1"/>
        <v>17.333333333333332</v>
      </c>
    </row>
    <row r="76" spans="1:6" x14ac:dyDescent="0.35">
      <c r="A76" s="209"/>
      <c r="B76" s="209" t="s">
        <v>801</v>
      </c>
      <c r="C76" s="555" t="s">
        <v>909</v>
      </c>
      <c r="D76" s="212">
        <v>15</v>
      </c>
      <c r="E76" s="214">
        <f t="shared" si="0"/>
        <v>13</v>
      </c>
      <c r="F76" s="70">
        <f t="shared" si="1"/>
        <v>13</v>
      </c>
    </row>
    <row r="77" spans="1:6" x14ac:dyDescent="0.35">
      <c r="A77" s="209"/>
      <c r="B77" s="209" t="s">
        <v>801</v>
      </c>
      <c r="C77" s="555" t="s">
        <v>910</v>
      </c>
      <c r="D77" s="212">
        <v>0</v>
      </c>
      <c r="E77" s="214">
        <f t="shared" si="0"/>
        <v>0</v>
      </c>
      <c r="F77" s="70">
        <f t="shared" si="1"/>
        <v>0</v>
      </c>
    </row>
    <row r="78" spans="1:6" x14ac:dyDescent="0.35">
      <c r="A78" s="209"/>
      <c r="B78" s="230" t="s">
        <v>801</v>
      </c>
      <c r="C78" s="230" t="s">
        <v>505</v>
      </c>
      <c r="D78" s="229">
        <v>40</v>
      </c>
      <c r="E78" s="214">
        <f t="shared" si="0"/>
        <v>34.666666666666664</v>
      </c>
      <c r="F78" s="70">
        <f t="shared" si="1"/>
        <v>34.666666666666664</v>
      </c>
    </row>
    <row r="79" spans="1:6" x14ac:dyDescent="0.35">
      <c r="A79" s="209"/>
      <c r="B79" s="209" t="s">
        <v>158</v>
      </c>
      <c r="C79" s="463" t="s">
        <v>552</v>
      </c>
      <c r="D79" s="212">
        <v>20</v>
      </c>
      <c r="E79" s="214">
        <f t="shared" si="0"/>
        <v>17.333333333333332</v>
      </c>
      <c r="F79" s="70">
        <f t="shared" si="1"/>
        <v>17.333333333333332</v>
      </c>
    </row>
    <row r="80" spans="1:6" x14ac:dyDescent="0.35">
      <c r="B80" s="209" t="s">
        <v>911</v>
      </c>
      <c r="C80" s="557" t="s">
        <v>912</v>
      </c>
      <c r="D80" s="65">
        <v>30</v>
      </c>
      <c r="E80" s="214">
        <f t="shared" si="0"/>
        <v>26</v>
      </c>
      <c r="F80" s="70">
        <f t="shared" si="1"/>
        <v>26</v>
      </c>
    </row>
    <row r="81" spans="2:11" x14ac:dyDescent="0.35">
      <c r="B81" s="555" t="s">
        <v>913</v>
      </c>
      <c r="C81" s="11" t="s">
        <v>914</v>
      </c>
      <c r="D81" s="65">
        <v>120</v>
      </c>
      <c r="E81" s="214">
        <f t="shared" si="0"/>
        <v>104</v>
      </c>
      <c r="F81" s="70">
        <f t="shared" si="1"/>
        <v>104</v>
      </c>
    </row>
    <row r="82" spans="2:11" x14ac:dyDescent="0.35">
      <c r="B82" s="555" t="s">
        <v>913</v>
      </c>
      <c r="C82" s="11" t="s">
        <v>915</v>
      </c>
      <c r="D82" s="65">
        <v>240</v>
      </c>
      <c r="E82" s="214">
        <f t="shared" ref="E82:E84" si="3">+D82*$E$2/60</f>
        <v>208</v>
      </c>
      <c r="F82" s="70">
        <f t="shared" si="1"/>
        <v>208</v>
      </c>
    </row>
    <row r="83" spans="2:11" x14ac:dyDescent="0.35">
      <c r="B83" s="555" t="s">
        <v>916</v>
      </c>
      <c r="C83" s="11" t="s">
        <v>917</v>
      </c>
      <c r="D83" s="65">
        <v>45</v>
      </c>
      <c r="E83" s="214">
        <f t="shared" si="3"/>
        <v>39</v>
      </c>
      <c r="F83" s="70">
        <f t="shared" si="1"/>
        <v>39</v>
      </c>
    </row>
    <row r="84" spans="2:11" x14ac:dyDescent="0.35">
      <c r="B84" s="555" t="s">
        <v>918</v>
      </c>
      <c r="C84" s="11" t="s">
        <v>133</v>
      </c>
      <c r="D84" s="65">
        <f>+K89</f>
        <v>465</v>
      </c>
      <c r="E84" s="214">
        <f t="shared" si="3"/>
        <v>403</v>
      </c>
      <c r="F84" s="70">
        <f t="shared" ref="F84" si="4">+D84*$F$2/60</f>
        <v>403</v>
      </c>
      <c r="J84" s="966" t="s">
        <v>918</v>
      </c>
      <c r="K84" s="966"/>
    </row>
    <row r="85" spans="2:11" x14ac:dyDescent="0.35">
      <c r="J85" t="s">
        <v>919</v>
      </c>
      <c r="K85">
        <v>120</v>
      </c>
    </row>
    <row r="86" spans="2:11" x14ac:dyDescent="0.35">
      <c r="J86" t="s">
        <v>920</v>
      </c>
      <c r="K86">
        <f>4.75*60</f>
        <v>285</v>
      </c>
    </row>
    <row r="87" spans="2:11" x14ac:dyDescent="0.35">
      <c r="J87" t="s">
        <v>921</v>
      </c>
      <c r="K87">
        <v>30</v>
      </c>
    </row>
    <row r="88" spans="2:11" x14ac:dyDescent="0.35">
      <c r="J88" t="s">
        <v>922</v>
      </c>
      <c r="K88">
        <v>30</v>
      </c>
    </row>
    <row r="89" spans="2:11" x14ac:dyDescent="0.35">
      <c r="J89" s="501" t="s">
        <v>16</v>
      </c>
      <c r="K89" s="501">
        <f>SUM(K85:K88)</f>
        <v>465</v>
      </c>
    </row>
  </sheetData>
  <mergeCells count="3">
    <mergeCell ref="A1:D1"/>
    <mergeCell ref="A36:A39"/>
    <mergeCell ref="J84:K84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D7D8A-97D0-4F40-AA26-7567F2C22476}">
  <sheetPr codeName="Sheet16">
    <tabColor rgb="FFFF0000"/>
  </sheetPr>
  <dimension ref="A1:W117"/>
  <sheetViews>
    <sheetView showGridLines="0" zoomScaleNormal="100" workbookViewId="0">
      <selection activeCell="M41" sqref="M41"/>
    </sheetView>
  </sheetViews>
  <sheetFormatPr defaultRowHeight="15.5" x14ac:dyDescent="0.35"/>
  <cols>
    <col min="1" max="1" width="9.25" bestFit="1" customWidth="1"/>
    <col min="2" max="2" width="11.83203125" style="63" bestFit="1" customWidth="1"/>
    <col min="3" max="3" width="11.08203125" style="63" bestFit="1" customWidth="1"/>
    <col min="4" max="4" width="11.08203125" style="63" customWidth="1"/>
    <col min="5" max="5" width="16.25" style="63" bestFit="1" customWidth="1"/>
    <col min="6" max="6" width="13.5" style="63" bestFit="1" customWidth="1"/>
    <col min="7" max="7" width="10.5" style="63" bestFit="1" customWidth="1"/>
    <col min="8" max="8" width="13.5" style="63" bestFit="1" customWidth="1"/>
    <col min="9" max="9" width="10.5" style="63" bestFit="1" customWidth="1"/>
    <col min="10" max="10" width="11.5" style="63" bestFit="1" customWidth="1"/>
    <col min="11" max="11" width="10.5" style="63" customWidth="1"/>
    <col min="12" max="12" width="11.5" style="63" bestFit="1" customWidth="1"/>
    <col min="13" max="13" width="10.5" style="63" customWidth="1"/>
    <col min="14" max="14" width="13.25" bestFit="1" customWidth="1"/>
    <col min="15" max="15" width="11" bestFit="1" customWidth="1"/>
    <col min="16" max="16" width="13.25" bestFit="1" customWidth="1"/>
    <col min="17" max="17" width="11.5" customWidth="1"/>
    <col min="21" max="22" width="10.08203125" customWidth="1"/>
  </cols>
  <sheetData>
    <row r="1" spans="1:23" ht="21" x14ac:dyDescent="0.5">
      <c r="A1" s="968" t="s">
        <v>851</v>
      </c>
      <c r="B1" s="968"/>
      <c r="C1" s="970">
        <v>52</v>
      </c>
      <c r="D1" s="231"/>
      <c r="E1" s="64" t="s">
        <v>210</v>
      </c>
      <c r="F1" s="1005" t="s">
        <v>1065</v>
      </c>
      <c r="G1" s="157" t="s">
        <v>85</v>
      </c>
      <c r="H1" s="1005" t="s">
        <v>1065</v>
      </c>
      <c r="I1" s="157" t="s">
        <v>48</v>
      </c>
      <c r="J1" s="1006" t="s">
        <v>1066</v>
      </c>
      <c r="K1" s="157" t="s">
        <v>85</v>
      </c>
      <c r="L1" s="1006" t="s">
        <v>1066</v>
      </c>
      <c r="M1" s="157" t="s">
        <v>48</v>
      </c>
      <c r="N1" s="1007" t="s">
        <v>925</v>
      </c>
      <c r="O1" s="157" t="s">
        <v>85</v>
      </c>
      <c r="P1" s="1007" t="s">
        <v>925</v>
      </c>
      <c r="Q1" s="157" t="s">
        <v>48</v>
      </c>
      <c r="U1" s="968" t="s">
        <v>923</v>
      </c>
      <c r="V1" s="968"/>
      <c r="W1" s="967">
        <v>0.8</v>
      </c>
    </row>
    <row r="2" spans="1:23" x14ac:dyDescent="0.35">
      <c r="A2" s="968"/>
      <c r="B2" s="968"/>
      <c r="C2" s="970"/>
      <c r="D2" s="231"/>
      <c r="E2" s="64" t="s">
        <v>924</v>
      </c>
      <c r="F2" s="65"/>
      <c r="G2" s="158" t="s">
        <v>86</v>
      </c>
      <c r="H2" s="158"/>
      <c r="I2" s="158" t="s">
        <v>86</v>
      </c>
      <c r="J2" s="158"/>
      <c r="K2" s="158" t="s">
        <v>86</v>
      </c>
      <c r="L2" s="158"/>
      <c r="M2" s="158" t="s">
        <v>86</v>
      </c>
      <c r="N2" s="158"/>
      <c r="O2" s="158" t="s">
        <v>925</v>
      </c>
      <c r="P2" s="158"/>
      <c r="Q2" s="158" t="s">
        <v>925</v>
      </c>
      <c r="U2" s="968"/>
      <c r="V2" s="968"/>
      <c r="W2" s="967"/>
    </row>
    <row r="3" spans="1:23" s="92" customFormat="1" ht="46.5" x14ac:dyDescent="0.35">
      <c r="A3" s="153"/>
      <c r="B3" s="153"/>
      <c r="C3" s="153"/>
      <c r="D3" s="153"/>
      <c r="E3" s="153"/>
      <c r="F3" s="178"/>
      <c r="G3" s="161" t="str">
        <f>+CONCATENATE(G1,G2)</f>
        <v>CoolerAluminium</v>
      </c>
      <c r="H3" s="161"/>
      <c r="I3" s="161" t="str">
        <f>+CONCATENATE(I1,I2)</f>
        <v>FreezerAluminium</v>
      </c>
      <c r="J3" s="161" t="s">
        <v>924</v>
      </c>
      <c r="K3" s="161" t="str">
        <f>+CONCATENATE(K1,K2,J3)</f>
        <v>CoolerAluminiumFrame</v>
      </c>
      <c r="L3" s="161" t="s">
        <v>924</v>
      </c>
      <c r="M3" s="161" t="str">
        <f>+CONCATENATE(M1,M2,L3)</f>
        <v>FreezerAluminiumFrame</v>
      </c>
      <c r="N3" s="161" t="s">
        <v>924</v>
      </c>
      <c r="O3" s="161" t="str">
        <f>+CONCATENATE(O1,O2,N3)</f>
        <v>CoolerWood/HDPEFrame</v>
      </c>
      <c r="P3" s="161" t="s">
        <v>924</v>
      </c>
      <c r="Q3" s="161" t="str">
        <f>+CONCATENATE(Q1,Q2,P3)</f>
        <v>FreezerWood/HDPEFrame</v>
      </c>
      <c r="U3" s="112"/>
      <c r="V3" s="112"/>
      <c r="W3" s="112"/>
    </row>
    <row r="4" spans="1:23" s="4" customFormat="1" ht="29" x14ac:dyDescent="0.35">
      <c r="A4" s="159" t="s">
        <v>37</v>
      </c>
      <c r="B4" s="109" t="s">
        <v>926</v>
      </c>
      <c r="C4" s="109" t="s">
        <v>927</v>
      </c>
      <c r="D4" s="109" t="s">
        <v>928</v>
      </c>
      <c r="E4" s="109" t="s">
        <v>929</v>
      </c>
      <c r="F4" s="110" t="s">
        <v>930</v>
      </c>
      <c r="G4" s="109" t="s">
        <v>931</v>
      </c>
      <c r="H4" s="110" t="s">
        <v>930</v>
      </c>
      <c r="I4" s="109" t="s">
        <v>931</v>
      </c>
      <c r="J4" s="110" t="s">
        <v>930</v>
      </c>
      <c r="K4" s="109" t="s">
        <v>931</v>
      </c>
      <c r="L4" s="110" t="s">
        <v>930</v>
      </c>
      <c r="M4" s="109" t="s">
        <v>931</v>
      </c>
      <c r="N4" s="110" t="s">
        <v>930</v>
      </c>
      <c r="O4" s="109" t="s">
        <v>931</v>
      </c>
      <c r="P4" s="110" t="s">
        <v>930</v>
      </c>
      <c r="Q4" s="109" t="s">
        <v>931</v>
      </c>
      <c r="U4" s="969" t="s">
        <v>932</v>
      </c>
      <c r="V4" s="969"/>
      <c r="W4" s="179">
        <v>0.06</v>
      </c>
    </row>
    <row r="5" spans="1:23" x14ac:dyDescent="0.35">
      <c r="A5" s="495" t="s">
        <v>933</v>
      </c>
      <c r="B5" s="65">
        <v>20</v>
      </c>
      <c r="C5" s="65">
        <v>20</v>
      </c>
      <c r="D5" s="65">
        <f>+B5*C5</f>
        <v>400</v>
      </c>
      <c r="E5" s="65" t="str">
        <f t="shared" ref="E5:E40" si="0">+CONCATENATE(B5," X ",C5)</f>
        <v>20 X 20</v>
      </c>
      <c r="F5" s="154">
        <v>115</v>
      </c>
      <c r="G5" s="155">
        <f>+(F5/60)*$C$1</f>
        <v>99.666666666666671</v>
      </c>
      <c r="H5" s="154">
        <f t="shared" ref="H5:H12" si="1">+F5+25</f>
        <v>140</v>
      </c>
      <c r="I5" s="155">
        <f>+(H5/60)*$C$1</f>
        <v>121.33333333333334</v>
      </c>
      <c r="J5" s="154">
        <f t="shared" ref="J5:J14" si="2">ROUNDUP((F5*$W$4),0)+60</f>
        <v>67</v>
      </c>
      <c r="K5" s="155">
        <f>+(J5/60)*$C$1</f>
        <v>58.06666666666667</v>
      </c>
      <c r="L5" s="154">
        <f>+J5+25</f>
        <v>92</v>
      </c>
      <c r="M5" s="155">
        <f>+(L5/60)*$C$1</f>
        <v>79.733333333333334</v>
      </c>
      <c r="N5" s="154">
        <f t="shared" ref="N5:N32" si="3">ROUNDUP((F5*$W$1),0)</f>
        <v>92</v>
      </c>
      <c r="O5" s="155">
        <f>+(N5/60)*$C$1</f>
        <v>79.733333333333334</v>
      </c>
      <c r="P5" s="154">
        <f>ROUNDUP((H5*$W$1),0)</f>
        <v>112</v>
      </c>
      <c r="Q5" s="155">
        <f>+(P5/60)*$C$1</f>
        <v>97.066666666666663</v>
      </c>
    </row>
    <row r="6" spans="1:23" x14ac:dyDescent="0.35">
      <c r="A6" s="495" t="s">
        <v>933</v>
      </c>
      <c r="B6" s="65">
        <v>24</v>
      </c>
      <c r="C6" s="65">
        <v>24</v>
      </c>
      <c r="D6" s="65">
        <f>+B6*C6</f>
        <v>576</v>
      </c>
      <c r="E6" s="65" t="str">
        <f t="shared" ref="E6" si="4">+CONCATENATE(B6," X ",C6)</f>
        <v>24 X 24</v>
      </c>
      <c r="F6" s="154">
        <v>145</v>
      </c>
      <c r="G6" s="155">
        <f>+(F6/60)*$C$1</f>
        <v>125.66666666666666</v>
      </c>
      <c r="H6" s="154">
        <f t="shared" ref="H6" si="5">+F6+25</f>
        <v>170</v>
      </c>
      <c r="I6" s="155">
        <f>+(H6/60)*$C$1</f>
        <v>147.33333333333334</v>
      </c>
      <c r="J6" s="154">
        <f t="shared" ref="J6" si="6">ROUNDUP((F6*$W$4),0)+60</f>
        <v>69</v>
      </c>
      <c r="K6" s="155">
        <f>+(J6/60)*$C$1</f>
        <v>59.8</v>
      </c>
      <c r="L6" s="154">
        <f>+J6+25</f>
        <v>94</v>
      </c>
      <c r="M6" s="155">
        <f>+(L6/60)*$C$1</f>
        <v>81.466666666666669</v>
      </c>
      <c r="N6" s="154">
        <f t="shared" ref="N6" si="7">ROUNDUP((F6*$W$1),0)</f>
        <v>116</v>
      </c>
      <c r="O6" s="155">
        <f>+(N6/60)*$C$1</f>
        <v>100.53333333333333</v>
      </c>
      <c r="P6" s="154">
        <f>ROUNDUP((H6*$W$1),0)</f>
        <v>136</v>
      </c>
      <c r="Q6" s="155">
        <f>+(P6/60)*$C$1</f>
        <v>117.86666666666666</v>
      </c>
    </row>
    <row r="7" spans="1:23" x14ac:dyDescent="0.35">
      <c r="A7" s="495" t="s">
        <v>933</v>
      </c>
      <c r="B7" s="65">
        <v>34</v>
      </c>
      <c r="C7" s="65">
        <v>78</v>
      </c>
      <c r="D7" s="65">
        <f>+B7*C7</f>
        <v>2652</v>
      </c>
      <c r="E7" s="65" t="str">
        <f t="shared" ref="E7" si="8">+CONCATENATE(B7," X ",C7)</f>
        <v>34 X 78</v>
      </c>
      <c r="F7" s="154">
        <v>325</v>
      </c>
      <c r="G7" s="155">
        <f>+(F7/60)*$C$1</f>
        <v>281.66666666666669</v>
      </c>
      <c r="H7" s="154">
        <f t="shared" ref="H7" si="9">+F7+25</f>
        <v>350</v>
      </c>
      <c r="I7" s="155">
        <f>+(H7/60)*$C$1</f>
        <v>303.33333333333331</v>
      </c>
      <c r="J7" s="154">
        <f t="shared" ref="J7" si="10">ROUNDUP((F7*$W$4),0)+60</f>
        <v>80</v>
      </c>
      <c r="K7" s="155">
        <f>+(J7/60)*$C$1</f>
        <v>69.333333333333329</v>
      </c>
      <c r="L7" s="154">
        <f>+J7+25</f>
        <v>105</v>
      </c>
      <c r="M7" s="155">
        <f>+(L7/60)*$C$1</f>
        <v>91</v>
      </c>
      <c r="N7" s="154">
        <f t="shared" ref="N7" si="11">ROUNDUP((F7*$W$1),0)</f>
        <v>260</v>
      </c>
      <c r="O7" s="155">
        <f>+(N7/60)*$C$1</f>
        <v>225.33333333333331</v>
      </c>
      <c r="P7" s="154">
        <f>ROUNDUP((H7*$W$1),0)</f>
        <v>280</v>
      </c>
      <c r="Q7" s="155">
        <f>+(P7/60)*$C$1</f>
        <v>242.66666666666669</v>
      </c>
    </row>
    <row r="8" spans="1:23" x14ac:dyDescent="0.35">
      <c r="A8" s="495" t="s">
        <v>933</v>
      </c>
      <c r="B8" s="65">
        <v>34</v>
      </c>
      <c r="C8" s="65">
        <v>84</v>
      </c>
      <c r="D8" s="65">
        <f t="shared" ref="D8:D40" si="12">+B8*C8</f>
        <v>2856</v>
      </c>
      <c r="E8" s="65" t="str">
        <f t="shared" si="0"/>
        <v>34 X 84</v>
      </c>
      <c r="F8" s="154">
        <v>325</v>
      </c>
      <c r="G8" s="155">
        <f t="shared" ref="G8:I16" si="13">+(F8/60)*$C$1</f>
        <v>281.66666666666669</v>
      </c>
      <c r="H8" s="154">
        <f t="shared" si="1"/>
        <v>350</v>
      </c>
      <c r="I8" s="155">
        <f t="shared" si="13"/>
        <v>303.33333333333331</v>
      </c>
      <c r="J8" s="154">
        <f t="shared" si="2"/>
        <v>80</v>
      </c>
      <c r="K8" s="155">
        <f t="shared" ref="K8:M32" si="14">+(J8/60)*$C$1</f>
        <v>69.333333333333329</v>
      </c>
      <c r="L8" s="154">
        <f t="shared" ref="L8:L59" si="15">+J8+25</f>
        <v>105</v>
      </c>
      <c r="M8" s="155">
        <f t="shared" si="14"/>
        <v>91</v>
      </c>
      <c r="N8" s="154">
        <f t="shared" si="3"/>
        <v>260</v>
      </c>
      <c r="O8" s="155">
        <f t="shared" ref="O8" si="16">+(N8/60)*$C$1</f>
        <v>225.33333333333331</v>
      </c>
      <c r="P8" s="154">
        <f t="shared" ref="P8:P32" si="17">ROUNDUP((H8*$W$1),0)</f>
        <v>280</v>
      </c>
      <c r="Q8" s="155">
        <f t="shared" ref="Q8:Q32" si="18">+(P8/60)*$C$1</f>
        <v>242.66666666666669</v>
      </c>
      <c r="W8" s="177"/>
    </row>
    <row r="9" spans="1:23" x14ac:dyDescent="0.35">
      <c r="A9" s="495" t="s">
        <v>933</v>
      </c>
      <c r="B9" s="65">
        <v>36</v>
      </c>
      <c r="C9" s="65">
        <v>80</v>
      </c>
      <c r="D9" s="65">
        <f t="shared" si="12"/>
        <v>2880</v>
      </c>
      <c r="E9" s="65" t="str">
        <f t="shared" si="0"/>
        <v>36 X 80</v>
      </c>
      <c r="F9" s="154">
        <v>335</v>
      </c>
      <c r="G9" s="155">
        <f t="shared" si="13"/>
        <v>290.33333333333331</v>
      </c>
      <c r="H9" s="154">
        <f t="shared" si="1"/>
        <v>360</v>
      </c>
      <c r="I9" s="155">
        <f t="shared" si="13"/>
        <v>312</v>
      </c>
      <c r="J9" s="154">
        <f t="shared" si="2"/>
        <v>81</v>
      </c>
      <c r="K9" s="155">
        <f t="shared" si="14"/>
        <v>70.2</v>
      </c>
      <c r="L9" s="154">
        <f t="shared" si="15"/>
        <v>106</v>
      </c>
      <c r="M9" s="155">
        <f t="shared" si="14"/>
        <v>91.86666666666666</v>
      </c>
      <c r="N9" s="154">
        <f t="shared" si="3"/>
        <v>268</v>
      </c>
      <c r="O9" s="155">
        <f t="shared" ref="O9" si="19">+(N9/60)*$C$1</f>
        <v>232.26666666666668</v>
      </c>
      <c r="P9" s="154">
        <f t="shared" si="17"/>
        <v>288</v>
      </c>
      <c r="Q9" s="155">
        <f t="shared" si="18"/>
        <v>249.6</v>
      </c>
    </row>
    <row r="10" spans="1:23" x14ac:dyDescent="0.35">
      <c r="A10" s="495" t="s">
        <v>933</v>
      </c>
      <c r="B10" s="65">
        <v>36</v>
      </c>
      <c r="C10" s="65">
        <v>84</v>
      </c>
      <c r="D10" s="65">
        <f t="shared" si="12"/>
        <v>3024</v>
      </c>
      <c r="E10" s="65" t="str">
        <f t="shared" si="0"/>
        <v>36 X 84</v>
      </c>
      <c r="F10" s="154">
        <v>335</v>
      </c>
      <c r="G10" s="155">
        <f t="shared" si="13"/>
        <v>290.33333333333331</v>
      </c>
      <c r="H10" s="154">
        <f t="shared" si="1"/>
        <v>360</v>
      </c>
      <c r="I10" s="155">
        <f t="shared" si="13"/>
        <v>312</v>
      </c>
      <c r="J10" s="154">
        <f t="shared" si="2"/>
        <v>81</v>
      </c>
      <c r="K10" s="155">
        <f t="shared" si="14"/>
        <v>70.2</v>
      </c>
      <c r="L10" s="154">
        <f t="shared" si="15"/>
        <v>106</v>
      </c>
      <c r="M10" s="155">
        <f t="shared" si="14"/>
        <v>91.86666666666666</v>
      </c>
      <c r="N10" s="154">
        <f t="shared" si="3"/>
        <v>268</v>
      </c>
      <c r="O10" s="155">
        <f t="shared" ref="O10" si="20">+(N10/60)*$C$1</f>
        <v>232.26666666666668</v>
      </c>
      <c r="P10" s="154">
        <f t="shared" si="17"/>
        <v>288</v>
      </c>
      <c r="Q10" s="155">
        <f t="shared" si="18"/>
        <v>249.6</v>
      </c>
    </row>
    <row r="11" spans="1:23" x14ac:dyDescent="0.35">
      <c r="A11" s="495" t="s">
        <v>933</v>
      </c>
      <c r="B11" s="65">
        <v>42</v>
      </c>
      <c r="C11" s="65">
        <v>78</v>
      </c>
      <c r="D11" s="65">
        <f t="shared" si="12"/>
        <v>3276</v>
      </c>
      <c r="E11" s="65" t="str">
        <f t="shared" si="0"/>
        <v>42 X 78</v>
      </c>
      <c r="F11" s="154">
        <v>350</v>
      </c>
      <c r="G11" s="155">
        <f t="shared" si="13"/>
        <v>303.33333333333331</v>
      </c>
      <c r="H11" s="154">
        <f t="shared" si="1"/>
        <v>375</v>
      </c>
      <c r="I11" s="155">
        <f t="shared" si="13"/>
        <v>325</v>
      </c>
      <c r="J11" s="154">
        <f t="shared" si="2"/>
        <v>81</v>
      </c>
      <c r="K11" s="155">
        <f t="shared" si="14"/>
        <v>70.2</v>
      </c>
      <c r="L11" s="154">
        <f t="shared" si="15"/>
        <v>106</v>
      </c>
      <c r="M11" s="155">
        <f t="shared" si="14"/>
        <v>91.86666666666666</v>
      </c>
      <c r="N11" s="154">
        <f t="shared" si="3"/>
        <v>280</v>
      </c>
      <c r="O11" s="155">
        <f t="shared" ref="O11" si="21">+(N11/60)*$C$1</f>
        <v>242.66666666666669</v>
      </c>
      <c r="P11" s="154">
        <f t="shared" si="17"/>
        <v>300</v>
      </c>
      <c r="Q11" s="155">
        <f t="shared" si="18"/>
        <v>260</v>
      </c>
    </row>
    <row r="12" spans="1:23" x14ac:dyDescent="0.35">
      <c r="A12" s="495" t="s">
        <v>933</v>
      </c>
      <c r="B12" s="65">
        <v>42</v>
      </c>
      <c r="C12" s="65">
        <v>84</v>
      </c>
      <c r="D12" s="65">
        <f t="shared" si="12"/>
        <v>3528</v>
      </c>
      <c r="E12" s="65" t="str">
        <f t="shared" si="0"/>
        <v>42 X 84</v>
      </c>
      <c r="F12" s="154">
        <v>350</v>
      </c>
      <c r="G12" s="155">
        <f t="shared" si="13"/>
        <v>303.33333333333331</v>
      </c>
      <c r="H12" s="154">
        <f t="shared" si="1"/>
        <v>375</v>
      </c>
      <c r="I12" s="155">
        <f t="shared" si="13"/>
        <v>325</v>
      </c>
      <c r="J12" s="154">
        <f t="shared" si="2"/>
        <v>81</v>
      </c>
      <c r="K12" s="155">
        <f t="shared" si="14"/>
        <v>70.2</v>
      </c>
      <c r="L12" s="154">
        <f t="shared" si="15"/>
        <v>106</v>
      </c>
      <c r="M12" s="155">
        <f t="shared" si="14"/>
        <v>91.86666666666666</v>
      </c>
      <c r="N12" s="154">
        <f t="shared" si="3"/>
        <v>280</v>
      </c>
      <c r="O12" s="155">
        <f t="shared" ref="O12" si="22">+(N12/60)*$C$1</f>
        <v>242.66666666666669</v>
      </c>
      <c r="P12" s="154">
        <f t="shared" si="17"/>
        <v>300</v>
      </c>
      <c r="Q12" s="155">
        <f t="shared" si="18"/>
        <v>260</v>
      </c>
    </row>
    <row r="13" spans="1:23" x14ac:dyDescent="0.35">
      <c r="A13" s="495" t="s">
        <v>933</v>
      </c>
      <c r="B13" s="65">
        <v>48</v>
      </c>
      <c r="C13" s="65">
        <v>84</v>
      </c>
      <c r="D13" s="65">
        <f t="shared" si="12"/>
        <v>4032</v>
      </c>
      <c r="E13" s="65" t="str">
        <f t="shared" si="0"/>
        <v>48 X 84</v>
      </c>
      <c r="F13" s="154">
        <f>365+25+60</f>
        <v>450</v>
      </c>
      <c r="G13" s="155">
        <f t="shared" si="13"/>
        <v>390</v>
      </c>
      <c r="H13" s="154">
        <f>+F13+25+25</f>
        <v>500</v>
      </c>
      <c r="I13" s="155">
        <f t="shared" si="13"/>
        <v>433.33333333333337</v>
      </c>
      <c r="J13" s="154">
        <f t="shared" si="2"/>
        <v>87</v>
      </c>
      <c r="K13" s="155">
        <f t="shared" si="14"/>
        <v>75.399999999999991</v>
      </c>
      <c r="L13" s="154">
        <f t="shared" si="15"/>
        <v>112</v>
      </c>
      <c r="M13" s="155">
        <f t="shared" si="14"/>
        <v>97.066666666666663</v>
      </c>
      <c r="N13" s="154">
        <f t="shared" si="3"/>
        <v>360</v>
      </c>
      <c r="O13" s="155">
        <f t="shared" ref="O13" si="23">+(N13/60)*$C$1</f>
        <v>312</v>
      </c>
      <c r="P13" s="154">
        <f t="shared" si="17"/>
        <v>400</v>
      </c>
      <c r="Q13" s="155">
        <f t="shared" si="18"/>
        <v>346.66666666666669</v>
      </c>
    </row>
    <row r="14" spans="1:23" x14ac:dyDescent="0.35">
      <c r="A14" s="495" t="s">
        <v>933</v>
      </c>
      <c r="B14" s="65">
        <v>54</v>
      </c>
      <c r="C14" s="65">
        <v>84</v>
      </c>
      <c r="D14" s="65">
        <f t="shared" si="12"/>
        <v>4536</v>
      </c>
      <c r="E14" s="65" t="str">
        <f t="shared" si="0"/>
        <v>54 X 84</v>
      </c>
      <c r="F14" s="154">
        <f>370+35+60</f>
        <v>465</v>
      </c>
      <c r="G14" s="155">
        <f t="shared" si="13"/>
        <v>403</v>
      </c>
      <c r="H14" s="154">
        <f>+F14+25+25</f>
        <v>515</v>
      </c>
      <c r="I14" s="155">
        <f t="shared" si="13"/>
        <v>446.33333333333337</v>
      </c>
      <c r="J14" s="154">
        <f t="shared" si="2"/>
        <v>88</v>
      </c>
      <c r="K14" s="155">
        <f t="shared" si="14"/>
        <v>76.266666666666666</v>
      </c>
      <c r="L14" s="154">
        <f t="shared" si="15"/>
        <v>113</v>
      </c>
      <c r="M14" s="155">
        <f t="shared" si="14"/>
        <v>97.933333333333337</v>
      </c>
      <c r="N14" s="154">
        <f t="shared" si="3"/>
        <v>372</v>
      </c>
      <c r="O14" s="155">
        <f t="shared" ref="O14" si="24">+(N14/60)*$C$1</f>
        <v>322.40000000000003</v>
      </c>
      <c r="P14" s="154">
        <f t="shared" si="17"/>
        <v>412</v>
      </c>
      <c r="Q14" s="155">
        <f t="shared" si="18"/>
        <v>357.06666666666666</v>
      </c>
    </row>
    <row r="15" spans="1:23" x14ac:dyDescent="0.35">
      <c r="A15" s="495" t="s">
        <v>933</v>
      </c>
      <c r="B15" s="65">
        <v>60</v>
      </c>
      <c r="C15" s="65">
        <v>84</v>
      </c>
      <c r="D15" s="65">
        <f t="shared" si="12"/>
        <v>5040</v>
      </c>
      <c r="E15" s="65" t="str">
        <f t="shared" si="0"/>
        <v>60 X 84</v>
      </c>
      <c r="F15" s="154">
        <f>425+40+90</f>
        <v>555</v>
      </c>
      <c r="G15" s="155">
        <f t="shared" si="13"/>
        <v>481</v>
      </c>
      <c r="H15" s="154">
        <f t="shared" ref="H15:H22" si="25">+F15+25+25+25</f>
        <v>630</v>
      </c>
      <c r="I15" s="155">
        <f t="shared" si="13"/>
        <v>546</v>
      </c>
      <c r="J15" s="154">
        <f>ROUNDUP((F15*$W$4),0)+75</f>
        <v>109</v>
      </c>
      <c r="K15" s="155">
        <f t="shared" si="14"/>
        <v>94.466666666666669</v>
      </c>
      <c r="L15" s="154">
        <f t="shared" si="15"/>
        <v>134</v>
      </c>
      <c r="M15" s="155">
        <f t="shared" si="14"/>
        <v>116.13333333333334</v>
      </c>
      <c r="N15" s="154">
        <f t="shared" si="3"/>
        <v>444</v>
      </c>
      <c r="O15" s="155">
        <f t="shared" ref="O15" si="26">+(N15/60)*$C$1</f>
        <v>384.8</v>
      </c>
      <c r="P15" s="154">
        <f t="shared" si="17"/>
        <v>504</v>
      </c>
      <c r="Q15" s="155">
        <f t="shared" si="18"/>
        <v>436.8</v>
      </c>
    </row>
    <row r="16" spans="1:23" x14ac:dyDescent="0.35">
      <c r="A16" s="495" t="s">
        <v>933</v>
      </c>
      <c r="B16" s="65">
        <v>72</v>
      </c>
      <c r="C16" s="65">
        <v>84</v>
      </c>
      <c r="D16" s="65">
        <f t="shared" si="12"/>
        <v>6048</v>
      </c>
      <c r="E16" s="65" t="str">
        <f t="shared" si="0"/>
        <v>72 X 84</v>
      </c>
      <c r="F16" s="154">
        <f>475+55+90</f>
        <v>620</v>
      </c>
      <c r="G16" s="155">
        <f t="shared" si="13"/>
        <v>537.33333333333337</v>
      </c>
      <c r="H16" s="154">
        <f t="shared" si="25"/>
        <v>695</v>
      </c>
      <c r="I16" s="155">
        <f t="shared" si="13"/>
        <v>602.33333333333337</v>
      </c>
      <c r="J16" s="154">
        <f>ROUNDUP((F16*$W$4),0)+75</f>
        <v>113</v>
      </c>
      <c r="K16" s="155">
        <f t="shared" si="14"/>
        <v>97.933333333333337</v>
      </c>
      <c r="L16" s="154">
        <f t="shared" si="15"/>
        <v>138</v>
      </c>
      <c r="M16" s="155">
        <f t="shared" si="14"/>
        <v>119.6</v>
      </c>
      <c r="N16" s="154">
        <f t="shared" si="3"/>
        <v>496</v>
      </c>
      <c r="O16" s="155">
        <f t="shared" ref="O16:O32" si="27">+(N16/60)*$C$1</f>
        <v>429.86666666666673</v>
      </c>
      <c r="P16" s="154">
        <f t="shared" si="17"/>
        <v>556</v>
      </c>
      <c r="Q16" s="155">
        <f t="shared" si="18"/>
        <v>481.86666666666673</v>
      </c>
    </row>
    <row r="17" spans="1:17" x14ac:dyDescent="0.35">
      <c r="A17" s="495" t="s">
        <v>933</v>
      </c>
      <c r="B17" s="65">
        <v>72</v>
      </c>
      <c r="C17" s="65">
        <v>96</v>
      </c>
      <c r="D17" s="65">
        <f t="shared" si="12"/>
        <v>6912</v>
      </c>
      <c r="E17" s="65" t="str">
        <f t="shared" si="0"/>
        <v>72 X 96</v>
      </c>
      <c r="F17" s="154">
        <f>510+60+90</f>
        <v>660</v>
      </c>
      <c r="G17" s="155">
        <f t="shared" ref="G17:G22" si="28">+(F17/60)*$C$1</f>
        <v>572</v>
      </c>
      <c r="H17" s="154">
        <f t="shared" si="25"/>
        <v>735</v>
      </c>
      <c r="I17" s="155">
        <f t="shared" ref="I17:I22" si="29">+(H17/60)*$C$1</f>
        <v>637</v>
      </c>
      <c r="J17" s="154">
        <f>ROUNDUP((F17*$W$4),0)+75</f>
        <v>115</v>
      </c>
      <c r="K17" s="155">
        <f t="shared" ref="K17:K22" si="30">+(J17/60)*$C$1</f>
        <v>99.666666666666671</v>
      </c>
      <c r="L17" s="154">
        <f t="shared" si="15"/>
        <v>140</v>
      </c>
      <c r="M17" s="155">
        <f t="shared" ref="M17:M22" si="31">+(L17/60)*$C$1</f>
        <v>121.33333333333334</v>
      </c>
      <c r="N17" s="154">
        <f t="shared" ref="N17:N22" si="32">ROUNDUP((F17*$W$1),0)</f>
        <v>528</v>
      </c>
      <c r="O17" s="155">
        <f t="shared" ref="O17:O22" si="33">+(N17/60)*$C$1</f>
        <v>457.6</v>
      </c>
      <c r="P17" s="154">
        <f t="shared" ref="P17:P22" si="34">ROUNDUP((H17*$W$1),0)</f>
        <v>588</v>
      </c>
      <c r="Q17" s="155">
        <f t="shared" ref="Q17:Q22" si="35">+(P17/60)*$C$1</f>
        <v>509.6</v>
      </c>
    </row>
    <row r="18" spans="1:17" x14ac:dyDescent="0.35">
      <c r="A18" s="495" t="s">
        <v>933</v>
      </c>
      <c r="B18" s="65">
        <v>76</v>
      </c>
      <c r="C18" s="65">
        <v>108</v>
      </c>
      <c r="D18" s="65">
        <f t="shared" si="12"/>
        <v>8208</v>
      </c>
      <c r="E18" s="65" t="str">
        <f t="shared" si="0"/>
        <v>76 X 108</v>
      </c>
      <c r="F18" s="154">
        <f>590+65+90</f>
        <v>745</v>
      </c>
      <c r="G18" s="155">
        <f t="shared" si="28"/>
        <v>645.66666666666663</v>
      </c>
      <c r="H18" s="154">
        <f t="shared" si="25"/>
        <v>820</v>
      </c>
      <c r="I18" s="155">
        <f t="shared" si="29"/>
        <v>710.66666666666663</v>
      </c>
      <c r="J18" s="154">
        <f>ROUNDUP((F18*$W$4),0)+75</f>
        <v>120</v>
      </c>
      <c r="K18" s="155">
        <f t="shared" si="30"/>
        <v>104</v>
      </c>
      <c r="L18" s="154">
        <f t="shared" si="15"/>
        <v>145</v>
      </c>
      <c r="M18" s="155">
        <f t="shared" si="31"/>
        <v>125.66666666666666</v>
      </c>
      <c r="N18" s="154">
        <f t="shared" si="32"/>
        <v>596</v>
      </c>
      <c r="O18" s="155">
        <f t="shared" si="33"/>
        <v>516.5333333333333</v>
      </c>
      <c r="P18" s="154">
        <f t="shared" si="34"/>
        <v>656</v>
      </c>
      <c r="Q18" s="155">
        <f t="shared" si="35"/>
        <v>568.5333333333333</v>
      </c>
    </row>
    <row r="19" spans="1:17" x14ac:dyDescent="0.35">
      <c r="A19" s="495" t="s">
        <v>933</v>
      </c>
      <c r="B19" s="65">
        <v>76</v>
      </c>
      <c r="C19" s="65">
        <v>120</v>
      </c>
      <c r="D19" s="65">
        <f t="shared" si="12"/>
        <v>9120</v>
      </c>
      <c r="E19" s="65" t="str">
        <f t="shared" si="0"/>
        <v>76 X 120</v>
      </c>
      <c r="F19" s="154">
        <f>735+75+90</f>
        <v>900</v>
      </c>
      <c r="G19" s="155">
        <f t="shared" si="28"/>
        <v>780</v>
      </c>
      <c r="H19" s="154">
        <f t="shared" si="25"/>
        <v>975</v>
      </c>
      <c r="I19" s="155">
        <f t="shared" si="29"/>
        <v>845</v>
      </c>
      <c r="J19" s="154">
        <f>ROUNDUP((F19*$W$4),0)+120</f>
        <v>174</v>
      </c>
      <c r="K19" s="155">
        <f t="shared" si="30"/>
        <v>150.79999999999998</v>
      </c>
      <c r="L19" s="154">
        <f t="shared" si="15"/>
        <v>199</v>
      </c>
      <c r="M19" s="155">
        <f t="shared" si="31"/>
        <v>172.46666666666667</v>
      </c>
      <c r="N19" s="154">
        <f t="shared" si="32"/>
        <v>720</v>
      </c>
      <c r="O19" s="155">
        <f t="shared" si="33"/>
        <v>624</v>
      </c>
      <c r="P19" s="154">
        <f t="shared" si="34"/>
        <v>780</v>
      </c>
      <c r="Q19" s="155">
        <f t="shared" si="35"/>
        <v>676</v>
      </c>
    </row>
    <row r="20" spans="1:17" x14ac:dyDescent="0.35">
      <c r="A20" s="495" t="s">
        <v>933</v>
      </c>
      <c r="B20" s="65">
        <v>76</v>
      </c>
      <c r="C20" s="65">
        <v>132</v>
      </c>
      <c r="D20" s="65">
        <f t="shared" si="12"/>
        <v>10032</v>
      </c>
      <c r="E20" s="65" t="str">
        <f t="shared" si="0"/>
        <v>76 X 132</v>
      </c>
      <c r="F20" s="154">
        <f>885+90+90</f>
        <v>1065</v>
      </c>
      <c r="G20" s="155">
        <f t="shared" si="28"/>
        <v>923</v>
      </c>
      <c r="H20" s="154">
        <f t="shared" si="25"/>
        <v>1140</v>
      </c>
      <c r="I20" s="155">
        <f t="shared" si="29"/>
        <v>988</v>
      </c>
      <c r="J20" s="154">
        <f>ROUNDUP((F20*$W$4),0)+120</f>
        <v>184</v>
      </c>
      <c r="K20" s="155">
        <f t="shared" si="30"/>
        <v>159.46666666666667</v>
      </c>
      <c r="L20" s="154">
        <f t="shared" si="15"/>
        <v>209</v>
      </c>
      <c r="M20" s="155">
        <f t="shared" si="31"/>
        <v>181.13333333333333</v>
      </c>
      <c r="N20" s="154">
        <f t="shared" si="32"/>
        <v>852</v>
      </c>
      <c r="O20" s="155">
        <f t="shared" si="33"/>
        <v>738.4</v>
      </c>
      <c r="P20" s="154">
        <f t="shared" si="34"/>
        <v>912</v>
      </c>
      <c r="Q20" s="155">
        <f t="shared" si="35"/>
        <v>790.4</v>
      </c>
    </row>
    <row r="21" spans="1:17" x14ac:dyDescent="0.35">
      <c r="A21" s="495" t="s">
        <v>933</v>
      </c>
      <c r="B21" s="65">
        <v>90</v>
      </c>
      <c r="C21" s="65">
        <v>144</v>
      </c>
      <c r="D21" s="65">
        <f t="shared" ref="D21" si="36">+B21*C21</f>
        <v>12960</v>
      </c>
      <c r="E21" s="65" t="str">
        <f t="shared" ref="E21" si="37">+CONCATENATE(B21," X ",C21)</f>
        <v>90 X 144</v>
      </c>
      <c r="F21" s="154">
        <v>1450</v>
      </c>
      <c r="G21" s="155">
        <f t="shared" ref="G21" si="38">+(F21/60)*$C$1</f>
        <v>1256.6666666666667</v>
      </c>
      <c r="H21" s="154">
        <f t="shared" ref="H21" si="39">+F21+25+25+25</f>
        <v>1525</v>
      </c>
      <c r="I21" s="155">
        <f t="shared" ref="I21" si="40">+(H21/60)*$C$1</f>
        <v>1321.6666666666667</v>
      </c>
      <c r="J21" s="154">
        <f>ROUNDUP((F21*$W$4),0)+120</f>
        <v>207</v>
      </c>
      <c r="K21" s="155">
        <f t="shared" ref="K21" si="41">+(J21/60)*$C$1</f>
        <v>179.4</v>
      </c>
      <c r="L21" s="154">
        <f t="shared" ref="L21" si="42">+J21+25</f>
        <v>232</v>
      </c>
      <c r="M21" s="155">
        <f t="shared" ref="M21" si="43">+(L21/60)*$C$1</f>
        <v>201.06666666666666</v>
      </c>
      <c r="N21" s="154">
        <f t="shared" ref="N21" si="44">ROUNDUP((F21*$W$1),0)</f>
        <v>1160</v>
      </c>
      <c r="O21" s="155">
        <f t="shared" ref="O21" si="45">+(N21/60)*$C$1</f>
        <v>1005.3333333333333</v>
      </c>
      <c r="P21" s="154">
        <f t="shared" ref="P21" si="46">ROUNDUP((H21*$W$1),0)</f>
        <v>1220</v>
      </c>
      <c r="Q21" s="155">
        <f t="shared" ref="Q21" si="47">+(P21/60)*$C$1</f>
        <v>1057.3333333333333</v>
      </c>
    </row>
    <row r="22" spans="1:17" x14ac:dyDescent="0.35">
      <c r="A22" s="495" t="s">
        <v>933</v>
      </c>
      <c r="B22" s="65">
        <v>76</v>
      </c>
      <c r="C22" s="65">
        <v>144</v>
      </c>
      <c r="D22" s="65">
        <f t="shared" si="12"/>
        <v>10944</v>
      </c>
      <c r="E22" s="65" t="str">
        <f t="shared" si="0"/>
        <v>76 X 144</v>
      </c>
      <c r="F22" s="154">
        <f>995+95+110</f>
        <v>1200</v>
      </c>
      <c r="G22" s="155">
        <f t="shared" si="28"/>
        <v>1040</v>
      </c>
      <c r="H22" s="154">
        <f t="shared" si="25"/>
        <v>1275</v>
      </c>
      <c r="I22" s="155">
        <f t="shared" si="29"/>
        <v>1105</v>
      </c>
      <c r="J22" s="154">
        <f>ROUNDUP((F22*$W$4),0)+120</f>
        <v>192</v>
      </c>
      <c r="K22" s="155">
        <f t="shared" si="30"/>
        <v>166.4</v>
      </c>
      <c r="L22" s="154">
        <f t="shared" si="15"/>
        <v>217</v>
      </c>
      <c r="M22" s="155">
        <f t="shared" si="31"/>
        <v>188.06666666666666</v>
      </c>
      <c r="N22" s="154">
        <f t="shared" si="32"/>
        <v>960</v>
      </c>
      <c r="O22" s="155">
        <f t="shared" si="33"/>
        <v>832</v>
      </c>
      <c r="P22" s="154">
        <f t="shared" si="34"/>
        <v>1020</v>
      </c>
      <c r="Q22" s="155">
        <f t="shared" si="35"/>
        <v>884</v>
      </c>
    </row>
    <row r="23" spans="1:17" x14ac:dyDescent="0.35">
      <c r="A23" s="156" t="s">
        <v>934</v>
      </c>
      <c r="B23" s="65">
        <v>36</v>
      </c>
      <c r="C23" s="65">
        <v>84</v>
      </c>
      <c r="D23" s="65">
        <f t="shared" si="12"/>
        <v>3024</v>
      </c>
      <c r="E23" s="65" t="str">
        <f t="shared" si="0"/>
        <v>36 X 84</v>
      </c>
      <c r="F23" s="154">
        <v>385</v>
      </c>
      <c r="G23" s="155">
        <f t="shared" ref="G23" si="48">+(F23/60)*$C$1</f>
        <v>333.66666666666669</v>
      </c>
      <c r="H23" s="154">
        <f>+F23+45</f>
        <v>430</v>
      </c>
      <c r="I23" s="155">
        <f t="shared" ref="I23" si="49">+(H23/60)*$C$1</f>
        <v>372.66666666666669</v>
      </c>
      <c r="J23" s="154">
        <f>ROUNDUP((F23*$W$4),0)+60</f>
        <v>84</v>
      </c>
      <c r="K23" s="155">
        <f t="shared" si="14"/>
        <v>72.8</v>
      </c>
      <c r="L23" s="154">
        <f t="shared" si="15"/>
        <v>109</v>
      </c>
      <c r="M23" s="155">
        <f t="shared" si="14"/>
        <v>94.466666666666669</v>
      </c>
      <c r="N23" s="154">
        <f t="shared" si="3"/>
        <v>308</v>
      </c>
      <c r="O23" s="155">
        <f t="shared" si="27"/>
        <v>266.93333333333334</v>
      </c>
      <c r="P23" s="154">
        <f t="shared" si="17"/>
        <v>344</v>
      </c>
      <c r="Q23" s="155">
        <f t="shared" si="18"/>
        <v>298.13333333333333</v>
      </c>
    </row>
    <row r="24" spans="1:17" x14ac:dyDescent="0.35">
      <c r="A24" s="156" t="s">
        <v>934</v>
      </c>
      <c r="B24" s="65">
        <v>47</v>
      </c>
      <c r="C24" s="65">
        <v>84</v>
      </c>
      <c r="D24" s="65">
        <f t="shared" si="12"/>
        <v>3948</v>
      </c>
      <c r="E24" s="65" t="str">
        <f t="shared" si="0"/>
        <v>47 X 84</v>
      </c>
      <c r="F24" s="154">
        <f>425+90</f>
        <v>515</v>
      </c>
      <c r="G24" s="155">
        <f t="shared" ref="G24" si="50">+(F24/60)*$C$1</f>
        <v>446.33333333333337</v>
      </c>
      <c r="H24" s="154">
        <f>+F24+45+25</f>
        <v>585</v>
      </c>
      <c r="I24" s="155">
        <f t="shared" ref="I24" si="51">+(H24/60)*$C$1</f>
        <v>507</v>
      </c>
      <c r="J24" s="154">
        <f>ROUNDUP((F24*$W$4),0)+60</f>
        <v>91</v>
      </c>
      <c r="K24" s="155">
        <f t="shared" si="14"/>
        <v>78.86666666666666</v>
      </c>
      <c r="L24" s="154">
        <f t="shared" si="15"/>
        <v>116</v>
      </c>
      <c r="M24" s="155">
        <f t="shared" si="14"/>
        <v>100.53333333333333</v>
      </c>
      <c r="N24" s="154">
        <f t="shared" si="3"/>
        <v>412</v>
      </c>
      <c r="O24" s="155">
        <f t="shared" si="27"/>
        <v>357.06666666666666</v>
      </c>
      <c r="P24" s="154">
        <f t="shared" si="17"/>
        <v>468</v>
      </c>
      <c r="Q24" s="155">
        <f t="shared" si="18"/>
        <v>405.59999999999997</v>
      </c>
    </row>
    <row r="25" spans="1:17" x14ac:dyDescent="0.35">
      <c r="A25" s="156" t="s">
        <v>934</v>
      </c>
      <c r="B25" s="65">
        <v>54</v>
      </c>
      <c r="C25" s="65">
        <v>84</v>
      </c>
      <c r="D25" s="65">
        <f t="shared" si="12"/>
        <v>4536</v>
      </c>
      <c r="E25" s="65" t="str">
        <f t="shared" si="0"/>
        <v>54 X 84</v>
      </c>
      <c r="F25" s="154">
        <f>450+90</f>
        <v>540</v>
      </c>
      <c r="G25" s="155">
        <f t="shared" ref="G25" si="52">+(F25/60)*$C$1</f>
        <v>468</v>
      </c>
      <c r="H25" s="154">
        <f>+F25+45+25</f>
        <v>610</v>
      </c>
      <c r="I25" s="155">
        <f t="shared" ref="I25" si="53">+(H25/60)*$C$1</f>
        <v>528.66666666666663</v>
      </c>
      <c r="J25" s="154">
        <f>ROUNDUP((F25*$W$4),0)+60</f>
        <v>93</v>
      </c>
      <c r="K25" s="155">
        <f t="shared" si="14"/>
        <v>80.600000000000009</v>
      </c>
      <c r="L25" s="154">
        <f t="shared" si="15"/>
        <v>118</v>
      </c>
      <c r="M25" s="155">
        <f t="shared" si="14"/>
        <v>102.26666666666667</v>
      </c>
      <c r="N25" s="154">
        <f t="shared" si="3"/>
        <v>432</v>
      </c>
      <c r="O25" s="155">
        <f t="shared" si="27"/>
        <v>374.40000000000003</v>
      </c>
      <c r="P25" s="154">
        <f t="shared" si="17"/>
        <v>488</v>
      </c>
      <c r="Q25" s="155">
        <f t="shared" si="18"/>
        <v>422.93333333333328</v>
      </c>
    </row>
    <row r="26" spans="1:17" x14ac:dyDescent="0.35">
      <c r="A26" s="156" t="s">
        <v>934</v>
      </c>
      <c r="B26" s="65">
        <v>60</v>
      </c>
      <c r="C26" s="65">
        <v>84</v>
      </c>
      <c r="D26" s="65">
        <f t="shared" si="12"/>
        <v>5040</v>
      </c>
      <c r="E26" s="65" t="str">
        <f t="shared" si="0"/>
        <v>60 X 84</v>
      </c>
      <c r="F26" s="154">
        <f>460+90+45</f>
        <v>595</v>
      </c>
      <c r="G26" s="155">
        <f t="shared" ref="G26" si="54">+(F26/60)*$C$1</f>
        <v>515.66666666666663</v>
      </c>
      <c r="H26" s="154">
        <f>+F26+45+25</f>
        <v>665</v>
      </c>
      <c r="I26" s="155">
        <f t="shared" ref="I26" si="55">+(H26/60)*$C$1</f>
        <v>576.33333333333337</v>
      </c>
      <c r="J26" s="154">
        <f>ROUNDUP((F26*$W$4),0)+60</f>
        <v>96</v>
      </c>
      <c r="K26" s="155">
        <f t="shared" si="14"/>
        <v>83.2</v>
      </c>
      <c r="L26" s="154">
        <f t="shared" si="15"/>
        <v>121</v>
      </c>
      <c r="M26" s="155">
        <f t="shared" si="14"/>
        <v>104.86666666666666</v>
      </c>
      <c r="N26" s="154">
        <f t="shared" si="3"/>
        <v>476</v>
      </c>
      <c r="O26" s="155">
        <f t="shared" si="27"/>
        <v>412.53333333333336</v>
      </c>
      <c r="P26" s="154">
        <f t="shared" si="17"/>
        <v>532</v>
      </c>
      <c r="Q26" s="155">
        <f t="shared" si="18"/>
        <v>461.06666666666672</v>
      </c>
    </row>
    <row r="27" spans="1:17" x14ac:dyDescent="0.35">
      <c r="A27" s="156" t="s">
        <v>934</v>
      </c>
      <c r="B27" s="65">
        <v>72</v>
      </c>
      <c r="C27" s="65">
        <v>84</v>
      </c>
      <c r="D27" s="65">
        <f t="shared" si="12"/>
        <v>6048</v>
      </c>
      <c r="E27" s="65" t="str">
        <f t="shared" si="0"/>
        <v>72 X 84</v>
      </c>
      <c r="F27" s="154">
        <f>470+90+90+25</f>
        <v>675</v>
      </c>
      <c r="G27" s="155">
        <f t="shared" ref="G27" si="56">+(F27/60)*$C$1</f>
        <v>585</v>
      </c>
      <c r="H27" s="154">
        <f>+F27+45+25</f>
        <v>745</v>
      </c>
      <c r="I27" s="155">
        <f t="shared" ref="I27" si="57">+(H27/60)*$C$1</f>
        <v>645.66666666666663</v>
      </c>
      <c r="J27" s="154">
        <f>ROUNDUP((F27*$W$4),0)+75</f>
        <v>116</v>
      </c>
      <c r="K27" s="155">
        <f t="shared" si="14"/>
        <v>100.53333333333333</v>
      </c>
      <c r="L27" s="154">
        <f t="shared" si="15"/>
        <v>141</v>
      </c>
      <c r="M27" s="155">
        <f t="shared" si="14"/>
        <v>122.2</v>
      </c>
      <c r="N27" s="154">
        <f t="shared" si="3"/>
        <v>540</v>
      </c>
      <c r="O27" s="155">
        <f t="shared" si="27"/>
        <v>468</v>
      </c>
      <c r="P27" s="154">
        <f t="shared" si="17"/>
        <v>596</v>
      </c>
      <c r="Q27" s="155">
        <f t="shared" si="18"/>
        <v>516.5333333333333</v>
      </c>
    </row>
    <row r="28" spans="1:17" x14ac:dyDescent="0.35">
      <c r="A28" s="156" t="s">
        <v>934</v>
      </c>
      <c r="B28" s="65">
        <v>72</v>
      </c>
      <c r="C28" s="65">
        <v>96</v>
      </c>
      <c r="D28" s="65">
        <f t="shared" si="12"/>
        <v>6912</v>
      </c>
      <c r="E28" s="65" t="str">
        <f t="shared" si="0"/>
        <v>72 X 96</v>
      </c>
      <c r="F28" s="154">
        <f>480+90+150</f>
        <v>720</v>
      </c>
      <c r="G28" s="155">
        <f t="shared" ref="G28" si="58">+(F28/60)*$C$1</f>
        <v>624</v>
      </c>
      <c r="H28" s="154">
        <f>+F28+45+25</f>
        <v>790</v>
      </c>
      <c r="I28" s="155">
        <f t="shared" ref="I28" si="59">+(H28/60)*$C$1</f>
        <v>684.66666666666663</v>
      </c>
      <c r="J28" s="154">
        <f>ROUNDUP((F28*$W$4),0)+75</f>
        <v>119</v>
      </c>
      <c r="K28" s="155">
        <f t="shared" si="14"/>
        <v>103.13333333333334</v>
      </c>
      <c r="L28" s="154">
        <f t="shared" si="15"/>
        <v>144</v>
      </c>
      <c r="M28" s="155">
        <f t="shared" si="14"/>
        <v>124.8</v>
      </c>
      <c r="N28" s="154">
        <f t="shared" si="3"/>
        <v>576</v>
      </c>
      <c r="O28" s="155">
        <f t="shared" si="27"/>
        <v>499.2</v>
      </c>
      <c r="P28" s="154">
        <f t="shared" si="17"/>
        <v>632</v>
      </c>
      <c r="Q28" s="155">
        <f t="shared" si="18"/>
        <v>547.73333333333335</v>
      </c>
    </row>
    <row r="29" spans="1:17" x14ac:dyDescent="0.35">
      <c r="A29" s="156" t="s">
        <v>934</v>
      </c>
      <c r="B29" s="65">
        <v>84</v>
      </c>
      <c r="C29" s="65">
        <v>84</v>
      </c>
      <c r="D29" s="65">
        <f t="shared" si="12"/>
        <v>7056</v>
      </c>
      <c r="E29" s="65" t="str">
        <f t="shared" si="0"/>
        <v>84 X 84</v>
      </c>
      <c r="F29" s="154">
        <f>490+360</f>
        <v>850</v>
      </c>
      <c r="G29" s="155">
        <f t="shared" ref="G29" si="60">+(F29/60)*$C$1</f>
        <v>736.66666666666663</v>
      </c>
      <c r="H29" s="154">
        <f t="shared" ref="H29:H34" si="61">+F29+45+25+35</f>
        <v>955</v>
      </c>
      <c r="I29" s="155">
        <f t="shared" ref="I29" si="62">+(H29/60)*$C$1</f>
        <v>827.66666666666663</v>
      </c>
      <c r="J29" s="154">
        <f>ROUNDUP((F29*$W$4),0)+90</f>
        <v>141</v>
      </c>
      <c r="K29" s="155">
        <f t="shared" si="14"/>
        <v>122.2</v>
      </c>
      <c r="L29" s="154">
        <f t="shared" si="15"/>
        <v>166</v>
      </c>
      <c r="M29" s="155">
        <f t="shared" si="14"/>
        <v>143.86666666666667</v>
      </c>
      <c r="N29" s="154">
        <f t="shared" si="3"/>
        <v>680</v>
      </c>
      <c r="O29" s="155">
        <f t="shared" si="27"/>
        <v>589.33333333333337</v>
      </c>
      <c r="P29" s="154">
        <f t="shared" si="17"/>
        <v>764</v>
      </c>
      <c r="Q29" s="155">
        <f t="shared" si="18"/>
        <v>662.13333333333333</v>
      </c>
    </row>
    <row r="30" spans="1:17" x14ac:dyDescent="0.35">
      <c r="A30" s="156" t="s">
        <v>934</v>
      </c>
      <c r="B30" s="65">
        <v>84</v>
      </c>
      <c r="C30" s="65">
        <v>96</v>
      </c>
      <c r="D30" s="65">
        <f t="shared" si="12"/>
        <v>8064</v>
      </c>
      <c r="E30" s="65" t="str">
        <f t="shared" si="0"/>
        <v>84 X 96</v>
      </c>
      <c r="F30" s="154">
        <f>510+420</f>
        <v>930</v>
      </c>
      <c r="G30" s="155">
        <f t="shared" ref="G30" si="63">+(F30/60)*$C$1</f>
        <v>806</v>
      </c>
      <c r="H30" s="154">
        <f t="shared" si="61"/>
        <v>1035</v>
      </c>
      <c r="I30" s="155">
        <f t="shared" ref="I30" si="64">+(H30/60)*$C$1</f>
        <v>897</v>
      </c>
      <c r="J30" s="154">
        <f>ROUNDUP((F30*$W$4),0)+90</f>
        <v>146</v>
      </c>
      <c r="K30" s="155">
        <f t="shared" si="14"/>
        <v>126.53333333333332</v>
      </c>
      <c r="L30" s="154">
        <f t="shared" si="15"/>
        <v>171</v>
      </c>
      <c r="M30" s="155">
        <f t="shared" si="14"/>
        <v>148.20000000000002</v>
      </c>
      <c r="N30" s="154">
        <f t="shared" si="3"/>
        <v>744</v>
      </c>
      <c r="O30" s="155">
        <f t="shared" si="27"/>
        <v>644.80000000000007</v>
      </c>
      <c r="P30" s="154">
        <f t="shared" si="17"/>
        <v>828</v>
      </c>
      <c r="Q30" s="155">
        <f t="shared" si="18"/>
        <v>717.6</v>
      </c>
    </row>
    <row r="31" spans="1:17" x14ac:dyDescent="0.35">
      <c r="A31" s="156" t="s">
        <v>934</v>
      </c>
      <c r="B31" s="65">
        <v>96</v>
      </c>
      <c r="C31" s="65">
        <v>96</v>
      </c>
      <c r="D31" s="65">
        <f t="shared" si="12"/>
        <v>9216</v>
      </c>
      <c r="E31" s="65" t="str">
        <f t="shared" si="0"/>
        <v>96 X 96</v>
      </c>
      <c r="F31" s="154">
        <f>535+180+60+240</f>
        <v>1015</v>
      </c>
      <c r="G31" s="155">
        <f t="shared" ref="G31" si="65">+(F31/60)*$C$1</f>
        <v>879.66666666666674</v>
      </c>
      <c r="H31" s="154">
        <f t="shared" si="61"/>
        <v>1120</v>
      </c>
      <c r="I31" s="155">
        <f t="shared" ref="I31" si="66">+(H31/60)*$C$1</f>
        <v>970.66666666666674</v>
      </c>
      <c r="J31" s="154">
        <f>ROUNDUP((F31*$W$4),0)+120</f>
        <v>181</v>
      </c>
      <c r="K31" s="155">
        <f t="shared" si="14"/>
        <v>156.86666666666667</v>
      </c>
      <c r="L31" s="154">
        <f t="shared" si="15"/>
        <v>206</v>
      </c>
      <c r="M31" s="155">
        <f t="shared" si="14"/>
        <v>178.53333333333333</v>
      </c>
      <c r="N31" s="154">
        <f t="shared" si="3"/>
        <v>812</v>
      </c>
      <c r="O31" s="155">
        <f t="shared" si="27"/>
        <v>703.73333333333335</v>
      </c>
      <c r="P31" s="154">
        <f t="shared" si="17"/>
        <v>896</v>
      </c>
      <c r="Q31" s="155">
        <f t="shared" si="18"/>
        <v>776.5333333333333</v>
      </c>
    </row>
    <row r="32" spans="1:17" x14ac:dyDescent="0.35">
      <c r="A32" s="156" t="s">
        <v>934</v>
      </c>
      <c r="B32" s="65">
        <v>96</v>
      </c>
      <c r="C32" s="65">
        <v>120</v>
      </c>
      <c r="D32" s="65">
        <f t="shared" si="12"/>
        <v>11520</v>
      </c>
      <c r="E32" s="65" t="str">
        <f t="shared" si="0"/>
        <v>96 X 120</v>
      </c>
      <c r="F32" s="154">
        <f>570+180+420</f>
        <v>1170</v>
      </c>
      <c r="G32" s="155">
        <f t="shared" ref="G32" si="67">+(F32/60)*$C$1</f>
        <v>1014</v>
      </c>
      <c r="H32" s="154">
        <f t="shared" si="61"/>
        <v>1275</v>
      </c>
      <c r="I32" s="155">
        <f t="shared" ref="I32" si="68">+(H32/60)*$C$1</f>
        <v>1105</v>
      </c>
      <c r="J32" s="154">
        <f>ROUNDUP((F32*$W$4),0)+120</f>
        <v>191</v>
      </c>
      <c r="K32" s="155">
        <f t="shared" si="14"/>
        <v>165.53333333333333</v>
      </c>
      <c r="L32" s="154">
        <f t="shared" si="15"/>
        <v>216</v>
      </c>
      <c r="M32" s="155">
        <f t="shared" si="14"/>
        <v>187.20000000000002</v>
      </c>
      <c r="N32" s="154">
        <f t="shared" si="3"/>
        <v>936</v>
      </c>
      <c r="O32" s="155">
        <f t="shared" si="27"/>
        <v>811.19999999999993</v>
      </c>
      <c r="P32" s="154">
        <f t="shared" si="17"/>
        <v>1020</v>
      </c>
      <c r="Q32" s="155">
        <f t="shared" si="18"/>
        <v>884</v>
      </c>
    </row>
    <row r="33" spans="1:17" x14ac:dyDescent="0.35">
      <c r="A33" s="156" t="s">
        <v>934</v>
      </c>
      <c r="B33" s="65">
        <v>102</v>
      </c>
      <c r="C33" s="65">
        <v>132</v>
      </c>
      <c r="D33" s="65">
        <f t="shared" si="12"/>
        <v>13464</v>
      </c>
      <c r="E33" s="65" t="str">
        <f t="shared" si="0"/>
        <v>102 X 132</v>
      </c>
      <c r="F33" s="154">
        <f>615+180+480</f>
        <v>1275</v>
      </c>
      <c r="G33" s="155">
        <f t="shared" ref="G33:G50" si="69">+(F33/60)*$C$1</f>
        <v>1105</v>
      </c>
      <c r="H33" s="154">
        <f t="shared" si="61"/>
        <v>1380</v>
      </c>
      <c r="I33" s="155">
        <f t="shared" ref="I33:I50" si="70">+(H33/60)*$C$1</f>
        <v>1196</v>
      </c>
      <c r="J33" s="154">
        <f t="shared" ref="J33:J40" si="71">ROUNDUP((F33*$W$4),0)+150</f>
        <v>227</v>
      </c>
      <c r="K33" s="155">
        <f t="shared" ref="K33:K50" si="72">+(J33/60)*$C$1</f>
        <v>196.73333333333332</v>
      </c>
      <c r="L33" s="154">
        <f t="shared" si="15"/>
        <v>252</v>
      </c>
      <c r="M33" s="155">
        <f t="shared" ref="M33:M50" si="73">+(L33/60)*$C$1</f>
        <v>218.4</v>
      </c>
      <c r="N33" s="154">
        <f t="shared" ref="N33:N50" si="74">ROUNDUP((F33*$W$1),0)</f>
        <v>1020</v>
      </c>
      <c r="O33" s="155">
        <f t="shared" ref="O33:O50" si="75">+(N33/60)*$C$1</f>
        <v>884</v>
      </c>
      <c r="P33" s="154">
        <f t="shared" ref="P33:P50" si="76">ROUNDUP((H33*$W$1),0)</f>
        <v>1104</v>
      </c>
      <c r="Q33" s="155">
        <f t="shared" ref="Q33:Q50" si="77">+(P33/60)*$C$1</f>
        <v>956.8</v>
      </c>
    </row>
    <row r="34" spans="1:17" x14ac:dyDescent="0.35">
      <c r="A34" s="156" t="s">
        <v>934</v>
      </c>
      <c r="B34" s="65">
        <v>100</v>
      </c>
      <c r="C34" s="65">
        <v>144</v>
      </c>
      <c r="D34" s="65">
        <f t="shared" si="12"/>
        <v>14400</v>
      </c>
      <c r="E34" s="65" t="str">
        <f t="shared" si="0"/>
        <v>100 X 144</v>
      </c>
      <c r="F34" s="154">
        <f>650+180+560</f>
        <v>1390</v>
      </c>
      <c r="G34" s="155">
        <f t="shared" si="69"/>
        <v>1204.6666666666667</v>
      </c>
      <c r="H34" s="154">
        <f t="shared" si="61"/>
        <v>1495</v>
      </c>
      <c r="I34" s="155">
        <f t="shared" si="70"/>
        <v>1295.6666666666667</v>
      </c>
      <c r="J34" s="154">
        <f t="shared" si="71"/>
        <v>234</v>
      </c>
      <c r="K34" s="155">
        <f t="shared" si="72"/>
        <v>202.79999999999998</v>
      </c>
      <c r="L34" s="154">
        <f t="shared" si="15"/>
        <v>259</v>
      </c>
      <c r="M34" s="155">
        <f t="shared" si="73"/>
        <v>224.46666666666664</v>
      </c>
      <c r="N34" s="154">
        <f t="shared" si="74"/>
        <v>1112</v>
      </c>
      <c r="O34" s="155">
        <f t="shared" si="75"/>
        <v>963.73333333333346</v>
      </c>
      <c r="P34" s="154">
        <f t="shared" si="76"/>
        <v>1196</v>
      </c>
      <c r="Q34" s="155">
        <f t="shared" si="77"/>
        <v>1036.5333333333333</v>
      </c>
    </row>
    <row r="35" spans="1:17" x14ac:dyDescent="0.35">
      <c r="A35" s="156" t="s">
        <v>934</v>
      </c>
      <c r="B35" s="65">
        <v>100</v>
      </c>
      <c r="C35" s="65">
        <v>156</v>
      </c>
      <c r="D35" s="65">
        <f t="shared" si="12"/>
        <v>15600</v>
      </c>
      <c r="E35" s="65" t="str">
        <f t="shared" si="0"/>
        <v>100 X 156</v>
      </c>
      <c r="F35" s="154">
        <f>710+360+360</f>
        <v>1430</v>
      </c>
      <c r="G35" s="155">
        <f t="shared" si="69"/>
        <v>1239.3333333333333</v>
      </c>
      <c r="H35" s="154">
        <f t="shared" ref="H35:H40" si="78">+F35+45+25+35+45</f>
        <v>1580</v>
      </c>
      <c r="I35" s="155">
        <f t="shared" si="70"/>
        <v>1369.3333333333333</v>
      </c>
      <c r="J35" s="154">
        <f t="shared" si="71"/>
        <v>236</v>
      </c>
      <c r="K35" s="155">
        <f t="shared" si="72"/>
        <v>204.53333333333333</v>
      </c>
      <c r="L35" s="154">
        <f t="shared" si="15"/>
        <v>261</v>
      </c>
      <c r="M35" s="155">
        <f t="shared" si="73"/>
        <v>226.2</v>
      </c>
      <c r="N35" s="154">
        <f t="shared" si="74"/>
        <v>1144</v>
      </c>
      <c r="O35" s="155">
        <f t="shared" si="75"/>
        <v>991.4666666666667</v>
      </c>
      <c r="P35" s="154">
        <f t="shared" si="76"/>
        <v>1264</v>
      </c>
      <c r="Q35" s="155">
        <f t="shared" si="77"/>
        <v>1095.4666666666667</v>
      </c>
    </row>
    <row r="36" spans="1:17" x14ac:dyDescent="0.35">
      <c r="A36" s="156" t="s">
        <v>934</v>
      </c>
      <c r="B36" s="65">
        <v>100</v>
      </c>
      <c r="C36" s="65">
        <v>168</v>
      </c>
      <c r="D36" s="65">
        <f t="shared" si="12"/>
        <v>16800</v>
      </c>
      <c r="E36" s="65" t="str">
        <f t="shared" si="0"/>
        <v>100 X 168</v>
      </c>
      <c r="F36" s="154">
        <f>750+360+420</f>
        <v>1530</v>
      </c>
      <c r="G36" s="155">
        <f t="shared" si="69"/>
        <v>1326</v>
      </c>
      <c r="H36" s="154">
        <f t="shared" si="78"/>
        <v>1680</v>
      </c>
      <c r="I36" s="155">
        <f t="shared" si="70"/>
        <v>1456</v>
      </c>
      <c r="J36" s="154">
        <f t="shared" si="71"/>
        <v>242</v>
      </c>
      <c r="K36" s="155">
        <f t="shared" si="72"/>
        <v>209.73333333333332</v>
      </c>
      <c r="L36" s="154">
        <f t="shared" si="15"/>
        <v>267</v>
      </c>
      <c r="M36" s="155">
        <f t="shared" si="73"/>
        <v>231.4</v>
      </c>
      <c r="N36" s="154">
        <f t="shared" si="74"/>
        <v>1224</v>
      </c>
      <c r="O36" s="155">
        <f t="shared" si="75"/>
        <v>1060.8</v>
      </c>
      <c r="P36" s="154">
        <f t="shared" si="76"/>
        <v>1344</v>
      </c>
      <c r="Q36" s="155">
        <f t="shared" si="77"/>
        <v>1164.8</v>
      </c>
    </row>
    <row r="37" spans="1:17" x14ac:dyDescent="0.35">
      <c r="A37" s="156" t="s">
        <v>934</v>
      </c>
      <c r="B37" s="65">
        <v>100</v>
      </c>
      <c r="C37" s="65">
        <v>180</v>
      </c>
      <c r="D37" s="65">
        <f t="shared" si="12"/>
        <v>18000</v>
      </c>
      <c r="E37" s="65" t="str">
        <f t="shared" si="0"/>
        <v>100 X 180</v>
      </c>
      <c r="F37" s="154">
        <f>850+360+420</f>
        <v>1630</v>
      </c>
      <c r="G37" s="155">
        <f t="shared" si="69"/>
        <v>1412.6666666666667</v>
      </c>
      <c r="H37" s="154">
        <f t="shared" si="78"/>
        <v>1780</v>
      </c>
      <c r="I37" s="155">
        <f t="shared" si="70"/>
        <v>1542.6666666666667</v>
      </c>
      <c r="J37" s="154">
        <f t="shared" si="71"/>
        <v>248</v>
      </c>
      <c r="K37" s="155">
        <f t="shared" si="72"/>
        <v>214.93333333333337</v>
      </c>
      <c r="L37" s="154">
        <f t="shared" si="15"/>
        <v>273</v>
      </c>
      <c r="M37" s="155">
        <f t="shared" si="73"/>
        <v>236.6</v>
      </c>
      <c r="N37" s="154">
        <f t="shared" si="74"/>
        <v>1304</v>
      </c>
      <c r="O37" s="155">
        <f t="shared" si="75"/>
        <v>1130.1333333333334</v>
      </c>
      <c r="P37" s="154">
        <f t="shared" si="76"/>
        <v>1424</v>
      </c>
      <c r="Q37" s="155">
        <f t="shared" si="77"/>
        <v>1234.1333333333334</v>
      </c>
    </row>
    <row r="38" spans="1:17" x14ac:dyDescent="0.35">
      <c r="A38" s="156" t="s">
        <v>934</v>
      </c>
      <c r="B38" s="65">
        <v>100</v>
      </c>
      <c r="C38" s="65">
        <v>192</v>
      </c>
      <c r="D38" s="65">
        <f t="shared" si="12"/>
        <v>19200</v>
      </c>
      <c r="E38" s="65" t="str">
        <f t="shared" si="0"/>
        <v>100 X 192</v>
      </c>
      <c r="F38" s="154">
        <f>925+360+420</f>
        <v>1705</v>
      </c>
      <c r="G38" s="155">
        <f t="shared" si="69"/>
        <v>1477.6666666666667</v>
      </c>
      <c r="H38" s="154">
        <f t="shared" si="78"/>
        <v>1855</v>
      </c>
      <c r="I38" s="155">
        <f t="shared" si="70"/>
        <v>1607.6666666666667</v>
      </c>
      <c r="J38" s="154">
        <f t="shared" si="71"/>
        <v>253</v>
      </c>
      <c r="K38" s="155">
        <f t="shared" si="72"/>
        <v>219.26666666666668</v>
      </c>
      <c r="L38" s="154">
        <f t="shared" si="15"/>
        <v>278</v>
      </c>
      <c r="M38" s="155">
        <f t="shared" si="73"/>
        <v>240.93333333333337</v>
      </c>
      <c r="N38" s="154">
        <f t="shared" si="74"/>
        <v>1364</v>
      </c>
      <c r="O38" s="155">
        <f t="shared" si="75"/>
        <v>1182.1333333333334</v>
      </c>
      <c r="P38" s="154">
        <f t="shared" si="76"/>
        <v>1484</v>
      </c>
      <c r="Q38" s="155">
        <f t="shared" si="77"/>
        <v>1286.1333333333334</v>
      </c>
    </row>
    <row r="39" spans="1:17" x14ac:dyDescent="0.35">
      <c r="A39" s="156" t="s">
        <v>934</v>
      </c>
      <c r="B39" s="65">
        <v>100</v>
      </c>
      <c r="C39" s="65">
        <v>204</v>
      </c>
      <c r="D39" s="65">
        <f t="shared" si="12"/>
        <v>20400</v>
      </c>
      <c r="E39" s="65" t="str">
        <f t="shared" si="0"/>
        <v>100 X 204</v>
      </c>
      <c r="F39" s="154">
        <f>1015+360+420</f>
        <v>1795</v>
      </c>
      <c r="G39" s="155">
        <f t="shared" si="69"/>
        <v>1555.6666666666667</v>
      </c>
      <c r="H39" s="154">
        <f t="shared" si="78"/>
        <v>1945</v>
      </c>
      <c r="I39" s="155">
        <f t="shared" si="70"/>
        <v>1685.6666666666665</v>
      </c>
      <c r="J39" s="154">
        <f t="shared" si="71"/>
        <v>258</v>
      </c>
      <c r="K39" s="155">
        <f t="shared" si="72"/>
        <v>223.6</v>
      </c>
      <c r="L39" s="154">
        <f t="shared" si="15"/>
        <v>283</v>
      </c>
      <c r="M39" s="155">
        <f t="shared" si="73"/>
        <v>245.26666666666668</v>
      </c>
      <c r="N39" s="154">
        <f t="shared" si="74"/>
        <v>1436</v>
      </c>
      <c r="O39" s="155">
        <f t="shared" si="75"/>
        <v>1244.5333333333333</v>
      </c>
      <c r="P39" s="154">
        <f t="shared" si="76"/>
        <v>1556</v>
      </c>
      <c r="Q39" s="155">
        <f t="shared" si="77"/>
        <v>1348.5333333333333</v>
      </c>
    </row>
    <row r="40" spans="1:17" x14ac:dyDescent="0.35">
      <c r="A40" s="156" t="s">
        <v>934</v>
      </c>
      <c r="B40" s="65">
        <v>100</v>
      </c>
      <c r="C40" s="65">
        <v>216</v>
      </c>
      <c r="D40" s="65">
        <f t="shared" si="12"/>
        <v>21600</v>
      </c>
      <c r="E40" s="65" t="str">
        <f t="shared" si="0"/>
        <v>100 X 216</v>
      </c>
      <c r="F40" s="154">
        <f>1150+360+420</f>
        <v>1930</v>
      </c>
      <c r="G40" s="155">
        <f t="shared" si="69"/>
        <v>1672.6666666666665</v>
      </c>
      <c r="H40" s="154">
        <f t="shared" si="78"/>
        <v>2080</v>
      </c>
      <c r="I40" s="155">
        <f t="shared" si="70"/>
        <v>1802.6666666666665</v>
      </c>
      <c r="J40" s="154">
        <f t="shared" si="71"/>
        <v>266</v>
      </c>
      <c r="K40" s="155">
        <f t="shared" si="72"/>
        <v>230.53333333333336</v>
      </c>
      <c r="L40" s="154">
        <f t="shared" si="15"/>
        <v>291</v>
      </c>
      <c r="M40" s="155">
        <f t="shared" si="73"/>
        <v>252.2</v>
      </c>
      <c r="N40" s="154">
        <f t="shared" si="74"/>
        <v>1544</v>
      </c>
      <c r="O40" s="155">
        <f t="shared" si="75"/>
        <v>1338.1333333333334</v>
      </c>
      <c r="P40" s="154">
        <f t="shared" si="76"/>
        <v>1664</v>
      </c>
      <c r="Q40" s="155">
        <f t="shared" si="77"/>
        <v>1442.1333333333334</v>
      </c>
    </row>
    <row r="41" spans="1:17" x14ac:dyDescent="0.35">
      <c r="A41" s="496" t="s">
        <v>935</v>
      </c>
      <c r="B41" s="65">
        <v>36</v>
      </c>
      <c r="C41" s="65">
        <v>84</v>
      </c>
      <c r="D41" s="65">
        <f t="shared" ref="D41:D59" si="79">+B41*C41</f>
        <v>3024</v>
      </c>
      <c r="E41" s="65" t="str">
        <f t="shared" ref="E41:E59" si="80">+CONCATENATE(B41," X ",C41)</f>
        <v>36 X 84</v>
      </c>
      <c r="F41" s="494">
        <f>+F23*1.2</f>
        <v>462</v>
      </c>
      <c r="G41" s="155">
        <f t="shared" si="69"/>
        <v>400.40000000000003</v>
      </c>
      <c r="H41" s="494">
        <v>462</v>
      </c>
      <c r="I41" s="155">
        <f t="shared" si="70"/>
        <v>400.40000000000003</v>
      </c>
      <c r="J41" s="154">
        <f>+J23+25</f>
        <v>109</v>
      </c>
      <c r="K41" s="155">
        <f t="shared" si="72"/>
        <v>94.466666666666669</v>
      </c>
      <c r="L41" s="154">
        <f t="shared" si="15"/>
        <v>134</v>
      </c>
      <c r="M41" s="155">
        <f t="shared" si="73"/>
        <v>116.13333333333334</v>
      </c>
      <c r="N41" s="154">
        <f t="shared" si="74"/>
        <v>370</v>
      </c>
      <c r="O41" s="155">
        <f t="shared" si="75"/>
        <v>320.66666666666669</v>
      </c>
      <c r="P41" s="154">
        <f t="shared" si="76"/>
        <v>370</v>
      </c>
      <c r="Q41" s="155">
        <f t="shared" si="77"/>
        <v>320.66666666666669</v>
      </c>
    </row>
    <row r="42" spans="1:17" x14ac:dyDescent="0.35">
      <c r="A42" s="496" t="s">
        <v>935</v>
      </c>
      <c r="B42" s="65">
        <v>47</v>
      </c>
      <c r="C42" s="65">
        <v>84</v>
      </c>
      <c r="D42" s="65">
        <f t="shared" si="79"/>
        <v>3948</v>
      </c>
      <c r="E42" s="65" t="str">
        <f t="shared" si="80"/>
        <v>47 X 84</v>
      </c>
      <c r="F42" s="494">
        <f>+F24*1.25</f>
        <v>643.75</v>
      </c>
      <c r="G42" s="155">
        <f t="shared" si="69"/>
        <v>557.91666666666663</v>
      </c>
      <c r="H42" s="494">
        <v>643.75</v>
      </c>
      <c r="I42" s="155">
        <f t="shared" si="70"/>
        <v>557.91666666666663</v>
      </c>
      <c r="J42" s="154">
        <f>+J24+45</f>
        <v>136</v>
      </c>
      <c r="K42" s="155">
        <f t="shared" si="72"/>
        <v>117.86666666666666</v>
      </c>
      <c r="L42" s="154">
        <f t="shared" si="15"/>
        <v>161</v>
      </c>
      <c r="M42" s="155">
        <f t="shared" si="73"/>
        <v>139.53333333333333</v>
      </c>
      <c r="N42" s="154">
        <f t="shared" si="74"/>
        <v>515</v>
      </c>
      <c r="O42" s="155">
        <f t="shared" si="75"/>
        <v>446.33333333333337</v>
      </c>
      <c r="P42" s="154">
        <f t="shared" si="76"/>
        <v>515</v>
      </c>
      <c r="Q42" s="155">
        <f t="shared" si="77"/>
        <v>446.33333333333337</v>
      </c>
    </row>
    <row r="43" spans="1:17" x14ac:dyDescent="0.35">
      <c r="A43" s="496" t="s">
        <v>935</v>
      </c>
      <c r="B43" s="65">
        <v>54</v>
      </c>
      <c r="C43" s="65">
        <v>84</v>
      </c>
      <c r="D43" s="65">
        <f t="shared" si="79"/>
        <v>4536</v>
      </c>
      <c r="E43" s="65" t="str">
        <f t="shared" si="80"/>
        <v>54 X 84</v>
      </c>
      <c r="F43" s="494">
        <f t="shared" ref="F43:F46" si="81">+F25*1.25</f>
        <v>675</v>
      </c>
      <c r="G43" s="155">
        <f t="shared" si="69"/>
        <v>585</v>
      </c>
      <c r="H43" s="494">
        <v>675</v>
      </c>
      <c r="I43" s="155">
        <f t="shared" si="70"/>
        <v>585</v>
      </c>
      <c r="J43" s="154">
        <f>+J25+45</f>
        <v>138</v>
      </c>
      <c r="K43" s="155">
        <f t="shared" si="72"/>
        <v>119.6</v>
      </c>
      <c r="L43" s="154">
        <f t="shared" si="15"/>
        <v>163</v>
      </c>
      <c r="M43" s="155">
        <f t="shared" si="73"/>
        <v>141.26666666666668</v>
      </c>
      <c r="N43" s="154">
        <f t="shared" si="74"/>
        <v>540</v>
      </c>
      <c r="O43" s="155">
        <f t="shared" si="75"/>
        <v>468</v>
      </c>
      <c r="P43" s="154">
        <f t="shared" si="76"/>
        <v>540</v>
      </c>
      <c r="Q43" s="155">
        <f t="shared" si="77"/>
        <v>468</v>
      </c>
    </row>
    <row r="44" spans="1:17" x14ac:dyDescent="0.35">
      <c r="A44" s="496" t="s">
        <v>935</v>
      </c>
      <c r="B44" s="65">
        <v>60</v>
      </c>
      <c r="C44" s="65">
        <v>84</v>
      </c>
      <c r="D44" s="65">
        <f t="shared" si="79"/>
        <v>5040</v>
      </c>
      <c r="E44" s="65" t="str">
        <f t="shared" si="80"/>
        <v>60 X 84</v>
      </c>
      <c r="F44" s="494">
        <f t="shared" si="81"/>
        <v>743.75</v>
      </c>
      <c r="G44" s="155">
        <f t="shared" si="69"/>
        <v>644.58333333333337</v>
      </c>
      <c r="H44" s="494">
        <v>687.5</v>
      </c>
      <c r="I44" s="155">
        <f t="shared" si="70"/>
        <v>595.83333333333337</v>
      </c>
      <c r="J44" s="154">
        <f>+J26+45</f>
        <v>141</v>
      </c>
      <c r="K44" s="155">
        <f t="shared" si="72"/>
        <v>122.2</v>
      </c>
      <c r="L44" s="154">
        <f t="shared" si="15"/>
        <v>166</v>
      </c>
      <c r="M44" s="155">
        <f t="shared" si="73"/>
        <v>143.86666666666667</v>
      </c>
      <c r="N44" s="154">
        <f t="shared" si="74"/>
        <v>595</v>
      </c>
      <c r="O44" s="155">
        <f t="shared" si="75"/>
        <v>515.66666666666663</v>
      </c>
      <c r="P44" s="154">
        <f t="shared" si="76"/>
        <v>550</v>
      </c>
      <c r="Q44" s="155">
        <f t="shared" si="77"/>
        <v>476.66666666666663</v>
      </c>
    </row>
    <row r="45" spans="1:17" x14ac:dyDescent="0.35">
      <c r="A45" s="496" t="s">
        <v>935</v>
      </c>
      <c r="B45" s="65">
        <v>72</v>
      </c>
      <c r="C45" s="65">
        <v>84</v>
      </c>
      <c r="D45" s="65">
        <f t="shared" si="79"/>
        <v>6048</v>
      </c>
      <c r="E45" s="65" t="str">
        <f t="shared" si="80"/>
        <v>72 X 84</v>
      </c>
      <c r="F45" s="494">
        <f t="shared" si="81"/>
        <v>843.75</v>
      </c>
      <c r="G45" s="155">
        <f t="shared" si="69"/>
        <v>731.25</v>
      </c>
      <c r="H45" s="494">
        <v>700</v>
      </c>
      <c r="I45" s="155">
        <f t="shared" si="70"/>
        <v>606.66666666666663</v>
      </c>
      <c r="J45" s="154">
        <f>+J27+45</f>
        <v>161</v>
      </c>
      <c r="K45" s="155">
        <f t="shared" si="72"/>
        <v>139.53333333333333</v>
      </c>
      <c r="L45" s="154">
        <f t="shared" si="15"/>
        <v>186</v>
      </c>
      <c r="M45" s="155">
        <f t="shared" si="73"/>
        <v>161.20000000000002</v>
      </c>
      <c r="N45" s="154">
        <f t="shared" si="74"/>
        <v>675</v>
      </c>
      <c r="O45" s="155">
        <f t="shared" si="75"/>
        <v>585</v>
      </c>
      <c r="P45" s="154">
        <f t="shared" si="76"/>
        <v>560</v>
      </c>
      <c r="Q45" s="155">
        <f t="shared" si="77"/>
        <v>485.33333333333337</v>
      </c>
    </row>
    <row r="46" spans="1:17" x14ac:dyDescent="0.35">
      <c r="A46" s="496" t="s">
        <v>935</v>
      </c>
      <c r="B46" s="65">
        <v>72</v>
      </c>
      <c r="C46" s="65">
        <v>96</v>
      </c>
      <c r="D46" s="65">
        <f t="shared" si="79"/>
        <v>6912</v>
      </c>
      <c r="E46" s="65" t="str">
        <f t="shared" si="80"/>
        <v>72 X 96</v>
      </c>
      <c r="F46" s="494">
        <f t="shared" si="81"/>
        <v>900</v>
      </c>
      <c r="G46" s="155">
        <f t="shared" si="69"/>
        <v>780</v>
      </c>
      <c r="H46" s="494">
        <v>712.5</v>
      </c>
      <c r="I46" s="155">
        <f t="shared" si="70"/>
        <v>617.5</v>
      </c>
      <c r="J46" s="154">
        <f>+J28+45</f>
        <v>164</v>
      </c>
      <c r="K46" s="155">
        <f t="shared" si="72"/>
        <v>142.13333333333333</v>
      </c>
      <c r="L46" s="154">
        <f t="shared" si="15"/>
        <v>189</v>
      </c>
      <c r="M46" s="155">
        <f t="shared" si="73"/>
        <v>163.79999999999998</v>
      </c>
      <c r="N46" s="154">
        <f t="shared" si="74"/>
        <v>720</v>
      </c>
      <c r="O46" s="155">
        <f t="shared" si="75"/>
        <v>624</v>
      </c>
      <c r="P46" s="154">
        <f t="shared" si="76"/>
        <v>570</v>
      </c>
      <c r="Q46" s="155">
        <f t="shared" si="77"/>
        <v>494</v>
      </c>
    </row>
    <row r="47" spans="1:17" x14ac:dyDescent="0.35">
      <c r="A47" s="496" t="s">
        <v>935</v>
      </c>
      <c r="B47" s="65">
        <v>84</v>
      </c>
      <c r="C47" s="65">
        <v>84</v>
      </c>
      <c r="D47" s="65">
        <f t="shared" si="79"/>
        <v>7056</v>
      </c>
      <c r="E47" s="65" t="str">
        <f t="shared" si="80"/>
        <v>84 X 84</v>
      </c>
      <c r="F47" s="494">
        <f>+F29*1.35</f>
        <v>1147.5</v>
      </c>
      <c r="G47" s="155">
        <f t="shared" si="69"/>
        <v>994.5</v>
      </c>
      <c r="H47" s="494">
        <v>823.5</v>
      </c>
      <c r="I47" s="155">
        <f t="shared" si="70"/>
        <v>713.69999999999993</v>
      </c>
      <c r="J47" s="154">
        <f>+J29+60</f>
        <v>201</v>
      </c>
      <c r="K47" s="155">
        <f t="shared" si="72"/>
        <v>174.20000000000002</v>
      </c>
      <c r="L47" s="154">
        <f t="shared" si="15"/>
        <v>226</v>
      </c>
      <c r="M47" s="155">
        <f t="shared" si="73"/>
        <v>195.86666666666667</v>
      </c>
      <c r="N47" s="154">
        <f t="shared" si="74"/>
        <v>918</v>
      </c>
      <c r="O47" s="155">
        <f t="shared" si="75"/>
        <v>795.6</v>
      </c>
      <c r="P47" s="154">
        <f t="shared" si="76"/>
        <v>659</v>
      </c>
      <c r="Q47" s="155">
        <f t="shared" si="77"/>
        <v>571.13333333333333</v>
      </c>
    </row>
    <row r="48" spans="1:17" x14ac:dyDescent="0.35">
      <c r="A48" s="496" t="s">
        <v>935</v>
      </c>
      <c r="B48" s="65">
        <v>84</v>
      </c>
      <c r="C48" s="65">
        <v>96</v>
      </c>
      <c r="D48" s="65">
        <f t="shared" si="79"/>
        <v>8064</v>
      </c>
      <c r="E48" s="65" t="str">
        <f t="shared" si="80"/>
        <v>84 X 96</v>
      </c>
      <c r="F48" s="494">
        <f t="shared" ref="F48:F58" si="82">+F30*1.35</f>
        <v>1255.5</v>
      </c>
      <c r="G48" s="155">
        <f t="shared" si="69"/>
        <v>1088.1000000000001</v>
      </c>
      <c r="H48" s="494">
        <v>864</v>
      </c>
      <c r="I48" s="155">
        <f t="shared" si="70"/>
        <v>748.80000000000007</v>
      </c>
      <c r="J48" s="154">
        <f>+J30+60</f>
        <v>206</v>
      </c>
      <c r="K48" s="155">
        <f t="shared" si="72"/>
        <v>178.53333333333333</v>
      </c>
      <c r="L48" s="154">
        <f t="shared" si="15"/>
        <v>231</v>
      </c>
      <c r="M48" s="155">
        <f t="shared" si="73"/>
        <v>200.20000000000002</v>
      </c>
      <c r="N48" s="154">
        <f t="shared" si="74"/>
        <v>1005</v>
      </c>
      <c r="O48" s="155">
        <f t="shared" si="75"/>
        <v>871</v>
      </c>
      <c r="P48" s="154">
        <f t="shared" si="76"/>
        <v>692</v>
      </c>
      <c r="Q48" s="155">
        <f t="shared" si="77"/>
        <v>599.73333333333335</v>
      </c>
    </row>
    <row r="49" spans="1:17" x14ac:dyDescent="0.35">
      <c r="A49" s="496" t="s">
        <v>935</v>
      </c>
      <c r="B49" s="65">
        <v>96</v>
      </c>
      <c r="C49" s="65">
        <v>96</v>
      </c>
      <c r="D49" s="65">
        <f t="shared" si="79"/>
        <v>9216</v>
      </c>
      <c r="E49" s="65" t="str">
        <f t="shared" si="80"/>
        <v>96 X 96</v>
      </c>
      <c r="F49" s="494">
        <f t="shared" si="82"/>
        <v>1370.25</v>
      </c>
      <c r="G49" s="155">
        <f t="shared" si="69"/>
        <v>1187.55</v>
      </c>
      <c r="H49" s="494">
        <v>1046.25</v>
      </c>
      <c r="I49" s="155">
        <f t="shared" si="70"/>
        <v>906.75</v>
      </c>
      <c r="J49" s="154">
        <f>+J31+60</f>
        <v>241</v>
      </c>
      <c r="K49" s="155">
        <f t="shared" si="72"/>
        <v>208.86666666666667</v>
      </c>
      <c r="L49" s="154">
        <f t="shared" si="15"/>
        <v>266</v>
      </c>
      <c r="M49" s="155">
        <f t="shared" si="73"/>
        <v>230.53333333333336</v>
      </c>
      <c r="N49" s="154">
        <f t="shared" si="74"/>
        <v>1097</v>
      </c>
      <c r="O49" s="155">
        <f t="shared" si="75"/>
        <v>950.73333333333346</v>
      </c>
      <c r="P49" s="154">
        <f t="shared" si="76"/>
        <v>837</v>
      </c>
      <c r="Q49" s="155">
        <f t="shared" si="77"/>
        <v>725.4</v>
      </c>
    </row>
    <row r="50" spans="1:17" x14ac:dyDescent="0.35">
      <c r="A50" s="496" t="s">
        <v>935</v>
      </c>
      <c r="B50" s="65">
        <v>96</v>
      </c>
      <c r="C50" s="65">
        <v>120</v>
      </c>
      <c r="D50" s="65">
        <f t="shared" si="79"/>
        <v>11520</v>
      </c>
      <c r="E50" s="65" t="str">
        <f t="shared" si="80"/>
        <v>96 X 120</v>
      </c>
      <c r="F50" s="494">
        <f t="shared" si="82"/>
        <v>1579.5</v>
      </c>
      <c r="G50" s="155">
        <f t="shared" si="69"/>
        <v>1368.8999999999999</v>
      </c>
      <c r="H50" s="494">
        <v>1113.75</v>
      </c>
      <c r="I50" s="155">
        <f t="shared" si="70"/>
        <v>965.25</v>
      </c>
      <c r="J50" s="154">
        <f>+J32+75</f>
        <v>266</v>
      </c>
      <c r="K50" s="155">
        <f t="shared" si="72"/>
        <v>230.53333333333336</v>
      </c>
      <c r="L50" s="154">
        <f t="shared" si="15"/>
        <v>291</v>
      </c>
      <c r="M50" s="155">
        <f t="shared" si="73"/>
        <v>252.2</v>
      </c>
      <c r="N50" s="154">
        <f t="shared" si="74"/>
        <v>1264</v>
      </c>
      <c r="O50" s="155">
        <f t="shared" si="75"/>
        <v>1095.4666666666667</v>
      </c>
      <c r="P50" s="154">
        <f t="shared" si="76"/>
        <v>891</v>
      </c>
      <c r="Q50" s="155">
        <f t="shared" si="77"/>
        <v>772.19999999999993</v>
      </c>
    </row>
    <row r="51" spans="1:17" x14ac:dyDescent="0.35">
      <c r="A51" s="496" t="s">
        <v>935</v>
      </c>
      <c r="B51" s="65">
        <v>102</v>
      </c>
      <c r="C51" s="65">
        <v>132</v>
      </c>
      <c r="D51" s="65">
        <f t="shared" si="79"/>
        <v>13464</v>
      </c>
      <c r="E51" s="65" t="str">
        <f t="shared" si="80"/>
        <v>102 X 132</v>
      </c>
      <c r="F51" s="494">
        <f t="shared" si="82"/>
        <v>1721.25</v>
      </c>
      <c r="G51" s="155">
        <f t="shared" ref="G51:G59" si="83">+(F51/60)*$C$1</f>
        <v>1491.75</v>
      </c>
      <c r="H51" s="494">
        <v>1194.75</v>
      </c>
      <c r="I51" s="155">
        <f t="shared" ref="I51:I59" si="84">+(H51/60)*$C$1</f>
        <v>1035.45</v>
      </c>
      <c r="J51" s="154">
        <f>+J33+75</f>
        <v>302</v>
      </c>
      <c r="K51" s="155">
        <f t="shared" ref="K51:K59" si="85">+(J51/60)*$C$1</f>
        <v>261.73333333333335</v>
      </c>
      <c r="L51" s="154">
        <f t="shared" si="15"/>
        <v>327</v>
      </c>
      <c r="M51" s="155">
        <f t="shared" ref="M51:M59" si="86">+(L51/60)*$C$1</f>
        <v>283.40000000000003</v>
      </c>
      <c r="N51" s="154">
        <f t="shared" ref="N51:N59" si="87">ROUNDUP((F51*$W$1),0)</f>
        <v>1377</v>
      </c>
      <c r="O51" s="155">
        <f t="shared" ref="O51:O59" si="88">+(N51/60)*$C$1</f>
        <v>1193.3999999999999</v>
      </c>
      <c r="P51" s="154">
        <f t="shared" ref="P51:P59" si="89">ROUNDUP((H51*$W$1),0)</f>
        <v>956</v>
      </c>
      <c r="Q51" s="155">
        <f t="shared" ref="Q51:Q59" si="90">+(P51/60)*$C$1</f>
        <v>828.5333333333333</v>
      </c>
    </row>
    <row r="52" spans="1:17" x14ac:dyDescent="0.35">
      <c r="A52" s="496" t="s">
        <v>935</v>
      </c>
      <c r="B52" s="65">
        <v>100</v>
      </c>
      <c r="C52" s="65">
        <v>144</v>
      </c>
      <c r="D52" s="65">
        <f t="shared" si="79"/>
        <v>14400</v>
      </c>
      <c r="E52" s="65" t="str">
        <f t="shared" si="80"/>
        <v>100 X 144</v>
      </c>
      <c r="F52" s="494">
        <f t="shared" si="82"/>
        <v>1876.5000000000002</v>
      </c>
      <c r="G52" s="155">
        <f t="shared" si="83"/>
        <v>1626.3000000000002</v>
      </c>
      <c r="H52" s="494">
        <v>1255.5</v>
      </c>
      <c r="I52" s="155">
        <f t="shared" si="84"/>
        <v>1088.1000000000001</v>
      </c>
      <c r="J52" s="154">
        <f>+J34+75</f>
        <v>309</v>
      </c>
      <c r="K52" s="155">
        <f t="shared" si="85"/>
        <v>267.8</v>
      </c>
      <c r="L52" s="154">
        <f t="shared" si="15"/>
        <v>334</v>
      </c>
      <c r="M52" s="155">
        <f t="shared" si="86"/>
        <v>289.46666666666664</v>
      </c>
      <c r="N52" s="154">
        <f t="shared" si="87"/>
        <v>1502</v>
      </c>
      <c r="O52" s="155">
        <f t="shared" si="88"/>
        <v>1301.7333333333333</v>
      </c>
      <c r="P52" s="154">
        <f t="shared" si="89"/>
        <v>1005</v>
      </c>
      <c r="Q52" s="155">
        <f t="shared" si="90"/>
        <v>871</v>
      </c>
    </row>
    <row r="53" spans="1:17" x14ac:dyDescent="0.35">
      <c r="A53" s="496" t="s">
        <v>935</v>
      </c>
      <c r="B53" s="65">
        <v>100</v>
      </c>
      <c r="C53" s="65">
        <v>156</v>
      </c>
      <c r="D53" s="65">
        <f t="shared" si="79"/>
        <v>15600</v>
      </c>
      <c r="E53" s="65" t="str">
        <f t="shared" si="80"/>
        <v>100 X 156</v>
      </c>
      <c r="F53" s="494">
        <f t="shared" si="82"/>
        <v>1930.5000000000002</v>
      </c>
      <c r="G53" s="155">
        <f t="shared" si="83"/>
        <v>1673.1000000000001</v>
      </c>
      <c r="H53" s="494">
        <v>1599.75</v>
      </c>
      <c r="I53" s="155">
        <f t="shared" si="84"/>
        <v>1386.45</v>
      </c>
      <c r="J53" s="154">
        <f>+J35+115</f>
        <v>351</v>
      </c>
      <c r="K53" s="155">
        <f t="shared" si="85"/>
        <v>304.2</v>
      </c>
      <c r="L53" s="154">
        <f t="shared" si="15"/>
        <v>376</v>
      </c>
      <c r="M53" s="155">
        <f t="shared" si="86"/>
        <v>325.86666666666667</v>
      </c>
      <c r="N53" s="154">
        <f t="shared" si="87"/>
        <v>1545</v>
      </c>
      <c r="O53" s="155">
        <f t="shared" si="88"/>
        <v>1339</v>
      </c>
      <c r="P53" s="154">
        <f t="shared" si="89"/>
        <v>1280</v>
      </c>
      <c r="Q53" s="155">
        <f t="shared" si="90"/>
        <v>1109.3333333333333</v>
      </c>
    </row>
    <row r="54" spans="1:17" x14ac:dyDescent="0.35">
      <c r="A54" s="496" t="s">
        <v>935</v>
      </c>
      <c r="B54" s="65">
        <v>100</v>
      </c>
      <c r="C54" s="65">
        <v>168</v>
      </c>
      <c r="D54" s="65">
        <f t="shared" si="79"/>
        <v>16800</v>
      </c>
      <c r="E54" s="65" t="str">
        <f t="shared" si="80"/>
        <v>100 X 168</v>
      </c>
      <c r="F54" s="494">
        <f t="shared" si="82"/>
        <v>2065.5</v>
      </c>
      <c r="G54" s="155">
        <f t="shared" si="83"/>
        <v>1790.1</v>
      </c>
      <c r="H54" s="494">
        <v>1660.5</v>
      </c>
      <c r="I54" s="155">
        <f t="shared" si="84"/>
        <v>1439.1000000000001</v>
      </c>
      <c r="J54" s="154">
        <f>+J36+115</f>
        <v>357</v>
      </c>
      <c r="K54" s="155">
        <f t="shared" si="85"/>
        <v>309.40000000000003</v>
      </c>
      <c r="L54" s="154">
        <f t="shared" si="15"/>
        <v>382</v>
      </c>
      <c r="M54" s="155">
        <f t="shared" si="86"/>
        <v>331.06666666666666</v>
      </c>
      <c r="N54" s="154">
        <f t="shared" si="87"/>
        <v>1653</v>
      </c>
      <c r="O54" s="155">
        <f t="shared" si="88"/>
        <v>1432.6000000000001</v>
      </c>
      <c r="P54" s="154">
        <f t="shared" si="89"/>
        <v>1329</v>
      </c>
      <c r="Q54" s="155">
        <f t="shared" si="90"/>
        <v>1151.8</v>
      </c>
    </row>
    <row r="55" spans="1:17" x14ac:dyDescent="0.35">
      <c r="A55" s="496" t="s">
        <v>935</v>
      </c>
      <c r="B55" s="65">
        <v>100</v>
      </c>
      <c r="C55" s="65">
        <v>180</v>
      </c>
      <c r="D55" s="65">
        <f t="shared" si="79"/>
        <v>18000</v>
      </c>
      <c r="E55" s="65" t="str">
        <f t="shared" si="80"/>
        <v>100 X 180</v>
      </c>
      <c r="F55" s="494">
        <f t="shared" si="82"/>
        <v>2200.5</v>
      </c>
      <c r="G55" s="155">
        <f t="shared" si="83"/>
        <v>1907.1</v>
      </c>
      <c r="H55" s="494">
        <v>1795.5000000000002</v>
      </c>
      <c r="I55" s="155">
        <f t="shared" si="84"/>
        <v>1556.1000000000001</v>
      </c>
      <c r="J55" s="154">
        <f>+J37+115</f>
        <v>363</v>
      </c>
      <c r="K55" s="155">
        <f t="shared" si="85"/>
        <v>314.59999999999997</v>
      </c>
      <c r="L55" s="154">
        <f t="shared" si="15"/>
        <v>388</v>
      </c>
      <c r="M55" s="155">
        <f t="shared" si="86"/>
        <v>336.26666666666665</v>
      </c>
      <c r="N55" s="154">
        <f t="shared" si="87"/>
        <v>1761</v>
      </c>
      <c r="O55" s="155">
        <f t="shared" si="88"/>
        <v>1526.2</v>
      </c>
      <c r="P55" s="154">
        <f t="shared" si="89"/>
        <v>1437</v>
      </c>
      <c r="Q55" s="155">
        <f t="shared" si="90"/>
        <v>1245.3999999999999</v>
      </c>
    </row>
    <row r="56" spans="1:17" x14ac:dyDescent="0.35">
      <c r="A56" s="496" t="s">
        <v>935</v>
      </c>
      <c r="B56" s="65">
        <v>100</v>
      </c>
      <c r="C56" s="65">
        <v>192</v>
      </c>
      <c r="D56" s="65">
        <f t="shared" si="79"/>
        <v>19200</v>
      </c>
      <c r="E56" s="65" t="str">
        <f t="shared" si="80"/>
        <v>100 X 192</v>
      </c>
      <c r="F56" s="494">
        <f t="shared" si="82"/>
        <v>2301.75</v>
      </c>
      <c r="G56" s="155">
        <f t="shared" si="83"/>
        <v>1994.85</v>
      </c>
      <c r="H56" s="494">
        <v>1896.7500000000002</v>
      </c>
      <c r="I56" s="155">
        <f t="shared" si="84"/>
        <v>1643.8500000000001</v>
      </c>
      <c r="J56" s="154">
        <f>+J38+145</f>
        <v>398</v>
      </c>
      <c r="K56" s="155">
        <f t="shared" si="85"/>
        <v>344.93333333333334</v>
      </c>
      <c r="L56" s="154">
        <f t="shared" si="15"/>
        <v>423</v>
      </c>
      <c r="M56" s="155">
        <f t="shared" si="86"/>
        <v>366.59999999999997</v>
      </c>
      <c r="N56" s="154">
        <f t="shared" si="87"/>
        <v>1842</v>
      </c>
      <c r="O56" s="155">
        <f t="shared" si="88"/>
        <v>1596.3999999999999</v>
      </c>
      <c r="P56" s="154">
        <f t="shared" si="89"/>
        <v>1518</v>
      </c>
      <c r="Q56" s="155">
        <f t="shared" si="90"/>
        <v>1315.6000000000001</v>
      </c>
    </row>
    <row r="57" spans="1:17" x14ac:dyDescent="0.35">
      <c r="A57" s="496" t="s">
        <v>935</v>
      </c>
      <c r="B57" s="65">
        <v>100</v>
      </c>
      <c r="C57" s="65">
        <v>204</v>
      </c>
      <c r="D57" s="65">
        <f t="shared" si="79"/>
        <v>20400</v>
      </c>
      <c r="E57" s="65" t="str">
        <f t="shared" si="80"/>
        <v>100 X 204</v>
      </c>
      <c r="F57" s="494">
        <f t="shared" si="82"/>
        <v>2423.25</v>
      </c>
      <c r="G57" s="155">
        <f t="shared" si="83"/>
        <v>2100.15</v>
      </c>
      <c r="H57" s="494">
        <v>2018.2500000000002</v>
      </c>
      <c r="I57" s="155">
        <f t="shared" si="84"/>
        <v>1749.15</v>
      </c>
      <c r="J57" s="154">
        <f>+J39+145</f>
        <v>403</v>
      </c>
      <c r="K57" s="155">
        <f t="shared" si="85"/>
        <v>349.26666666666665</v>
      </c>
      <c r="L57" s="154">
        <f t="shared" si="15"/>
        <v>428</v>
      </c>
      <c r="M57" s="155">
        <f t="shared" si="86"/>
        <v>370.93333333333334</v>
      </c>
      <c r="N57" s="154">
        <f t="shared" si="87"/>
        <v>1939</v>
      </c>
      <c r="O57" s="155">
        <f t="shared" si="88"/>
        <v>1680.4666666666669</v>
      </c>
      <c r="P57" s="154">
        <f t="shared" si="89"/>
        <v>1615</v>
      </c>
      <c r="Q57" s="155">
        <f t="shared" si="90"/>
        <v>1399.6666666666667</v>
      </c>
    </row>
    <row r="58" spans="1:17" x14ac:dyDescent="0.35">
      <c r="A58" s="496" t="s">
        <v>935</v>
      </c>
      <c r="B58" s="65">
        <v>100</v>
      </c>
      <c r="C58" s="65">
        <v>216</v>
      </c>
      <c r="D58" s="65">
        <f t="shared" ref="D58" si="91">+B58*C58</f>
        <v>21600</v>
      </c>
      <c r="E58" s="65" t="str">
        <f t="shared" ref="E58" si="92">+CONCATENATE(B58," X ",C58)</f>
        <v>100 X 216</v>
      </c>
      <c r="F58" s="494">
        <f t="shared" si="82"/>
        <v>2605.5</v>
      </c>
      <c r="G58" s="155">
        <f t="shared" ref="G58" si="93">+(F58/60)*$C$1</f>
        <v>2258.1</v>
      </c>
      <c r="H58" s="494">
        <v>2200.5</v>
      </c>
      <c r="I58" s="155">
        <f t="shared" ref="I58" si="94">+(H58/60)*$C$1</f>
        <v>1907.1</v>
      </c>
      <c r="J58" s="154">
        <f>+J39+145</f>
        <v>403</v>
      </c>
      <c r="K58" s="155">
        <f t="shared" ref="K58" si="95">+(J58/60)*$C$1</f>
        <v>349.26666666666665</v>
      </c>
      <c r="L58" s="154">
        <f t="shared" si="15"/>
        <v>428</v>
      </c>
      <c r="M58" s="155">
        <f t="shared" ref="M58" si="96">+(L58/60)*$C$1</f>
        <v>370.93333333333334</v>
      </c>
      <c r="N58" s="154">
        <f t="shared" ref="N58" si="97">ROUNDUP((F58*$W$1),0)</f>
        <v>2085</v>
      </c>
      <c r="O58" s="155">
        <f t="shared" ref="O58" si="98">+(N58/60)*$C$1</f>
        <v>1807</v>
      </c>
      <c r="P58" s="154">
        <f t="shared" ref="P58" si="99">ROUNDUP((H58*$W$1),0)</f>
        <v>1761</v>
      </c>
      <c r="Q58" s="155">
        <f t="shared" ref="Q58" si="100">+(P58/60)*$C$1</f>
        <v>1526.2</v>
      </c>
    </row>
    <row r="59" spans="1:17" x14ac:dyDescent="0.35">
      <c r="A59" s="496" t="s">
        <v>935</v>
      </c>
      <c r="B59" s="65">
        <v>100</v>
      </c>
      <c r="C59" s="65">
        <v>240</v>
      </c>
      <c r="D59" s="65">
        <f t="shared" si="79"/>
        <v>24000</v>
      </c>
      <c r="E59" s="65" t="str">
        <f t="shared" si="80"/>
        <v>100 X 240</v>
      </c>
      <c r="F59" s="494">
        <f>+F58+350</f>
        <v>2955.5</v>
      </c>
      <c r="G59" s="155">
        <f t="shared" si="83"/>
        <v>2561.4333333333334</v>
      </c>
      <c r="H59" s="494">
        <v>2550.5</v>
      </c>
      <c r="I59" s="155">
        <f t="shared" si="84"/>
        <v>2210.4333333333334</v>
      </c>
      <c r="J59" s="154">
        <f>+J40+250</f>
        <v>516</v>
      </c>
      <c r="K59" s="155">
        <f t="shared" si="85"/>
        <v>447.2</v>
      </c>
      <c r="L59" s="154">
        <f t="shared" si="15"/>
        <v>541</v>
      </c>
      <c r="M59" s="155">
        <f t="shared" si="86"/>
        <v>468.86666666666673</v>
      </c>
      <c r="N59" s="154">
        <f t="shared" si="87"/>
        <v>2365</v>
      </c>
      <c r="O59" s="155">
        <f t="shared" si="88"/>
        <v>2049.6666666666665</v>
      </c>
      <c r="P59" s="154">
        <f t="shared" si="89"/>
        <v>2041</v>
      </c>
      <c r="Q59" s="155">
        <f t="shared" si="90"/>
        <v>1768.8666666666666</v>
      </c>
    </row>
    <row r="61" spans="1:17" x14ac:dyDescent="0.35">
      <c r="A61" s="971" t="s">
        <v>936</v>
      </c>
      <c r="B61" s="971"/>
      <c r="C61" s="971"/>
      <c r="D61" s="971"/>
      <c r="E61" s="971"/>
      <c r="F61" s="971"/>
      <c r="G61" s="971"/>
      <c r="H61" s="971"/>
      <c r="I61" s="971"/>
      <c r="J61" s="971"/>
      <c r="K61" s="971"/>
      <c r="L61" s="971"/>
      <c r="M61" s="971"/>
      <c r="N61" s="971"/>
      <c r="O61" s="971"/>
      <c r="P61" s="971"/>
      <c r="Q61" s="971"/>
    </row>
    <row r="62" spans="1:17" x14ac:dyDescent="0.35">
      <c r="A62" s="968" t="s">
        <v>852</v>
      </c>
      <c r="B62" s="968"/>
      <c r="C62" s="970">
        <v>60</v>
      </c>
      <c r="D62" s="231"/>
      <c r="E62" s="64" t="s">
        <v>210</v>
      </c>
      <c r="F62" s="65"/>
      <c r="G62" s="157" t="s">
        <v>85</v>
      </c>
      <c r="H62" s="157"/>
      <c r="I62" s="157" t="s">
        <v>48</v>
      </c>
      <c r="J62" s="157"/>
      <c r="K62" s="157" t="s">
        <v>85</v>
      </c>
      <c r="L62" s="157"/>
      <c r="M62" s="157" t="s">
        <v>48</v>
      </c>
      <c r="N62" s="157"/>
      <c r="O62" s="157" t="s">
        <v>85</v>
      </c>
      <c r="P62" s="157"/>
      <c r="Q62" s="157" t="s">
        <v>48</v>
      </c>
    </row>
    <row r="63" spans="1:17" x14ac:dyDescent="0.35">
      <c r="A63" s="968"/>
      <c r="B63" s="968"/>
      <c r="C63" s="970"/>
      <c r="D63" s="231"/>
      <c r="E63" s="64" t="s">
        <v>924</v>
      </c>
      <c r="F63" s="65"/>
      <c r="G63" s="158" t="s">
        <v>86</v>
      </c>
      <c r="H63" s="158"/>
      <c r="I63" s="158" t="s">
        <v>86</v>
      </c>
      <c r="J63" s="158"/>
      <c r="K63" s="158" t="s">
        <v>86</v>
      </c>
      <c r="L63" s="158"/>
      <c r="M63" s="158" t="s">
        <v>86</v>
      </c>
      <c r="N63" s="158"/>
      <c r="O63" s="158" t="s">
        <v>53</v>
      </c>
      <c r="P63" s="158"/>
      <c r="Q63" s="158" t="s">
        <v>53</v>
      </c>
    </row>
    <row r="64" spans="1:17" ht="46.5" x14ac:dyDescent="0.35">
      <c r="A64" s="153"/>
      <c r="B64" s="153"/>
      <c r="C64" s="153"/>
      <c r="D64" s="153"/>
      <c r="E64" s="153"/>
      <c r="F64" s="178"/>
      <c r="G64" s="161" t="str">
        <f>+CONCATENATE(G62,G63)</f>
        <v>CoolerAluminium</v>
      </c>
      <c r="H64" s="161"/>
      <c r="I64" s="161" t="str">
        <f>+CONCATENATE(I62,I63)</f>
        <v>FreezerAluminium</v>
      </c>
      <c r="J64" s="161" t="s">
        <v>924</v>
      </c>
      <c r="K64" s="161" t="str">
        <f>+CONCATENATE(K62,K63,J64)</f>
        <v>CoolerAluminiumFrame</v>
      </c>
      <c r="L64" s="161" t="s">
        <v>924</v>
      </c>
      <c r="M64" s="161" t="str">
        <f>+CONCATENATE(M62,M63,L64)</f>
        <v>FreezerAluminiumFrame</v>
      </c>
      <c r="N64" s="161" t="s">
        <v>924</v>
      </c>
      <c r="O64" s="161" t="str">
        <f>+CONCATENATE(O62,O63,N64)</f>
        <v>CoolerWoodFrame</v>
      </c>
      <c r="P64" s="161" t="s">
        <v>924</v>
      </c>
      <c r="Q64" s="161" t="str">
        <f>+CONCATENATE(Q62,Q63,P64)</f>
        <v>FreezerWoodFrame</v>
      </c>
    </row>
    <row r="65" spans="1:17" ht="29.5" thickBot="1" x14ac:dyDescent="0.4">
      <c r="A65" s="159" t="s">
        <v>37</v>
      </c>
      <c r="B65" s="109" t="s">
        <v>937</v>
      </c>
      <c r="C65" s="109" t="s">
        <v>927</v>
      </c>
      <c r="D65" s="109" t="s">
        <v>928</v>
      </c>
      <c r="E65" s="109" t="s">
        <v>929</v>
      </c>
      <c r="F65" s="110" t="s">
        <v>930</v>
      </c>
      <c r="G65" s="109" t="s">
        <v>931</v>
      </c>
      <c r="H65" s="110" t="s">
        <v>930</v>
      </c>
      <c r="I65" s="109" t="s">
        <v>931</v>
      </c>
      <c r="J65" s="110" t="s">
        <v>930</v>
      </c>
      <c r="K65" s="109" t="s">
        <v>931</v>
      </c>
      <c r="L65" s="110" t="s">
        <v>930</v>
      </c>
      <c r="M65" s="109" t="s">
        <v>931</v>
      </c>
      <c r="N65" s="110" t="s">
        <v>930</v>
      </c>
      <c r="O65" s="109" t="s">
        <v>931</v>
      </c>
      <c r="P65" s="110" t="s">
        <v>930</v>
      </c>
      <c r="Q65" s="109" t="s">
        <v>931</v>
      </c>
    </row>
    <row r="66" spans="1:17" ht="16" thickBot="1" x14ac:dyDescent="0.4">
      <c r="A66" s="484" t="s">
        <v>933</v>
      </c>
      <c r="B66" s="469">
        <v>34</v>
      </c>
      <c r="C66" s="469">
        <v>78</v>
      </c>
      <c r="D66" s="469">
        <f>+B66*C66</f>
        <v>2652</v>
      </c>
      <c r="E66" s="469" t="str">
        <f t="shared" ref="E66:E117" si="101">+CONCATENATE(B66," X ",C66)</f>
        <v>34 X 78</v>
      </c>
      <c r="F66" s="470">
        <v>325</v>
      </c>
      <c r="G66" s="471">
        <f>+(F66/60)*$C$1</f>
        <v>281.66666666666669</v>
      </c>
      <c r="H66" s="470">
        <f t="shared" ref="H66:H71" si="102">+F66+25</f>
        <v>350</v>
      </c>
      <c r="I66" s="471">
        <f>+(H66/60)*$C$1</f>
        <v>303.33333333333331</v>
      </c>
      <c r="J66" s="470">
        <f t="shared" ref="J66:J73" si="103">ROUNDUP((F66*$W$4),0)+60</f>
        <v>80</v>
      </c>
      <c r="K66" s="471">
        <f>+(J66/60)*$C$1</f>
        <v>69.333333333333329</v>
      </c>
      <c r="L66" s="470">
        <f t="shared" ref="L66:L73" si="104">ROUNDUP((H66*$W$4),0)+60</f>
        <v>81</v>
      </c>
      <c r="M66" s="471">
        <f>+(L66/60)*$C$1</f>
        <v>70.2</v>
      </c>
      <c r="N66" s="470">
        <f t="shared" ref="N66:N117" si="105">ROUNDUP((F66*$W$1),0)</f>
        <v>260</v>
      </c>
      <c r="O66" s="471">
        <f>+(N66/60)*$C$1</f>
        <v>225.33333333333331</v>
      </c>
      <c r="P66" s="470">
        <f>ROUNDUP((H66*$W$1),0)</f>
        <v>280</v>
      </c>
      <c r="Q66" s="472">
        <f>+(P66/60)*$C$1</f>
        <v>242.66666666666669</v>
      </c>
    </row>
    <row r="67" spans="1:17" ht="16" thickBot="1" x14ac:dyDescent="0.4">
      <c r="A67" s="485" t="s">
        <v>933</v>
      </c>
      <c r="B67" s="65">
        <v>34</v>
      </c>
      <c r="C67" s="65">
        <v>84</v>
      </c>
      <c r="D67" s="65">
        <f t="shared" ref="D67:D117" si="106">+B67*C67</f>
        <v>2856</v>
      </c>
      <c r="E67" s="65" t="str">
        <f t="shared" si="101"/>
        <v>34 X 84</v>
      </c>
      <c r="F67" s="154">
        <v>325</v>
      </c>
      <c r="G67" s="155">
        <f t="shared" ref="G67:G117" si="107">+(F67/60)*$C$1</f>
        <v>281.66666666666669</v>
      </c>
      <c r="H67" s="154">
        <f t="shared" si="102"/>
        <v>350</v>
      </c>
      <c r="I67" s="155">
        <f t="shared" ref="I67:I117" si="108">+(H67/60)*$C$1</f>
        <v>303.33333333333331</v>
      </c>
      <c r="J67" s="154">
        <f t="shared" si="103"/>
        <v>80</v>
      </c>
      <c r="K67" s="155">
        <f t="shared" ref="K67:K117" si="109">+(J67/60)*$C$1</f>
        <v>69.333333333333329</v>
      </c>
      <c r="L67" s="470">
        <f t="shared" si="104"/>
        <v>81</v>
      </c>
      <c r="M67" s="155">
        <f t="shared" ref="M67:M117" si="110">+(L67/60)*$C$1</f>
        <v>70.2</v>
      </c>
      <c r="N67" s="154">
        <f t="shared" si="105"/>
        <v>260</v>
      </c>
      <c r="O67" s="155">
        <f t="shared" ref="O67:O117" si="111">+(N67/60)*$C$1</f>
        <v>225.33333333333331</v>
      </c>
      <c r="P67" s="154">
        <f t="shared" ref="P67:P117" si="112">ROUNDUP((H67*$W$1),0)</f>
        <v>280</v>
      </c>
      <c r="Q67" s="474">
        <f t="shared" ref="Q67:Q117" si="113">+(P67/60)*$C$1</f>
        <v>242.66666666666669</v>
      </c>
    </row>
    <row r="68" spans="1:17" ht="16" thickBot="1" x14ac:dyDescent="0.4">
      <c r="A68" s="485" t="s">
        <v>933</v>
      </c>
      <c r="B68" s="65">
        <v>36</v>
      </c>
      <c r="C68" s="65">
        <v>78</v>
      </c>
      <c r="D68" s="65">
        <f t="shared" si="106"/>
        <v>2808</v>
      </c>
      <c r="E68" s="65" t="str">
        <f t="shared" si="101"/>
        <v>36 X 78</v>
      </c>
      <c r="F68" s="154">
        <v>335</v>
      </c>
      <c r="G68" s="155">
        <f t="shared" si="107"/>
        <v>290.33333333333331</v>
      </c>
      <c r="H68" s="154">
        <f t="shared" si="102"/>
        <v>360</v>
      </c>
      <c r="I68" s="155">
        <f t="shared" si="108"/>
        <v>312</v>
      </c>
      <c r="J68" s="154">
        <f t="shared" si="103"/>
        <v>81</v>
      </c>
      <c r="K68" s="155">
        <f t="shared" si="109"/>
        <v>70.2</v>
      </c>
      <c r="L68" s="470">
        <f t="shared" si="104"/>
        <v>82</v>
      </c>
      <c r="M68" s="155">
        <f t="shared" si="110"/>
        <v>71.066666666666663</v>
      </c>
      <c r="N68" s="154">
        <f t="shared" si="105"/>
        <v>268</v>
      </c>
      <c r="O68" s="155">
        <f t="shared" si="111"/>
        <v>232.26666666666668</v>
      </c>
      <c r="P68" s="154">
        <f t="shared" si="112"/>
        <v>288</v>
      </c>
      <c r="Q68" s="474">
        <f t="shared" si="113"/>
        <v>249.6</v>
      </c>
    </row>
    <row r="69" spans="1:17" ht="16" thickBot="1" x14ac:dyDescent="0.4">
      <c r="A69" s="485" t="s">
        <v>933</v>
      </c>
      <c r="B69" s="65">
        <v>36</v>
      </c>
      <c r="C69" s="65">
        <v>84</v>
      </c>
      <c r="D69" s="65">
        <f t="shared" si="106"/>
        <v>3024</v>
      </c>
      <c r="E69" s="65" t="str">
        <f t="shared" si="101"/>
        <v>36 X 84</v>
      </c>
      <c r="F69" s="154">
        <v>335</v>
      </c>
      <c r="G69" s="155">
        <f t="shared" si="107"/>
        <v>290.33333333333331</v>
      </c>
      <c r="H69" s="154">
        <f t="shared" si="102"/>
        <v>360</v>
      </c>
      <c r="I69" s="155">
        <f t="shared" si="108"/>
        <v>312</v>
      </c>
      <c r="J69" s="154">
        <f t="shared" si="103"/>
        <v>81</v>
      </c>
      <c r="K69" s="155">
        <f t="shared" si="109"/>
        <v>70.2</v>
      </c>
      <c r="L69" s="470">
        <f t="shared" si="104"/>
        <v>82</v>
      </c>
      <c r="M69" s="155">
        <f t="shared" si="110"/>
        <v>71.066666666666663</v>
      </c>
      <c r="N69" s="154">
        <f t="shared" si="105"/>
        <v>268</v>
      </c>
      <c r="O69" s="155">
        <f t="shared" si="111"/>
        <v>232.26666666666668</v>
      </c>
      <c r="P69" s="154">
        <f t="shared" si="112"/>
        <v>288</v>
      </c>
      <c r="Q69" s="474">
        <f t="shared" si="113"/>
        <v>249.6</v>
      </c>
    </row>
    <row r="70" spans="1:17" ht="16" thickBot="1" x14ac:dyDescent="0.4">
      <c r="A70" s="485" t="s">
        <v>933</v>
      </c>
      <c r="B70" s="65">
        <v>42</v>
      </c>
      <c r="C70" s="65">
        <v>78</v>
      </c>
      <c r="D70" s="65">
        <f t="shared" si="106"/>
        <v>3276</v>
      </c>
      <c r="E70" s="65" t="str">
        <f t="shared" si="101"/>
        <v>42 X 78</v>
      </c>
      <c r="F70" s="154">
        <v>350</v>
      </c>
      <c r="G70" s="155">
        <f t="shared" si="107"/>
        <v>303.33333333333331</v>
      </c>
      <c r="H70" s="154">
        <f t="shared" si="102"/>
        <v>375</v>
      </c>
      <c r="I70" s="155">
        <f t="shared" si="108"/>
        <v>325</v>
      </c>
      <c r="J70" s="154">
        <f t="shared" si="103"/>
        <v>81</v>
      </c>
      <c r="K70" s="155">
        <f t="shared" si="109"/>
        <v>70.2</v>
      </c>
      <c r="L70" s="470">
        <f t="shared" si="104"/>
        <v>83</v>
      </c>
      <c r="M70" s="155">
        <f t="shared" si="110"/>
        <v>71.933333333333337</v>
      </c>
      <c r="N70" s="154">
        <f t="shared" si="105"/>
        <v>280</v>
      </c>
      <c r="O70" s="155">
        <f t="shared" si="111"/>
        <v>242.66666666666669</v>
      </c>
      <c r="P70" s="154">
        <f t="shared" si="112"/>
        <v>300</v>
      </c>
      <c r="Q70" s="474">
        <f t="shared" si="113"/>
        <v>260</v>
      </c>
    </row>
    <row r="71" spans="1:17" ht="16" thickBot="1" x14ac:dyDescent="0.4">
      <c r="A71" s="485" t="s">
        <v>933</v>
      </c>
      <c r="B71" s="65">
        <v>42</v>
      </c>
      <c r="C71" s="65">
        <v>84</v>
      </c>
      <c r="D71" s="65">
        <f t="shared" si="106"/>
        <v>3528</v>
      </c>
      <c r="E71" s="65" t="str">
        <f t="shared" si="101"/>
        <v>42 X 84</v>
      </c>
      <c r="F71" s="154">
        <v>350</v>
      </c>
      <c r="G71" s="155">
        <f t="shared" si="107"/>
        <v>303.33333333333331</v>
      </c>
      <c r="H71" s="154">
        <f t="shared" si="102"/>
        <v>375</v>
      </c>
      <c r="I71" s="155">
        <f t="shared" si="108"/>
        <v>325</v>
      </c>
      <c r="J71" s="154">
        <f t="shared" si="103"/>
        <v>81</v>
      </c>
      <c r="K71" s="155">
        <f t="shared" si="109"/>
        <v>70.2</v>
      </c>
      <c r="L71" s="470">
        <f t="shared" si="104"/>
        <v>83</v>
      </c>
      <c r="M71" s="155">
        <f t="shared" si="110"/>
        <v>71.933333333333337</v>
      </c>
      <c r="N71" s="154">
        <f t="shared" si="105"/>
        <v>280</v>
      </c>
      <c r="O71" s="155">
        <f t="shared" si="111"/>
        <v>242.66666666666669</v>
      </c>
      <c r="P71" s="154">
        <f t="shared" si="112"/>
        <v>300</v>
      </c>
      <c r="Q71" s="474">
        <f t="shared" si="113"/>
        <v>260</v>
      </c>
    </row>
    <row r="72" spans="1:17" ht="16" thickBot="1" x14ac:dyDescent="0.4">
      <c r="A72" s="485" t="s">
        <v>933</v>
      </c>
      <c r="B72" s="65">
        <v>48</v>
      </c>
      <c r="C72" s="65">
        <v>84</v>
      </c>
      <c r="D72" s="65">
        <f t="shared" si="106"/>
        <v>4032</v>
      </c>
      <c r="E72" s="65" t="str">
        <f t="shared" si="101"/>
        <v>48 X 84</v>
      </c>
      <c r="F72" s="154">
        <f>365+25+60</f>
        <v>450</v>
      </c>
      <c r="G72" s="155">
        <f t="shared" si="107"/>
        <v>390</v>
      </c>
      <c r="H72" s="154">
        <f>+F72+25+25</f>
        <v>500</v>
      </c>
      <c r="I72" s="155">
        <f t="shared" si="108"/>
        <v>433.33333333333337</v>
      </c>
      <c r="J72" s="154">
        <f t="shared" si="103"/>
        <v>87</v>
      </c>
      <c r="K72" s="155">
        <f t="shared" si="109"/>
        <v>75.399999999999991</v>
      </c>
      <c r="L72" s="470">
        <f t="shared" si="104"/>
        <v>90</v>
      </c>
      <c r="M72" s="155">
        <f t="shared" si="110"/>
        <v>78</v>
      </c>
      <c r="N72" s="154">
        <f t="shared" si="105"/>
        <v>360</v>
      </c>
      <c r="O72" s="155">
        <f t="shared" si="111"/>
        <v>312</v>
      </c>
      <c r="P72" s="154">
        <f t="shared" si="112"/>
        <v>400</v>
      </c>
      <c r="Q72" s="474">
        <f t="shared" si="113"/>
        <v>346.66666666666669</v>
      </c>
    </row>
    <row r="73" spans="1:17" x14ac:dyDescent="0.35">
      <c r="A73" s="485" t="s">
        <v>933</v>
      </c>
      <c r="B73" s="65">
        <v>54</v>
      </c>
      <c r="C73" s="65">
        <v>84</v>
      </c>
      <c r="D73" s="65">
        <f t="shared" si="106"/>
        <v>4536</v>
      </c>
      <c r="E73" s="65" t="str">
        <f t="shared" si="101"/>
        <v>54 X 84</v>
      </c>
      <c r="F73" s="154">
        <f>370+35+60</f>
        <v>465</v>
      </c>
      <c r="G73" s="155">
        <f t="shared" si="107"/>
        <v>403</v>
      </c>
      <c r="H73" s="154">
        <f>+F73+25+25</f>
        <v>515</v>
      </c>
      <c r="I73" s="155">
        <f t="shared" si="108"/>
        <v>446.33333333333337</v>
      </c>
      <c r="J73" s="154">
        <f t="shared" si="103"/>
        <v>88</v>
      </c>
      <c r="K73" s="155">
        <f t="shared" si="109"/>
        <v>76.266666666666666</v>
      </c>
      <c r="L73" s="470">
        <f t="shared" si="104"/>
        <v>91</v>
      </c>
      <c r="M73" s="155">
        <f t="shared" si="110"/>
        <v>78.86666666666666</v>
      </c>
      <c r="N73" s="154">
        <f t="shared" si="105"/>
        <v>372</v>
      </c>
      <c r="O73" s="155">
        <f t="shared" si="111"/>
        <v>322.40000000000003</v>
      </c>
      <c r="P73" s="154">
        <f t="shared" si="112"/>
        <v>412</v>
      </c>
      <c r="Q73" s="474">
        <f t="shared" si="113"/>
        <v>357.06666666666666</v>
      </c>
    </row>
    <row r="74" spans="1:17" x14ac:dyDescent="0.35">
      <c r="A74" s="485" t="s">
        <v>933</v>
      </c>
      <c r="B74" s="65">
        <v>60</v>
      </c>
      <c r="C74" s="65">
        <v>84</v>
      </c>
      <c r="D74" s="65">
        <f t="shared" si="106"/>
        <v>5040</v>
      </c>
      <c r="E74" s="65" t="str">
        <f t="shared" si="101"/>
        <v>60 X 84</v>
      </c>
      <c r="F74" s="154">
        <f>425+40+90</f>
        <v>555</v>
      </c>
      <c r="G74" s="155">
        <f t="shared" si="107"/>
        <v>481</v>
      </c>
      <c r="H74" s="154">
        <f t="shared" ref="H74:H80" si="114">+F74+25+25+25</f>
        <v>630</v>
      </c>
      <c r="I74" s="155">
        <f t="shared" si="108"/>
        <v>546</v>
      </c>
      <c r="J74" s="154">
        <f>ROUNDUP((F74*$W$4),0)+90</f>
        <v>124</v>
      </c>
      <c r="K74" s="155">
        <f t="shared" si="109"/>
        <v>107.46666666666668</v>
      </c>
      <c r="L74" s="154">
        <f>ROUNDUP((H74*$W$4),0)+90</f>
        <v>128</v>
      </c>
      <c r="M74" s="155">
        <f t="shared" si="110"/>
        <v>110.93333333333334</v>
      </c>
      <c r="N74" s="154">
        <f t="shared" si="105"/>
        <v>444</v>
      </c>
      <c r="O74" s="155">
        <f t="shared" si="111"/>
        <v>384.8</v>
      </c>
      <c r="P74" s="154">
        <f t="shared" si="112"/>
        <v>504</v>
      </c>
      <c r="Q74" s="474">
        <f t="shared" si="113"/>
        <v>436.8</v>
      </c>
    </row>
    <row r="75" spans="1:17" x14ac:dyDescent="0.35">
      <c r="A75" s="485" t="s">
        <v>933</v>
      </c>
      <c r="B75" s="65">
        <v>72</v>
      </c>
      <c r="C75" s="65">
        <v>84</v>
      </c>
      <c r="D75" s="65">
        <f t="shared" si="106"/>
        <v>6048</v>
      </c>
      <c r="E75" s="65" t="str">
        <f t="shared" si="101"/>
        <v>72 X 84</v>
      </c>
      <c r="F75" s="154">
        <f>475+55+90</f>
        <v>620</v>
      </c>
      <c r="G75" s="155">
        <f t="shared" si="107"/>
        <v>537.33333333333337</v>
      </c>
      <c r="H75" s="154">
        <f t="shared" si="114"/>
        <v>695</v>
      </c>
      <c r="I75" s="155">
        <f t="shared" si="108"/>
        <v>602.33333333333337</v>
      </c>
      <c r="J75" s="154">
        <f>ROUNDUP((F75*$W$4),0)+90</f>
        <v>128</v>
      </c>
      <c r="K75" s="155">
        <f t="shared" si="109"/>
        <v>110.93333333333334</v>
      </c>
      <c r="L75" s="154">
        <f>ROUNDUP((H75*$W$4),0)+90</f>
        <v>132</v>
      </c>
      <c r="M75" s="155">
        <f t="shared" si="110"/>
        <v>114.4</v>
      </c>
      <c r="N75" s="154">
        <f t="shared" si="105"/>
        <v>496</v>
      </c>
      <c r="O75" s="155">
        <f t="shared" si="111"/>
        <v>429.86666666666673</v>
      </c>
      <c r="P75" s="154">
        <f t="shared" si="112"/>
        <v>556</v>
      </c>
      <c r="Q75" s="474">
        <f t="shared" si="113"/>
        <v>481.86666666666673</v>
      </c>
    </row>
    <row r="76" spans="1:17" x14ac:dyDescent="0.35">
      <c r="A76" s="485" t="s">
        <v>933</v>
      </c>
      <c r="B76" s="65">
        <v>72</v>
      </c>
      <c r="C76" s="65">
        <v>96</v>
      </c>
      <c r="D76" s="65">
        <f t="shared" si="106"/>
        <v>6912</v>
      </c>
      <c r="E76" s="65" t="str">
        <f t="shared" si="101"/>
        <v>72 X 96</v>
      </c>
      <c r="F76" s="154">
        <f>510+60+90</f>
        <v>660</v>
      </c>
      <c r="G76" s="155">
        <f t="shared" si="107"/>
        <v>572</v>
      </c>
      <c r="H76" s="154">
        <f t="shared" si="114"/>
        <v>735</v>
      </c>
      <c r="I76" s="155">
        <f t="shared" si="108"/>
        <v>637</v>
      </c>
      <c r="J76" s="154">
        <f>ROUNDUP((F76*$W$4),0)+90</f>
        <v>130</v>
      </c>
      <c r="K76" s="155">
        <f t="shared" si="109"/>
        <v>112.66666666666666</v>
      </c>
      <c r="L76" s="154">
        <f>ROUNDUP((H76*$W$4),0)+90</f>
        <v>135</v>
      </c>
      <c r="M76" s="155">
        <f t="shared" si="110"/>
        <v>117</v>
      </c>
      <c r="N76" s="154">
        <f t="shared" si="105"/>
        <v>528</v>
      </c>
      <c r="O76" s="155">
        <f t="shared" si="111"/>
        <v>457.6</v>
      </c>
      <c r="P76" s="154">
        <f t="shared" si="112"/>
        <v>588</v>
      </c>
      <c r="Q76" s="474">
        <f t="shared" si="113"/>
        <v>509.6</v>
      </c>
    </row>
    <row r="77" spans="1:17" x14ac:dyDescent="0.35">
      <c r="A77" s="485" t="s">
        <v>933</v>
      </c>
      <c r="B77" s="65">
        <v>76</v>
      </c>
      <c r="C77" s="65">
        <v>108</v>
      </c>
      <c r="D77" s="65">
        <f t="shared" si="106"/>
        <v>8208</v>
      </c>
      <c r="E77" s="65" t="str">
        <f t="shared" si="101"/>
        <v>76 X 108</v>
      </c>
      <c r="F77" s="154">
        <f>590+65+90</f>
        <v>745</v>
      </c>
      <c r="G77" s="155">
        <f t="shared" si="107"/>
        <v>645.66666666666663</v>
      </c>
      <c r="H77" s="154">
        <f t="shared" si="114"/>
        <v>820</v>
      </c>
      <c r="I77" s="155">
        <f t="shared" si="108"/>
        <v>710.66666666666663</v>
      </c>
      <c r="J77" s="154">
        <f>ROUNDUP((F77*$W$4),0)+90</f>
        <v>135</v>
      </c>
      <c r="K77" s="155">
        <f t="shared" si="109"/>
        <v>117</v>
      </c>
      <c r="L77" s="154">
        <f>ROUNDUP((H77*$W$4),0)+90</f>
        <v>140</v>
      </c>
      <c r="M77" s="155">
        <f t="shared" si="110"/>
        <v>121.33333333333334</v>
      </c>
      <c r="N77" s="154">
        <f t="shared" si="105"/>
        <v>596</v>
      </c>
      <c r="O77" s="155">
        <f t="shared" si="111"/>
        <v>516.5333333333333</v>
      </c>
      <c r="P77" s="154">
        <f t="shared" si="112"/>
        <v>656</v>
      </c>
      <c r="Q77" s="474">
        <f t="shared" si="113"/>
        <v>568.5333333333333</v>
      </c>
    </row>
    <row r="78" spans="1:17" x14ac:dyDescent="0.35">
      <c r="A78" s="485" t="s">
        <v>933</v>
      </c>
      <c r="B78" s="65">
        <v>76</v>
      </c>
      <c r="C78" s="65">
        <v>120</v>
      </c>
      <c r="D78" s="65">
        <f t="shared" si="106"/>
        <v>9120</v>
      </c>
      <c r="E78" s="65" t="str">
        <f t="shared" si="101"/>
        <v>76 X 120</v>
      </c>
      <c r="F78" s="154">
        <f>735+75+90</f>
        <v>900</v>
      </c>
      <c r="G78" s="155">
        <f t="shared" si="107"/>
        <v>780</v>
      </c>
      <c r="H78" s="154">
        <f t="shared" si="114"/>
        <v>975</v>
      </c>
      <c r="I78" s="155">
        <f t="shared" si="108"/>
        <v>845</v>
      </c>
      <c r="J78" s="154">
        <f>ROUNDUP((F78*$W$4),0)+150</f>
        <v>204</v>
      </c>
      <c r="K78" s="155">
        <f t="shared" si="109"/>
        <v>176.79999999999998</v>
      </c>
      <c r="L78" s="154">
        <f>ROUNDUP((H78*$W$4),0)+150</f>
        <v>209</v>
      </c>
      <c r="M78" s="155">
        <f t="shared" si="110"/>
        <v>181.13333333333333</v>
      </c>
      <c r="N78" s="154">
        <f t="shared" si="105"/>
        <v>720</v>
      </c>
      <c r="O78" s="155">
        <f t="shared" si="111"/>
        <v>624</v>
      </c>
      <c r="P78" s="154">
        <f t="shared" si="112"/>
        <v>780</v>
      </c>
      <c r="Q78" s="474">
        <f t="shared" si="113"/>
        <v>676</v>
      </c>
    </row>
    <row r="79" spans="1:17" x14ac:dyDescent="0.35">
      <c r="A79" s="485" t="s">
        <v>933</v>
      </c>
      <c r="B79" s="65">
        <v>76</v>
      </c>
      <c r="C79" s="65">
        <v>132</v>
      </c>
      <c r="D79" s="65">
        <f t="shared" si="106"/>
        <v>10032</v>
      </c>
      <c r="E79" s="65" t="str">
        <f t="shared" si="101"/>
        <v>76 X 132</v>
      </c>
      <c r="F79" s="154">
        <f>885+90+90</f>
        <v>1065</v>
      </c>
      <c r="G79" s="155">
        <f t="shared" si="107"/>
        <v>923</v>
      </c>
      <c r="H79" s="154">
        <f t="shared" si="114"/>
        <v>1140</v>
      </c>
      <c r="I79" s="155">
        <f t="shared" si="108"/>
        <v>988</v>
      </c>
      <c r="J79" s="154">
        <f>ROUNDUP((F79*$W$4),0)+150</f>
        <v>214</v>
      </c>
      <c r="K79" s="155">
        <f t="shared" si="109"/>
        <v>185.46666666666667</v>
      </c>
      <c r="L79" s="154">
        <f>ROUNDUP((H79*$W$4),0)+150</f>
        <v>219</v>
      </c>
      <c r="M79" s="155">
        <f t="shared" si="110"/>
        <v>189.79999999999998</v>
      </c>
      <c r="N79" s="154">
        <f t="shared" si="105"/>
        <v>852</v>
      </c>
      <c r="O79" s="155">
        <f t="shared" si="111"/>
        <v>738.4</v>
      </c>
      <c r="P79" s="154">
        <f t="shared" si="112"/>
        <v>912</v>
      </c>
      <c r="Q79" s="474">
        <f t="shared" si="113"/>
        <v>790.4</v>
      </c>
    </row>
    <row r="80" spans="1:17" ht="16" thickBot="1" x14ac:dyDescent="0.4">
      <c r="A80" s="486" t="s">
        <v>933</v>
      </c>
      <c r="B80" s="476">
        <v>76</v>
      </c>
      <c r="C80" s="476">
        <v>144</v>
      </c>
      <c r="D80" s="476">
        <f t="shared" si="106"/>
        <v>10944</v>
      </c>
      <c r="E80" s="476" t="str">
        <f t="shared" si="101"/>
        <v>76 X 144</v>
      </c>
      <c r="F80" s="477">
        <f>995+95+110</f>
        <v>1200</v>
      </c>
      <c r="G80" s="478">
        <f t="shared" si="107"/>
        <v>1040</v>
      </c>
      <c r="H80" s="477">
        <f t="shared" si="114"/>
        <v>1275</v>
      </c>
      <c r="I80" s="478">
        <f t="shared" si="108"/>
        <v>1105</v>
      </c>
      <c r="J80" s="477">
        <f>ROUNDUP((F80*$W$4),0)+150</f>
        <v>222</v>
      </c>
      <c r="K80" s="478">
        <f t="shared" si="109"/>
        <v>192.4</v>
      </c>
      <c r="L80" s="477">
        <f>ROUNDUP((H80*$W$4),0)+150</f>
        <v>227</v>
      </c>
      <c r="M80" s="478">
        <f t="shared" si="110"/>
        <v>196.73333333333332</v>
      </c>
      <c r="N80" s="477">
        <f t="shared" si="105"/>
        <v>960</v>
      </c>
      <c r="O80" s="478">
        <f t="shared" si="111"/>
        <v>832</v>
      </c>
      <c r="P80" s="477">
        <f t="shared" si="112"/>
        <v>1020</v>
      </c>
      <c r="Q80" s="479">
        <f t="shared" si="113"/>
        <v>884</v>
      </c>
    </row>
    <row r="81" spans="1:17" x14ac:dyDescent="0.35">
      <c r="A81" s="480" t="s">
        <v>934</v>
      </c>
      <c r="B81" s="481">
        <v>36</v>
      </c>
      <c r="C81" s="481">
        <v>84</v>
      </c>
      <c r="D81" s="481">
        <f t="shared" si="106"/>
        <v>3024</v>
      </c>
      <c r="E81" s="481" t="str">
        <f t="shared" si="101"/>
        <v>36 X 84</v>
      </c>
      <c r="F81" s="482">
        <v>385</v>
      </c>
      <c r="G81" s="483">
        <f t="shared" si="107"/>
        <v>333.66666666666669</v>
      </c>
      <c r="H81" s="482">
        <f>+F81+45</f>
        <v>430</v>
      </c>
      <c r="I81" s="483">
        <f t="shared" si="108"/>
        <v>372.66666666666669</v>
      </c>
      <c r="J81" s="482">
        <f>ROUNDUP((F81*$W$4),0)+60</f>
        <v>84</v>
      </c>
      <c r="K81" s="483">
        <f t="shared" si="109"/>
        <v>72.8</v>
      </c>
      <c r="L81" s="482">
        <f t="shared" ref="L81:L116" si="115">ROUNDUP((H81*$W$4),0)</f>
        <v>26</v>
      </c>
      <c r="M81" s="483">
        <f t="shared" si="110"/>
        <v>22.533333333333335</v>
      </c>
      <c r="N81" s="482">
        <f t="shared" si="105"/>
        <v>308</v>
      </c>
      <c r="O81" s="483">
        <f t="shared" si="111"/>
        <v>266.93333333333334</v>
      </c>
      <c r="P81" s="482">
        <f t="shared" si="112"/>
        <v>344</v>
      </c>
      <c r="Q81" s="483">
        <f t="shared" si="113"/>
        <v>298.13333333333333</v>
      </c>
    </row>
    <row r="82" spans="1:17" x14ac:dyDescent="0.35">
      <c r="A82" s="156" t="s">
        <v>934</v>
      </c>
      <c r="B82" s="65">
        <v>47</v>
      </c>
      <c r="C82" s="65">
        <v>84</v>
      </c>
      <c r="D82" s="65">
        <f t="shared" si="106"/>
        <v>3948</v>
      </c>
      <c r="E82" s="65" t="str">
        <f t="shared" si="101"/>
        <v>47 X 84</v>
      </c>
      <c r="F82" s="154">
        <f>425+90</f>
        <v>515</v>
      </c>
      <c r="G82" s="155">
        <f t="shared" si="107"/>
        <v>446.33333333333337</v>
      </c>
      <c r="H82" s="154">
        <f>+F82+45+25</f>
        <v>585</v>
      </c>
      <c r="I82" s="155">
        <f t="shared" si="108"/>
        <v>507</v>
      </c>
      <c r="J82" s="482">
        <f>ROUNDUP((F82*$W$4),0)+60</f>
        <v>91</v>
      </c>
      <c r="K82" s="155">
        <f t="shared" si="109"/>
        <v>78.86666666666666</v>
      </c>
      <c r="L82" s="154">
        <f t="shared" si="115"/>
        <v>36</v>
      </c>
      <c r="M82" s="155">
        <f t="shared" si="110"/>
        <v>31.2</v>
      </c>
      <c r="N82" s="154">
        <f t="shared" si="105"/>
        <v>412</v>
      </c>
      <c r="O82" s="155">
        <f t="shared" si="111"/>
        <v>357.06666666666666</v>
      </c>
      <c r="P82" s="154">
        <f t="shared" si="112"/>
        <v>468</v>
      </c>
      <c r="Q82" s="155">
        <f t="shared" si="113"/>
        <v>405.59999999999997</v>
      </c>
    </row>
    <row r="83" spans="1:17" x14ac:dyDescent="0.35">
      <c r="A83" s="156" t="s">
        <v>934</v>
      </c>
      <c r="B83" s="65">
        <v>54</v>
      </c>
      <c r="C83" s="65">
        <v>84</v>
      </c>
      <c r="D83" s="65">
        <f t="shared" si="106"/>
        <v>4536</v>
      </c>
      <c r="E83" s="65" t="str">
        <f t="shared" si="101"/>
        <v>54 X 84</v>
      </c>
      <c r="F83" s="154">
        <f>450+90</f>
        <v>540</v>
      </c>
      <c r="G83" s="155">
        <f t="shared" si="107"/>
        <v>468</v>
      </c>
      <c r="H83" s="154">
        <f>+F83+45+25</f>
        <v>610</v>
      </c>
      <c r="I83" s="155">
        <f t="shared" si="108"/>
        <v>528.66666666666663</v>
      </c>
      <c r="J83" s="482">
        <f>ROUNDUP((F83*$W$4),0)+60</f>
        <v>93</v>
      </c>
      <c r="K83" s="155">
        <f t="shared" si="109"/>
        <v>80.600000000000009</v>
      </c>
      <c r="L83" s="154">
        <f t="shared" si="115"/>
        <v>37</v>
      </c>
      <c r="M83" s="155">
        <f t="shared" si="110"/>
        <v>32.06666666666667</v>
      </c>
      <c r="N83" s="154">
        <f t="shared" si="105"/>
        <v>432</v>
      </c>
      <c r="O83" s="155">
        <f t="shared" si="111"/>
        <v>374.40000000000003</v>
      </c>
      <c r="P83" s="154">
        <f t="shared" si="112"/>
        <v>488</v>
      </c>
      <c r="Q83" s="155">
        <f t="shared" si="113"/>
        <v>422.93333333333328</v>
      </c>
    </row>
    <row r="84" spans="1:17" x14ac:dyDescent="0.35">
      <c r="A84" s="156" t="s">
        <v>934</v>
      </c>
      <c r="B84" s="65">
        <v>60</v>
      </c>
      <c r="C84" s="65">
        <v>84</v>
      </c>
      <c r="D84" s="65">
        <f t="shared" si="106"/>
        <v>5040</v>
      </c>
      <c r="E84" s="65" t="str">
        <f t="shared" si="101"/>
        <v>60 X 84</v>
      </c>
      <c r="F84" s="154">
        <f>460+90</f>
        <v>550</v>
      </c>
      <c r="G84" s="155">
        <f t="shared" si="107"/>
        <v>476.66666666666663</v>
      </c>
      <c r="H84" s="154">
        <f>+F84+45+25</f>
        <v>620</v>
      </c>
      <c r="I84" s="155">
        <f t="shared" si="108"/>
        <v>537.33333333333337</v>
      </c>
      <c r="J84" s="482">
        <f>ROUNDUP((F84*$W$4),0)+60</f>
        <v>93</v>
      </c>
      <c r="K84" s="155">
        <f t="shared" si="109"/>
        <v>80.600000000000009</v>
      </c>
      <c r="L84" s="154">
        <f t="shared" si="115"/>
        <v>38</v>
      </c>
      <c r="M84" s="155">
        <f t="shared" si="110"/>
        <v>32.93333333333333</v>
      </c>
      <c r="N84" s="154">
        <f t="shared" si="105"/>
        <v>440</v>
      </c>
      <c r="O84" s="155">
        <f t="shared" si="111"/>
        <v>381.33333333333331</v>
      </c>
      <c r="P84" s="154">
        <f t="shared" si="112"/>
        <v>496</v>
      </c>
      <c r="Q84" s="155">
        <f t="shared" si="113"/>
        <v>429.86666666666673</v>
      </c>
    </row>
    <row r="85" spans="1:17" x14ac:dyDescent="0.35">
      <c r="A85" s="156" t="s">
        <v>934</v>
      </c>
      <c r="B85" s="65">
        <v>72</v>
      </c>
      <c r="C85" s="65">
        <v>84</v>
      </c>
      <c r="D85" s="65">
        <f t="shared" si="106"/>
        <v>6048</v>
      </c>
      <c r="E85" s="65" t="str">
        <f t="shared" si="101"/>
        <v>72 X 84</v>
      </c>
      <c r="F85" s="154">
        <f>470+90</f>
        <v>560</v>
      </c>
      <c r="G85" s="155">
        <f t="shared" si="107"/>
        <v>485.33333333333337</v>
      </c>
      <c r="H85" s="154">
        <f>+F85+45+25</f>
        <v>630</v>
      </c>
      <c r="I85" s="155">
        <f t="shared" si="108"/>
        <v>546</v>
      </c>
      <c r="J85" s="154">
        <f>ROUNDUP((F85*$W$4),0)+75</f>
        <v>109</v>
      </c>
      <c r="K85" s="155">
        <f t="shared" si="109"/>
        <v>94.466666666666669</v>
      </c>
      <c r="L85" s="154">
        <f t="shared" si="115"/>
        <v>38</v>
      </c>
      <c r="M85" s="155">
        <f t="shared" si="110"/>
        <v>32.93333333333333</v>
      </c>
      <c r="N85" s="154">
        <f t="shared" si="105"/>
        <v>448</v>
      </c>
      <c r="O85" s="155">
        <f t="shared" si="111"/>
        <v>388.26666666666665</v>
      </c>
      <c r="P85" s="154">
        <f t="shared" si="112"/>
        <v>504</v>
      </c>
      <c r="Q85" s="155">
        <f t="shared" si="113"/>
        <v>436.8</v>
      </c>
    </row>
    <row r="86" spans="1:17" x14ac:dyDescent="0.35">
      <c r="A86" s="156" t="s">
        <v>934</v>
      </c>
      <c r="B86" s="65">
        <v>72</v>
      </c>
      <c r="C86" s="65">
        <v>96</v>
      </c>
      <c r="D86" s="65">
        <f t="shared" si="106"/>
        <v>6912</v>
      </c>
      <c r="E86" s="65" t="str">
        <f t="shared" si="101"/>
        <v>72 X 96</v>
      </c>
      <c r="F86" s="154">
        <f>480+90</f>
        <v>570</v>
      </c>
      <c r="G86" s="155">
        <f t="shared" si="107"/>
        <v>494</v>
      </c>
      <c r="H86" s="154">
        <f>+F86+45+25</f>
        <v>640</v>
      </c>
      <c r="I86" s="155">
        <f t="shared" si="108"/>
        <v>554.66666666666663</v>
      </c>
      <c r="J86" s="154">
        <f>ROUNDUP((F86*$W$4),0)+75</f>
        <v>110</v>
      </c>
      <c r="K86" s="155">
        <f t="shared" si="109"/>
        <v>95.333333333333329</v>
      </c>
      <c r="L86" s="154">
        <f t="shared" si="115"/>
        <v>39</v>
      </c>
      <c r="M86" s="155">
        <f t="shared" si="110"/>
        <v>33.800000000000004</v>
      </c>
      <c r="N86" s="154">
        <f t="shared" si="105"/>
        <v>456</v>
      </c>
      <c r="O86" s="155">
        <f t="shared" si="111"/>
        <v>395.2</v>
      </c>
      <c r="P86" s="154">
        <f t="shared" si="112"/>
        <v>512</v>
      </c>
      <c r="Q86" s="155">
        <f t="shared" si="113"/>
        <v>443.73333333333335</v>
      </c>
    </row>
    <row r="87" spans="1:17" x14ac:dyDescent="0.35">
      <c r="A87" s="156" t="s">
        <v>934</v>
      </c>
      <c r="B87" s="65">
        <v>84</v>
      </c>
      <c r="C87" s="65">
        <v>84</v>
      </c>
      <c r="D87" s="65">
        <f t="shared" si="106"/>
        <v>7056</v>
      </c>
      <c r="E87" s="65" t="str">
        <f t="shared" si="101"/>
        <v>84 X 84</v>
      </c>
      <c r="F87" s="154">
        <f>490+90+30</f>
        <v>610</v>
      </c>
      <c r="G87" s="155">
        <f t="shared" si="107"/>
        <v>528.66666666666663</v>
      </c>
      <c r="H87" s="154">
        <f t="shared" ref="H87:H92" si="116">+F87+45+25+35</f>
        <v>715</v>
      </c>
      <c r="I87" s="155">
        <f t="shared" si="108"/>
        <v>619.66666666666663</v>
      </c>
      <c r="J87" s="154">
        <f>ROUNDUP((F87*$W$4),0)+90</f>
        <v>127</v>
      </c>
      <c r="K87" s="155">
        <f t="shared" si="109"/>
        <v>110.06666666666666</v>
      </c>
      <c r="L87" s="154">
        <f t="shared" si="115"/>
        <v>43</v>
      </c>
      <c r="M87" s="155">
        <f t="shared" si="110"/>
        <v>37.266666666666666</v>
      </c>
      <c r="N87" s="154">
        <f t="shared" si="105"/>
        <v>488</v>
      </c>
      <c r="O87" s="155">
        <f t="shared" si="111"/>
        <v>422.93333333333328</v>
      </c>
      <c r="P87" s="154">
        <f t="shared" si="112"/>
        <v>572</v>
      </c>
      <c r="Q87" s="155">
        <f t="shared" si="113"/>
        <v>495.73333333333335</v>
      </c>
    </row>
    <row r="88" spans="1:17" x14ac:dyDescent="0.35">
      <c r="A88" s="156" t="s">
        <v>934</v>
      </c>
      <c r="B88" s="65">
        <v>84</v>
      </c>
      <c r="C88" s="65">
        <v>96</v>
      </c>
      <c r="D88" s="65">
        <f t="shared" si="106"/>
        <v>8064</v>
      </c>
      <c r="E88" s="65" t="str">
        <f t="shared" si="101"/>
        <v>84 X 96</v>
      </c>
      <c r="F88" s="154">
        <f>510+90+40</f>
        <v>640</v>
      </c>
      <c r="G88" s="155">
        <f t="shared" si="107"/>
        <v>554.66666666666663</v>
      </c>
      <c r="H88" s="154">
        <f t="shared" si="116"/>
        <v>745</v>
      </c>
      <c r="I88" s="155">
        <f t="shared" si="108"/>
        <v>645.66666666666663</v>
      </c>
      <c r="J88" s="154">
        <f>ROUNDUP((F88*$W$4),0)+90</f>
        <v>129</v>
      </c>
      <c r="K88" s="155">
        <f t="shared" si="109"/>
        <v>111.8</v>
      </c>
      <c r="L88" s="154">
        <f t="shared" si="115"/>
        <v>45</v>
      </c>
      <c r="M88" s="155">
        <f t="shared" si="110"/>
        <v>39</v>
      </c>
      <c r="N88" s="154">
        <f t="shared" si="105"/>
        <v>512</v>
      </c>
      <c r="O88" s="155">
        <f t="shared" si="111"/>
        <v>443.73333333333335</v>
      </c>
      <c r="P88" s="154">
        <f t="shared" si="112"/>
        <v>596</v>
      </c>
      <c r="Q88" s="155">
        <f t="shared" si="113"/>
        <v>516.5333333333333</v>
      </c>
    </row>
    <row r="89" spans="1:17" x14ac:dyDescent="0.35">
      <c r="A89" s="156" t="s">
        <v>934</v>
      </c>
      <c r="B89" s="65">
        <v>96</v>
      </c>
      <c r="C89" s="65">
        <v>96</v>
      </c>
      <c r="D89" s="65">
        <f t="shared" si="106"/>
        <v>9216</v>
      </c>
      <c r="E89" s="65" t="str">
        <f t="shared" si="101"/>
        <v>96 X 96</v>
      </c>
      <c r="F89" s="154">
        <f>535+180+60</f>
        <v>775</v>
      </c>
      <c r="G89" s="155">
        <f t="shared" si="107"/>
        <v>671.66666666666663</v>
      </c>
      <c r="H89" s="154">
        <f t="shared" si="116"/>
        <v>880</v>
      </c>
      <c r="I89" s="155">
        <f t="shared" si="108"/>
        <v>762.66666666666663</v>
      </c>
      <c r="J89" s="154">
        <f>ROUNDUP((F89*$W$4),0)+120</f>
        <v>167</v>
      </c>
      <c r="K89" s="155">
        <f t="shared" si="109"/>
        <v>144.73333333333332</v>
      </c>
      <c r="L89" s="154">
        <f t="shared" si="115"/>
        <v>53</v>
      </c>
      <c r="M89" s="155">
        <f t="shared" si="110"/>
        <v>45.93333333333333</v>
      </c>
      <c r="N89" s="154">
        <f t="shared" si="105"/>
        <v>620</v>
      </c>
      <c r="O89" s="155">
        <f t="shared" si="111"/>
        <v>537.33333333333337</v>
      </c>
      <c r="P89" s="154">
        <f t="shared" si="112"/>
        <v>704</v>
      </c>
      <c r="Q89" s="155">
        <f t="shared" si="113"/>
        <v>610.13333333333333</v>
      </c>
    </row>
    <row r="90" spans="1:17" x14ac:dyDescent="0.35">
      <c r="A90" s="156" t="s">
        <v>934</v>
      </c>
      <c r="B90" s="65">
        <v>96</v>
      </c>
      <c r="C90" s="65">
        <v>120</v>
      </c>
      <c r="D90" s="65">
        <f t="shared" si="106"/>
        <v>11520</v>
      </c>
      <c r="E90" s="65" t="str">
        <f t="shared" si="101"/>
        <v>96 X 120</v>
      </c>
      <c r="F90" s="154">
        <f>570+180+75</f>
        <v>825</v>
      </c>
      <c r="G90" s="155">
        <f t="shared" si="107"/>
        <v>715</v>
      </c>
      <c r="H90" s="154">
        <f t="shared" si="116"/>
        <v>930</v>
      </c>
      <c r="I90" s="155">
        <f t="shared" si="108"/>
        <v>806</v>
      </c>
      <c r="J90" s="154">
        <f>ROUNDUP((F90*$W$4),0)+120</f>
        <v>170</v>
      </c>
      <c r="K90" s="155">
        <f t="shared" si="109"/>
        <v>147.33333333333334</v>
      </c>
      <c r="L90" s="154">
        <f t="shared" si="115"/>
        <v>56</v>
      </c>
      <c r="M90" s="155">
        <f t="shared" si="110"/>
        <v>48.533333333333331</v>
      </c>
      <c r="N90" s="154">
        <f t="shared" si="105"/>
        <v>660</v>
      </c>
      <c r="O90" s="155">
        <f t="shared" si="111"/>
        <v>572</v>
      </c>
      <c r="P90" s="154">
        <f t="shared" si="112"/>
        <v>744</v>
      </c>
      <c r="Q90" s="155">
        <f t="shared" si="113"/>
        <v>644.80000000000007</v>
      </c>
    </row>
    <row r="91" spans="1:17" x14ac:dyDescent="0.35">
      <c r="A91" s="156" t="s">
        <v>934</v>
      </c>
      <c r="B91" s="65">
        <v>102</v>
      </c>
      <c r="C91" s="65">
        <v>132</v>
      </c>
      <c r="D91" s="65">
        <f t="shared" si="106"/>
        <v>13464</v>
      </c>
      <c r="E91" s="65" t="str">
        <f t="shared" si="101"/>
        <v>102 X 132</v>
      </c>
      <c r="F91" s="154">
        <f>615+180+90</f>
        <v>885</v>
      </c>
      <c r="G91" s="155">
        <f t="shared" si="107"/>
        <v>767</v>
      </c>
      <c r="H91" s="154">
        <f t="shared" si="116"/>
        <v>990</v>
      </c>
      <c r="I91" s="155">
        <f t="shared" si="108"/>
        <v>858</v>
      </c>
      <c r="J91" s="154">
        <f t="shared" ref="J91:J98" si="117">ROUNDUP((F91*$W$4),0)+150</f>
        <v>204</v>
      </c>
      <c r="K91" s="155">
        <f t="shared" si="109"/>
        <v>176.79999999999998</v>
      </c>
      <c r="L91" s="154">
        <f t="shared" si="115"/>
        <v>60</v>
      </c>
      <c r="M91" s="155">
        <f t="shared" si="110"/>
        <v>52</v>
      </c>
      <c r="N91" s="154">
        <f t="shared" si="105"/>
        <v>708</v>
      </c>
      <c r="O91" s="155">
        <f t="shared" si="111"/>
        <v>613.6</v>
      </c>
      <c r="P91" s="154">
        <f t="shared" si="112"/>
        <v>792</v>
      </c>
      <c r="Q91" s="155">
        <f t="shared" si="113"/>
        <v>686.4</v>
      </c>
    </row>
    <row r="92" spans="1:17" x14ac:dyDescent="0.35">
      <c r="A92" s="156" t="s">
        <v>934</v>
      </c>
      <c r="B92" s="65">
        <v>100</v>
      </c>
      <c r="C92" s="65">
        <v>144</v>
      </c>
      <c r="D92" s="65">
        <f t="shared" si="106"/>
        <v>14400</v>
      </c>
      <c r="E92" s="65" t="str">
        <f t="shared" si="101"/>
        <v>100 X 144</v>
      </c>
      <c r="F92" s="154">
        <f>650+180+100</f>
        <v>930</v>
      </c>
      <c r="G92" s="155">
        <f t="shared" si="107"/>
        <v>806</v>
      </c>
      <c r="H92" s="154">
        <f t="shared" si="116"/>
        <v>1035</v>
      </c>
      <c r="I92" s="155">
        <f t="shared" si="108"/>
        <v>897</v>
      </c>
      <c r="J92" s="154">
        <f t="shared" si="117"/>
        <v>206</v>
      </c>
      <c r="K92" s="155">
        <f t="shared" si="109"/>
        <v>178.53333333333333</v>
      </c>
      <c r="L92" s="154">
        <f t="shared" si="115"/>
        <v>63</v>
      </c>
      <c r="M92" s="155">
        <f t="shared" si="110"/>
        <v>54.6</v>
      </c>
      <c r="N92" s="154">
        <f t="shared" si="105"/>
        <v>744</v>
      </c>
      <c r="O92" s="155">
        <f t="shared" si="111"/>
        <v>644.80000000000007</v>
      </c>
      <c r="P92" s="154">
        <f t="shared" si="112"/>
        <v>828</v>
      </c>
      <c r="Q92" s="155">
        <f t="shared" si="113"/>
        <v>717.6</v>
      </c>
    </row>
    <row r="93" spans="1:17" x14ac:dyDescent="0.35">
      <c r="A93" s="156" t="s">
        <v>934</v>
      </c>
      <c r="B93" s="65">
        <v>100</v>
      </c>
      <c r="C93" s="65">
        <v>156</v>
      </c>
      <c r="D93" s="65">
        <f t="shared" si="106"/>
        <v>15600</v>
      </c>
      <c r="E93" s="65" t="str">
        <f t="shared" si="101"/>
        <v>100 X 156</v>
      </c>
      <c r="F93" s="154">
        <f>710+360+115</f>
        <v>1185</v>
      </c>
      <c r="G93" s="155">
        <f t="shared" si="107"/>
        <v>1027</v>
      </c>
      <c r="H93" s="154">
        <f t="shared" ref="H93:H98" si="118">+F93+45+25+35+45</f>
        <v>1335</v>
      </c>
      <c r="I93" s="155">
        <f t="shared" si="108"/>
        <v>1157</v>
      </c>
      <c r="J93" s="154">
        <f t="shared" si="117"/>
        <v>222</v>
      </c>
      <c r="K93" s="155">
        <f t="shared" si="109"/>
        <v>192.4</v>
      </c>
      <c r="L93" s="154">
        <f t="shared" si="115"/>
        <v>81</v>
      </c>
      <c r="M93" s="155">
        <f t="shared" si="110"/>
        <v>70.2</v>
      </c>
      <c r="N93" s="154">
        <f t="shared" si="105"/>
        <v>948</v>
      </c>
      <c r="O93" s="155">
        <f t="shared" si="111"/>
        <v>821.6</v>
      </c>
      <c r="P93" s="154">
        <f t="shared" si="112"/>
        <v>1068</v>
      </c>
      <c r="Q93" s="155">
        <f t="shared" si="113"/>
        <v>925.6</v>
      </c>
    </row>
    <row r="94" spans="1:17" x14ac:dyDescent="0.35">
      <c r="A94" s="156" t="s">
        <v>934</v>
      </c>
      <c r="B94" s="65">
        <v>100</v>
      </c>
      <c r="C94" s="65">
        <v>168</v>
      </c>
      <c r="D94" s="65">
        <f t="shared" si="106"/>
        <v>16800</v>
      </c>
      <c r="E94" s="65" t="str">
        <f t="shared" si="101"/>
        <v>100 X 168</v>
      </c>
      <c r="F94" s="154">
        <f>750+360+120</f>
        <v>1230</v>
      </c>
      <c r="G94" s="155">
        <f t="shared" si="107"/>
        <v>1066</v>
      </c>
      <c r="H94" s="154">
        <f t="shared" si="118"/>
        <v>1380</v>
      </c>
      <c r="I94" s="155">
        <f t="shared" si="108"/>
        <v>1196</v>
      </c>
      <c r="J94" s="154">
        <f t="shared" si="117"/>
        <v>224</v>
      </c>
      <c r="K94" s="155">
        <f t="shared" si="109"/>
        <v>194.13333333333333</v>
      </c>
      <c r="L94" s="154">
        <f t="shared" si="115"/>
        <v>83</v>
      </c>
      <c r="M94" s="155">
        <f t="shared" si="110"/>
        <v>71.933333333333337</v>
      </c>
      <c r="N94" s="154">
        <f t="shared" si="105"/>
        <v>984</v>
      </c>
      <c r="O94" s="155">
        <f t="shared" si="111"/>
        <v>852.8</v>
      </c>
      <c r="P94" s="154">
        <f t="shared" si="112"/>
        <v>1104</v>
      </c>
      <c r="Q94" s="155">
        <f t="shared" si="113"/>
        <v>956.8</v>
      </c>
    </row>
    <row r="95" spans="1:17" x14ac:dyDescent="0.35">
      <c r="A95" s="156" t="s">
        <v>934</v>
      </c>
      <c r="B95" s="65">
        <v>100</v>
      </c>
      <c r="C95" s="65">
        <v>180</v>
      </c>
      <c r="D95" s="65">
        <f t="shared" si="106"/>
        <v>18000</v>
      </c>
      <c r="E95" s="65" t="str">
        <f t="shared" si="101"/>
        <v>100 X 180</v>
      </c>
      <c r="F95" s="154">
        <f>850+360+120</f>
        <v>1330</v>
      </c>
      <c r="G95" s="155">
        <f t="shared" si="107"/>
        <v>1152.6666666666667</v>
      </c>
      <c r="H95" s="154">
        <f t="shared" si="118"/>
        <v>1480</v>
      </c>
      <c r="I95" s="155">
        <f t="shared" si="108"/>
        <v>1282.6666666666667</v>
      </c>
      <c r="J95" s="154">
        <f t="shared" si="117"/>
        <v>230</v>
      </c>
      <c r="K95" s="155">
        <f t="shared" si="109"/>
        <v>199.33333333333334</v>
      </c>
      <c r="L95" s="154">
        <f t="shared" si="115"/>
        <v>89</v>
      </c>
      <c r="M95" s="155">
        <f t="shared" si="110"/>
        <v>77.13333333333334</v>
      </c>
      <c r="N95" s="154">
        <f t="shared" si="105"/>
        <v>1064</v>
      </c>
      <c r="O95" s="155">
        <f t="shared" si="111"/>
        <v>922.13333333333344</v>
      </c>
      <c r="P95" s="154">
        <f t="shared" si="112"/>
        <v>1184</v>
      </c>
      <c r="Q95" s="155">
        <f t="shared" si="113"/>
        <v>1026.1333333333334</v>
      </c>
    </row>
    <row r="96" spans="1:17" x14ac:dyDescent="0.35">
      <c r="A96" s="156" t="s">
        <v>934</v>
      </c>
      <c r="B96" s="65">
        <v>100</v>
      </c>
      <c r="C96" s="65">
        <v>192</v>
      </c>
      <c r="D96" s="65">
        <f t="shared" si="106"/>
        <v>19200</v>
      </c>
      <c r="E96" s="65" t="str">
        <f t="shared" si="101"/>
        <v>100 X 192</v>
      </c>
      <c r="F96" s="154">
        <f>925+360+120</f>
        <v>1405</v>
      </c>
      <c r="G96" s="155">
        <f t="shared" si="107"/>
        <v>1217.6666666666667</v>
      </c>
      <c r="H96" s="154">
        <f t="shared" si="118"/>
        <v>1555</v>
      </c>
      <c r="I96" s="155">
        <f t="shared" si="108"/>
        <v>1347.6666666666667</v>
      </c>
      <c r="J96" s="154">
        <f t="shared" si="117"/>
        <v>235</v>
      </c>
      <c r="K96" s="155">
        <f t="shared" si="109"/>
        <v>203.66666666666666</v>
      </c>
      <c r="L96" s="154">
        <f t="shared" si="115"/>
        <v>94</v>
      </c>
      <c r="M96" s="155">
        <f t="shared" si="110"/>
        <v>81.466666666666669</v>
      </c>
      <c r="N96" s="154">
        <f t="shared" si="105"/>
        <v>1124</v>
      </c>
      <c r="O96" s="155">
        <f t="shared" si="111"/>
        <v>974.13333333333344</v>
      </c>
      <c r="P96" s="154">
        <f t="shared" si="112"/>
        <v>1244</v>
      </c>
      <c r="Q96" s="155">
        <f t="shared" si="113"/>
        <v>1078.1333333333334</v>
      </c>
    </row>
    <row r="97" spans="1:17" x14ac:dyDescent="0.35">
      <c r="A97" s="156" t="s">
        <v>934</v>
      </c>
      <c r="B97" s="65">
        <v>100</v>
      </c>
      <c r="C97" s="65">
        <v>204</v>
      </c>
      <c r="D97" s="65">
        <f t="shared" si="106"/>
        <v>20400</v>
      </c>
      <c r="E97" s="65" t="str">
        <f t="shared" si="101"/>
        <v>100 X 204</v>
      </c>
      <c r="F97" s="154">
        <f>1015+360+120</f>
        <v>1495</v>
      </c>
      <c r="G97" s="155">
        <f t="shared" si="107"/>
        <v>1295.6666666666667</v>
      </c>
      <c r="H97" s="154">
        <f t="shared" si="118"/>
        <v>1645</v>
      </c>
      <c r="I97" s="155">
        <f t="shared" si="108"/>
        <v>1425.6666666666667</v>
      </c>
      <c r="J97" s="154">
        <f t="shared" si="117"/>
        <v>240</v>
      </c>
      <c r="K97" s="155">
        <f t="shared" si="109"/>
        <v>208</v>
      </c>
      <c r="L97" s="154">
        <f t="shared" si="115"/>
        <v>99</v>
      </c>
      <c r="M97" s="155">
        <f t="shared" si="110"/>
        <v>85.8</v>
      </c>
      <c r="N97" s="154">
        <f t="shared" si="105"/>
        <v>1196</v>
      </c>
      <c r="O97" s="155">
        <f t="shared" si="111"/>
        <v>1036.5333333333333</v>
      </c>
      <c r="P97" s="154">
        <f t="shared" si="112"/>
        <v>1316</v>
      </c>
      <c r="Q97" s="155">
        <f t="shared" si="113"/>
        <v>1140.5333333333333</v>
      </c>
    </row>
    <row r="98" spans="1:17" ht="16" thickBot="1" x14ac:dyDescent="0.4">
      <c r="A98" s="464" t="s">
        <v>934</v>
      </c>
      <c r="B98" s="465">
        <v>100</v>
      </c>
      <c r="C98" s="465">
        <v>216</v>
      </c>
      <c r="D98" s="465">
        <f t="shared" si="106"/>
        <v>21600</v>
      </c>
      <c r="E98" s="465" t="str">
        <f t="shared" si="101"/>
        <v>100 X 216</v>
      </c>
      <c r="F98" s="466">
        <f>1150+360+120</f>
        <v>1630</v>
      </c>
      <c r="G98" s="467">
        <f t="shared" si="107"/>
        <v>1412.6666666666667</v>
      </c>
      <c r="H98" s="466">
        <f t="shared" si="118"/>
        <v>1780</v>
      </c>
      <c r="I98" s="467">
        <f t="shared" si="108"/>
        <v>1542.6666666666667</v>
      </c>
      <c r="J98" s="154">
        <f t="shared" si="117"/>
        <v>248</v>
      </c>
      <c r="K98" s="467">
        <f t="shared" si="109"/>
        <v>214.93333333333337</v>
      </c>
      <c r="L98" s="466">
        <f t="shared" si="115"/>
        <v>107</v>
      </c>
      <c r="M98" s="467">
        <f t="shared" si="110"/>
        <v>92.733333333333334</v>
      </c>
      <c r="N98" s="466">
        <f t="shared" si="105"/>
        <v>1304</v>
      </c>
      <c r="O98" s="467">
        <f t="shared" si="111"/>
        <v>1130.1333333333334</v>
      </c>
      <c r="P98" s="466">
        <f t="shared" si="112"/>
        <v>1424</v>
      </c>
      <c r="Q98" s="467">
        <f t="shared" si="113"/>
        <v>1234.1333333333334</v>
      </c>
    </row>
    <row r="99" spans="1:17" x14ac:dyDescent="0.35">
      <c r="A99" s="468" t="s">
        <v>935</v>
      </c>
      <c r="B99" s="469">
        <v>36</v>
      </c>
      <c r="C99" s="469">
        <v>84</v>
      </c>
      <c r="D99" s="469">
        <f t="shared" si="106"/>
        <v>3024</v>
      </c>
      <c r="E99" s="469" t="str">
        <f t="shared" si="101"/>
        <v>36 X 84</v>
      </c>
      <c r="F99" s="470">
        <f>+F81+25</f>
        <v>410</v>
      </c>
      <c r="G99" s="471">
        <f t="shared" si="107"/>
        <v>355.33333333333331</v>
      </c>
      <c r="H99" s="470">
        <f>+H81+25</f>
        <v>455</v>
      </c>
      <c r="I99" s="471">
        <f t="shared" si="108"/>
        <v>394.33333333333331</v>
      </c>
      <c r="J99" s="470">
        <f>+J81+25</f>
        <v>109</v>
      </c>
      <c r="K99" s="471">
        <f t="shared" si="109"/>
        <v>94.466666666666669</v>
      </c>
      <c r="L99" s="470">
        <f t="shared" si="115"/>
        <v>28</v>
      </c>
      <c r="M99" s="471">
        <f t="shared" si="110"/>
        <v>24.266666666666666</v>
      </c>
      <c r="N99" s="470">
        <f t="shared" si="105"/>
        <v>328</v>
      </c>
      <c r="O99" s="471">
        <f t="shared" si="111"/>
        <v>284.26666666666665</v>
      </c>
      <c r="P99" s="470">
        <f t="shared" si="112"/>
        <v>364</v>
      </c>
      <c r="Q99" s="472">
        <f t="shared" si="113"/>
        <v>315.46666666666664</v>
      </c>
    </row>
    <row r="100" spans="1:17" x14ac:dyDescent="0.35">
      <c r="A100" s="473" t="s">
        <v>935</v>
      </c>
      <c r="B100" s="65">
        <v>47</v>
      </c>
      <c r="C100" s="65">
        <v>84</v>
      </c>
      <c r="D100" s="65">
        <f t="shared" si="106"/>
        <v>3948</v>
      </c>
      <c r="E100" s="65" t="str">
        <f t="shared" si="101"/>
        <v>47 X 84</v>
      </c>
      <c r="F100" s="154">
        <f>+F82+45</f>
        <v>560</v>
      </c>
      <c r="G100" s="155">
        <f t="shared" si="107"/>
        <v>485.33333333333337</v>
      </c>
      <c r="H100" s="154">
        <f>+H82+45</f>
        <v>630</v>
      </c>
      <c r="I100" s="155">
        <f t="shared" si="108"/>
        <v>546</v>
      </c>
      <c r="J100" s="154">
        <f>+J82+45</f>
        <v>136</v>
      </c>
      <c r="K100" s="155">
        <f t="shared" si="109"/>
        <v>117.86666666666666</v>
      </c>
      <c r="L100" s="154">
        <f t="shared" si="115"/>
        <v>38</v>
      </c>
      <c r="M100" s="155">
        <f t="shared" si="110"/>
        <v>32.93333333333333</v>
      </c>
      <c r="N100" s="154">
        <f t="shared" si="105"/>
        <v>448</v>
      </c>
      <c r="O100" s="155">
        <f t="shared" si="111"/>
        <v>388.26666666666665</v>
      </c>
      <c r="P100" s="154">
        <f t="shared" si="112"/>
        <v>504</v>
      </c>
      <c r="Q100" s="474">
        <f t="shared" si="113"/>
        <v>436.8</v>
      </c>
    </row>
    <row r="101" spans="1:17" x14ac:dyDescent="0.35">
      <c r="A101" s="473" t="s">
        <v>935</v>
      </c>
      <c r="B101" s="65">
        <v>54</v>
      </c>
      <c r="C101" s="65">
        <v>84</v>
      </c>
      <c r="D101" s="65">
        <f t="shared" si="106"/>
        <v>4536</v>
      </c>
      <c r="E101" s="65" t="str">
        <f t="shared" si="101"/>
        <v>54 X 84</v>
      </c>
      <c r="F101" s="154">
        <f>+F83+45</f>
        <v>585</v>
      </c>
      <c r="G101" s="155">
        <f t="shared" si="107"/>
        <v>507</v>
      </c>
      <c r="H101" s="154">
        <f>+H83+45</f>
        <v>655</v>
      </c>
      <c r="I101" s="155">
        <f t="shared" si="108"/>
        <v>567.66666666666663</v>
      </c>
      <c r="J101" s="154">
        <f>+J83+45</f>
        <v>138</v>
      </c>
      <c r="K101" s="155">
        <f t="shared" si="109"/>
        <v>119.6</v>
      </c>
      <c r="L101" s="154">
        <f t="shared" si="115"/>
        <v>40</v>
      </c>
      <c r="M101" s="155">
        <f t="shared" si="110"/>
        <v>34.666666666666664</v>
      </c>
      <c r="N101" s="154">
        <f t="shared" si="105"/>
        <v>468</v>
      </c>
      <c r="O101" s="155">
        <f t="shared" si="111"/>
        <v>405.59999999999997</v>
      </c>
      <c r="P101" s="154">
        <f t="shared" si="112"/>
        <v>524</v>
      </c>
      <c r="Q101" s="474">
        <f t="shared" si="113"/>
        <v>454.13333333333327</v>
      </c>
    </row>
    <row r="102" spans="1:17" x14ac:dyDescent="0.35">
      <c r="A102" s="473" t="s">
        <v>935</v>
      </c>
      <c r="B102" s="65">
        <v>60</v>
      </c>
      <c r="C102" s="65">
        <v>84</v>
      </c>
      <c r="D102" s="65">
        <f t="shared" si="106"/>
        <v>5040</v>
      </c>
      <c r="E102" s="65" t="str">
        <f t="shared" si="101"/>
        <v>60 X 84</v>
      </c>
      <c r="F102" s="154">
        <f>+F84+45</f>
        <v>595</v>
      </c>
      <c r="G102" s="155">
        <f t="shared" si="107"/>
        <v>515.66666666666663</v>
      </c>
      <c r="H102" s="154">
        <f>+H84+45</f>
        <v>665</v>
      </c>
      <c r="I102" s="155">
        <f t="shared" si="108"/>
        <v>576.33333333333337</v>
      </c>
      <c r="J102" s="154">
        <f>+J84+45</f>
        <v>138</v>
      </c>
      <c r="K102" s="155">
        <f t="shared" si="109"/>
        <v>119.6</v>
      </c>
      <c r="L102" s="154">
        <f t="shared" si="115"/>
        <v>40</v>
      </c>
      <c r="M102" s="155">
        <f t="shared" si="110"/>
        <v>34.666666666666664</v>
      </c>
      <c r="N102" s="154">
        <f t="shared" si="105"/>
        <v>476</v>
      </c>
      <c r="O102" s="155">
        <f t="shared" si="111"/>
        <v>412.53333333333336</v>
      </c>
      <c r="P102" s="154">
        <f t="shared" si="112"/>
        <v>532</v>
      </c>
      <c r="Q102" s="474">
        <f t="shared" si="113"/>
        <v>461.06666666666672</v>
      </c>
    </row>
    <row r="103" spans="1:17" x14ac:dyDescent="0.35">
      <c r="A103" s="473" t="s">
        <v>935</v>
      </c>
      <c r="B103" s="65">
        <v>72</v>
      </c>
      <c r="C103" s="65">
        <v>84</v>
      </c>
      <c r="D103" s="65">
        <f t="shared" si="106"/>
        <v>6048</v>
      </c>
      <c r="E103" s="65" t="str">
        <f t="shared" si="101"/>
        <v>72 X 84</v>
      </c>
      <c r="F103" s="154">
        <f>+F85+45</f>
        <v>605</v>
      </c>
      <c r="G103" s="155">
        <f t="shared" si="107"/>
        <v>524.33333333333337</v>
      </c>
      <c r="H103" s="154">
        <f>+H85+45</f>
        <v>675</v>
      </c>
      <c r="I103" s="155">
        <f t="shared" si="108"/>
        <v>585</v>
      </c>
      <c r="J103" s="154">
        <f>+J85+45</f>
        <v>154</v>
      </c>
      <c r="K103" s="155">
        <f t="shared" si="109"/>
        <v>133.46666666666667</v>
      </c>
      <c r="L103" s="154">
        <f t="shared" si="115"/>
        <v>41</v>
      </c>
      <c r="M103" s="155">
        <f t="shared" si="110"/>
        <v>35.533333333333331</v>
      </c>
      <c r="N103" s="154">
        <f t="shared" si="105"/>
        <v>484</v>
      </c>
      <c r="O103" s="155">
        <f t="shared" si="111"/>
        <v>419.46666666666664</v>
      </c>
      <c r="P103" s="154">
        <f t="shared" si="112"/>
        <v>540</v>
      </c>
      <c r="Q103" s="474">
        <f t="shared" si="113"/>
        <v>468</v>
      </c>
    </row>
    <row r="104" spans="1:17" x14ac:dyDescent="0.35">
      <c r="A104" s="473" t="s">
        <v>935</v>
      </c>
      <c r="B104" s="65">
        <v>72</v>
      </c>
      <c r="C104" s="65">
        <v>96</v>
      </c>
      <c r="D104" s="65">
        <f t="shared" si="106"/>
        <v>6912</v>
      </c>
      <c r="E104" s="65" t="str">
        <f t="shared" si="101"/>
        <v>72 X 96</v>
      </c>
      <c r="F104" s="154">
        <f>+F86+45</f>
        <v>615</v>
      </c>
      <c r="G104" s="155">
        <f t="shared" si="107"/>
        <v>533</v>
      </c>
      <c r="H104" s="154">
        <f>+H86+45</f>
        <v>685</v>
      </c>
      <c r="I104" s="155">
        <f t="shared" si="108"/>
        <v>593.66666666666663</v>
      </c>
      <c r="J104" s="154">
        <f>+J86+45</f>
        <v>155</v>
      </c>
      <c r="K104" s="155">
        <f t="shared" si="109"/>
        <v>134.33333333333334</v>
      </c>
      <c r="L104" s="154">
        <f t="shared" si="115"/>
        <v>42</v>
      </c>
      <c r="M104" s="155">
        <f t="shared" si="110"/>
        <v>36.4</v>
      </c>
      <c r="N104" s="154">
        <f t="shared" si="105"/>
        <v>492</v>
      </c>
      <c r="O104" s="155">
        <f t="shared" si="111"/>
        <v>426.4</v>
      </c>
      <c r="P104" s="154">
        <f t="shared" si="112"/>
        <v>548</v>
      </c>
      <c r="Q104" s="474">
        <f t="shared" si="113"/>
        <v>474.93333333333328</v>
      </c>
    </row>
    <row r="105" spans="1:17" x14ac:dyDescent="0.35">
      <c r="A105" s="473" t="s">
        <v>935</v>
      </c>
      <c r="B105" s="65">
        <v>84</v>
      </c>
      <c r="C105" s="65">
        <v>84</v>
      </c>
      <c r="D105" s="65">
        <f t="shared" si="106"/>
        <v>7056</v>
      </c>
      <c r="E105" s="65" t="str">
        <f t="shared" si="101"/>
        <v>84 X 84</v>
      </c>
      <c r="F105" s="154">
        <f>+F87+60</f>
        <v>670</v>
      </c>
      <c r="G105" s="155">
        <f t="shared" si="107"/>
        <v>580.66666666666663</v>
      </c>
      <c r="H105" s="154">
        <f>+H87+60</f>
        <v>775</v>
      </c>
      <c r="I105" s="155">
        <f t="shared" si="108"/>
        <v>671.66666666666663</v>
      </c>
      <c r="J105" s="154">
        <f>+J87+60</f>
        <v>187</v>
      </c>
      <c r="K105" s="155">
        <f t="shared" si="109"/>
        <v>162.06666666666666</v>
      </c>
      <c r="L105" s="154">
        <f t="shared" si="115"/>
        <v>47</v>
      </c>
      <c r="M105" s="155">
        <f t="shared" si="110"/>
        <v>40.733333333333334</v>
      </c>
      <c r="N105" s="154">
        <f t="shared" si="105"/>
        <v>536</v>
      </c>
      <c r="O105" s="155">
        <f t="shared" si="111"/>
        <v>464.53333333333336</v>
      </c>
      <c r="P105" s="154">
        <f t="shared" si="112"/>
        <v>620</v>
      </c>
      <c r="Q105" s="474">
        <f t="shared" si="113"/>
        <v>537.33333333333337</v>
      </c>
    </row>
    <row r="106" spans="1:17" x14ac:dyDescent="0.35">
      <c r="A106" s="473" t="s">
        <v>935</v>
      </c>
      <c r="B106" s="65">
        <v>84</v>
      </c>
      <c r="C106" s="65">
        <v>96</v>
      </c>
      <c r="D106" s="65">
        <f t="shared" si="106"/>
        <v>8064</v>
      </c>
      <c r="E106" s="65" t="str">
        <f t="shared" si="101"/>
        <v>84 X 96</v>
      </c>
      <c r="F106" s="154">
        <f>+F88+60</f>
        <v>700</v>
      </c>
      <c r="G106" s="155">
        <f t="shared" si="107"/>
        <v>606.66666666666663</v>
      </c>
      <c r="H106" s="154">
        <f>+H88+60</f>
        <v>805</v>
      </c>
      <c r="I106" s="155">
        <f t="shared" si="108"/>
        <v>697.66666666666663</v>
      </c>
      <c r="J106" s="154">
        <f>+J88+60</f>
        <v>189</v>
      </c>
      <c r="K106" s="155">
        <f t="shared" si="109"/>
        <v>163.79999999999998</v>
      </c>
      <c r="L106" s="154">
        <f t="shared" si="115"/>
        <v>49</v>
      </c>
      <c r="M106" s="155">
        <f t="shared" si="110"/>
        <v>42.466666666666669</v>
      </c>
      <c r="N106" s="154">
        <f t="shared" si="105"/>
        <v>560</v>
      </c>
      <c r="O106" s="155">
        <f t="shared" si="111"/>
        <v>485.33333333333337</v>
      </c>
      <c r="P106" s="154">
        <f t="shared" si="112"/>
        <v>644</v>
      </c>
      <c r="Q106" s="474">
        <f t="shared" si="113"/>
        <v>558.13333333333333</v>
      </c>
    </row>
    <row r="107" spans="1:17" x14ac:dyDescent="0.35">
      <c r="A107" s="473" t="s">
        <v>935</v>
      </c>
      <c r="B107" s="65">
        <v>96</v>
      </c>
      <c r="C107" s="65">
        <v>96</v>
      </c>
      <c r="D107" s="65">
        <f t="shared" si="106"/>
        <v>9216</v>
      </c>
      <c r="E107" s="65" t="str">
        <f t="shared" si="101"/>
        <v>96 X 96</v>
      </c>
      <c r="F107" s="154">
        <f>+F89+60</f>
        <v>835</v>
      </c>
      <c r="G107" s="155">
        <f t="shared" si="107"/>
        <v>723.66666666666663</v>
      </c>
      <c r="H107" s="154">
        <f>+H89+60</f>
        <v>940</v>
      </c>
      <c r="I107" s="155">
        <f t="shared" si="108"/>
        <v>814.66666666666663</v>
      </c>
      <c r="J107" s="154">
        <f>+J89+60</f>
        <v>227</v>
      </c>
      <c r="K107" s="155">
        <f t="shared" si="109"/>
        <v>196.73333333333332</v>
      </c>
      <c r="L107" s="154">
        <f t="shared" si="115"/>
        <v>57</v>
      </c>
      <c r="M107" s="155">
        <f t="shared" si="110"/>
        <v>49.4</v>
      </c>
      <c r="N107" s="154">
        <f t="shared" si="105"/>
        <v>668</v>
      </c>
      <c r="O107" s="155">
        <f t="shared" si="111"/>
        <v>578.93333333333328</v>
      </c>
      <c r="P107" s="154">
        <f t="shared" si="112"/>
        <v>752</v>
      </c>
      <c r="Q107" s="474">
        <f t="shared" si="113"/>
        <v>651.73333333333335</v>
      </c>
    </row>
    <row r="108" spans="1:17" x14ac:dyDescent="0.35">
      <c r="A108" s="473" t="s">
        <v>935</v>
      </c>
      <c r="B108" s="65">
        <v>96</v>
      </c>
      <c r="C108" s="65">
        <v>120</v>
      </c>
      <c r="D108" s="65">
        <f t="shared" si="106"/>
        <v>11520</v>
      </c>
      <c r="E108" s="65" t="str">
        <f t="shared" si="101"/>
        <v>96 X 120</v>
      </c>
      <c r="F108" s="154">
        <f>+F90+75</f>
        <v>900</v>
      </c>
      <c r="G108" s="155">
        <f t="shared" si="107"/>
        <v>780</v>
      </c>
      <c r="H108" s="154">
        <f>+H90+75</f>
        <v>1005</v>
      </c>
      <c r="I108" s="155">
        <f t="shared" si="108"/>
        <v>871</v>
      </c>
      <c r="J108" s="154">
        <f>+J90+75</f>
        <v>245</v>
      </c>
      <c r="K108" s="155">
        <f t="shared" si="109"/>
        <v>212.33333333333331</v>
      </c>
      <c r="L108" s="154">
        <f t="shared" si="115"/>
        <v>61</v>
      </c>
      <c r="M108" s="155">
        <f t="shared" si="110"/>
        <v>52.86666666666666</v>
      </c>
      <c r="N108" s="154">
        <f t="shared" si="105"/>
        <v>720</v>
      </c>
      <c r="O108" s="155">
        <f t="shared" si="111"/>
        <v>624</v>
      </c>
      <c r="P108" s="154">
        <f t="shared" si="112"/>
        <v>804</v>
      </c>
      <c r="Q108" s="474">
        <f t="shared" si="113"/>
        <v>696.80000000000007</v>
      </c>
    </row>
    <row r="109" spans="1:17" x14ac:dyDescent="0.35">
      <c r="A109" s="473" t="s">
        <v>935</v>
      </c>
      <c r="B109" s="65">
        <v>102</v>
      </c>
      <c r="C109" s="65">
        <v>132</v>
      </c>
      <c r="D109" s="65">
        <f t="shared" si="106"/>
        <v>13464</v>
      </c>
      <c r="E109" s="65" t="str">
        <f t="shared" si="101"/>
        <v>102 X 132</v>
      </c>
      <c r="F109" s="154">
        <f>+F91+75</f>
        <v>960</v>
      </c>
      <c r="G109" s="155">
        <f t="shared" si="107"/>
        <v>832</v>
      </c>
      <c r="H109" s="154">
        <f>+H91+75</f>
        <v>1065</v>
      </c>
      <c r="I109" s="155">
        <f t="shared" si="108"/>
        <v>923</v>
      </c>
      <c r="J109" s="154">
        <f>+J91+75</f>
        <v>279</v>
      </c>
      <c r="K109" s="155">
        <f t="shared" si="109"/>
        <v>241.8</v>
      </c>
      <c r="L109" s="154">
        <f t="shared" si="115"/>
        <v>64</v>
      </c>
      <c r="M109" s="155">
        <f t="shared" si="110"/>
        <v>55.466666666666669</v>
      </c>
      <c r="N109" s="154">
        <f t="shared" si="105"/>
        <v>768</v>
      </c>
      <c r="O109" s="155">
        <f t="shared" si="111"/>
        <v>665.6</v>
      </c>
      <c r="P109" s="154">
        <f t="shared" si="112"/>
        <v>852</v>
      </c>
      <c r="Q109" s="474">
        <f t="shared" si="113"/>
        <v>738.4</v>
      </c>
    </row>
    <row r="110" spans="1:17" x14ac:dyDescent="0.35">
      <c r="A110" s="473" t="s">
        <v>935</v>
      </c>
      <c r="B110" s="65">
        <v>100</v>
      </c>
      <c r="C110" s="65">
        <v>144</v>
      </c>
      <c r="D110" s="65">
        <f t="shared" si="106"/>
        <v>14400</v>
      </c>
      <c r="E110" s="65" t="str">
        <f t="shared" si="101"/>
        <v>100 X 144</v>
      </c>
      <c r="F110" s="154">
        <f>+F92+75</f>
        <v>1005</v>
      </c>
      <c r="G110" s="155">
        <f t="shared" si="107"/>
        <v>871</v>
      </c>
      <c r="H110" s="154">
        <f>+H92+75</f>
        <v>1110</v>
      </c>
      <c r="I110" s="155">
        <f t="shared" si="108"/>
        <v>962</v>
      </c>
      <c r="J110" s="154">
        <f>+J92+75</f>
        <v>281</v>
      </c>
      <c r="K110" s="155">
        <f t="shared" si="109"/>
        <v>243.53333333333336</v>
      </c>
      <c r="L110" s="154">
        <f t="shared" si="115"/>
        <v>67</v>
      </c>
      <c r="M110" s="155">
        <f t="shared" si="110"/>
        <v>58.06666666666667</v>
      </c>
      <c r="N110" s="154">
        <f t="shared" si="105"/>
        <v>804</v>
      </c>
      <c r="O110" s="155">
        <f t="shared" si="111"/>
        <v>696.80000000000007</v>
      </c>
      <c r="P110" s="154">
        <f t="shared" si="112"/>
        <v>888</v>
      </c>
      <c r="Q110" s="474">
        <f t="shared" si="113"/>
        <v>769.6</v>
      </c>
    </row>
    <row r="111" spans="1:17" x14ac:dyDescent="0.35">
      <c r="A111" s="473" t="s">
        <v>935</v>
      </c>
      <c r="B111" s="65">
        <v>100</v>
      </c>
      <c r="C111" s="65">
        <v>156</v>
      </c>
      <c r="D111" s="65">
        <f t="shared" si="106"/>
        <v>15600</v>
      </c>
      <c r="E111" s="65" t="str">
        <f t="shared" si="101"/>
        <v>100 X 156</v>
      </c>
      <c r="F111" s="154">
        <f>+F93+115</f>
        <v>1300</v>
      </c>
      <c r="G111" s="155">
        <f t="shared" si="107"/>
        <v>1126.6666666666667</v>
      </c>
      <c r="H111" s="154">
        <f>+H93+115</f>
        <v>1450</v>
      </c>
      <c r="I111" s="155">
        <f t="shared" si="108"/>
        <v>1256.6666666666667</v>
      </c>
      <c r="J111" s="154">
        <f>+J93+115</f>
        <v>337</v>
      </c>
      <c r="K111" s="155">
        <f t="shared" si="109"/>
        <v>292.06666666666666</v>
      </c>
      <c r="L111" s="154">
        <f t="shared" si="115"/>
        <v>87</v>
      </c>
      <c r="M111" s="155">
        <f t="shared" si="110"/>
        <v>75.399999999999991</v>
      </c>
      <c r="N111" s="154">
        <f t="shared" si="105"/>
        <v>1040</v>
      </c>
      <c r="O111" s="155">
        <f t="shared" si="111"/>
        <v>901.33333333333326</v>
      </c>
      <c r="P111" s="154">
        <f t="shared" si="112"/>
        <v>1160</v>
      </c>
      <c r="Q111" s="474">
        <f t="shared" si="113"/>
        <v>1005.3333333333333</v>
      </c>
    </row>
    <row r="112" spans="1:17" x14ac:dyDescent="0.35">
      <c r="A112" s="473" t="s">
        <v>935</v>
      </c>
      <c r="B112" s="65">
        <v>100</v>
      </c>
      <c r="C112" s="65">
        <v>168</v>
      </c>
      <c r="D112" s="65">
        <f t="shared" si="106"/>
        <v>16800</v>
      </c>
      <c r="E112" s="65" t="str">
        <f t="shared" si="101"/>
        <v>100 X 168</v>
      </c>
      <c r="F112" s="154">
        <f>+F94+115</f>
        <v>1345</v>
      </c>
      <c r="G112" s="155">
        <f t="shared" si="107"/>
        <v>1165.6666666666667</v>
      </c>
      <c r="H112" s="154">
        <f>+H94+115</f>
        <v>1495</v>
      </c>
      <c r="I112" s="155">
        <f t="shared" si="108"/>
        <v>1295.6666666666667</v>
      </c>
      <c r="J112" s="154">
        <f>+J94+115</f>
        <v>339</v>
      </c>
      <c r="K112" s="155">
        <f t="shared" si="109"/>
        <v>293.8</v>
      </c>
      <c r="L112" s="154">
        <f t="shared" si="115"/>
        <v>90</v>
      </c>
      <c r="M112" s="155">
        <f t="shared" si="110"/>
        <v>78</v>
      </c>
      <c r="N112" s="154">
        <f t="shared" si="105"/>
        <v>1076</v>
      </c>
      <c r="O112" s="155">
        <f t="shared" si="111"/>
        <v>932.5333333333333</v>
      </c>
      <c r="P112" s="154">
        <f t="shared" si="112"/>
        <v>1196</v>
      </c>
      <c r="Q112" s="474">
        <f t="shared" si="113"/>
        <v>1036.5333333333333</v>
      </c>
    </row>
    <row r="113" spans="1:17" x14ac:dyDescent="0.35">
      <c r="A113" s="473" t="s">
        <v>935</v>
      </c>
      <c r="B113" s="65">
        <v>100</v>
      </c>
      <c r="C113" s="65">
        <v>180</v>
      </c>
      <c r="D113" s="65">
        <f t="shared" si="106"/>
        <v>18000</v>
      </c>
      <c r="E113" s="65" t="str">
        <f t="shared" si="101"/>
        <v>100 X 180</v>
      </c>
      <c r="F113" s="154">
        <f>+F95+115</f>
        <v>1445</v>
      </c>
      <c r="G113" s="155">
        <f t="shared" si="107"/>
        <v>1252.3333333333333</v>
      </c>
      <c r="H113" s="154">
        <f>+H95+115</f>
        <v>1595</v>
      </c>
      <c r="I113" s="155">
        <f t="shared" si="108"/>
        <v>1382.3333333333333</v>
      </c>
      <c r="J113" s="154">
        <f>+J95+115</f>
        <v>345</v>
      </c>
      <c r="K113" s="155">
        <f t="shared" si="109"/>
        <v>299</v>
      </c>
      <c r="L113" s="154">
        <f t="shared" si="115"/>
        <v>96</v>
      </c>
      <c r="M113" s="155">
        <f t="shared" si="110"/>
        <v>83.2</v>
      </c>
      <c r="N113" s="154">
        <f t="shared" si="105"/>
        <v>1156</v>
      </c>
      <c r="O113" s="155">
        <f t="shared" si="111"/>
        <v>1001.8666666666666</v>
      </c>
      <c r="P113" s="154">
        <f t="shared" si="112"/>
        <v>1276</v>
      </c>
      <c r="Q113" s="474">
        <f t="shared" si="113"/>
        <v>1105.8666666666666</v>
      </c>
    </row>
    <row r="114" spans="1:17" x14ac:dyDescent="0.35">
      <c r="A114" s="473" t="s">
        <v>935</v>
      </c>
      <c r="B114" s="65">
        <v>100</v>
      </c>
      <c r="C114" s="65">
        <v>192</v>
      </c>
      <c r="D114" s="65">
        <f t="shared" si="106"/>
        <v>19200</v>
      </c>
      <c r="E114" s="65" t="str">
        <f t="shared" si="101"/>
        <v>100 X 192</v>
      </c>
      <c r="F114" s="154">
        <f>+F96+145</f>
        <v>1550</v>
      </c>
      <c r="G114" s="155">
        <f t="shared" si="107"/>
        <v>1343.3333333333333</v>
      </c>
      <c r="H114" s="154">
        <f>+H96+145</f>
        <v>1700</v>
      </c>
      <c r="I114" s="155">
        <f t="shared" si="108"/>
        <v>1473.3333333333333</v>
      </c>
      <c r="J114" s="154">
        <f>+J96+145</f>
        <v>380</v>
      </c>
      <c r="K114" s="155">
        <f t="shared" si="109"/>
        <v>329.33333333333331</v>
      </c>
      <c r="L114" s="154">
        <f t="shared" si="115"/>
        <v>102</v>
      </c>
      <c r="M114" s="155">
        <f t="shared" si="110"/>
        <v>88.399999999999991</v>
      </c>
      <c r="N114" s="154">
        <f t="shared" si="105"/>
        <v>1240</v>
      </c>
      <c r="O114" s="155">
        <f t="shared" si="111"/>
        <v>1074.6666666666667</v>
      </c>
      <c r="P114" s="154">
        <f t="shared" si="112"/>
        <v>1360</v>
      </c>
      <c r="Q114" s="474">
        <f t="shared" si="113"/>
        <v>1178.6666666666667</v>
      </c>
    </row>
    <row r="115" spans="1:17" x14ac:dyDescent="0.35">
      <c r="A115" s="473" t="s">
        <v>935</v>
      </c>
      <c r="B115" s="65">
        <v>100</v>
      </c>
      <c r="C115" s="65">
        <v>204</v>
      </c>
      <c r="D115" s="65">
        <f t="shared" si="106"/>
        <v>20400</v>
      </c>
      <c r="E115" s="65" t="str">
        <f t="shared" si="101"/>
        <v>100 X 204</v>
      </c>
      <c r="F115" s="154">
        <f>+F97+145</f>
        <v>1640</v>
      </c>
      <c r="G115" s="155">
        <f t="shared" si="107"/>
        <v>1421.3333333333333</v>
      </c>
      <c r="H115" s="154">
        <f>+H97+145</f>
        <v>1790</v>
      </c>
      <c r="I115" s="155">
        <f t="shared" si="108"/>
        <v>1551.3333333333333</v>
      </c>
      <c r="J115" s="154">
        <f>+J97+145</f>
        <v>385</v>
      </c>
      <c r="K115" s="155">
        <f t="shared" si="109"/>
        <v>333.66666666666669</v>
      </c>
      <c r="L115" s="154">
        <f t="shared" si="115"/>
        <v>108</v>
      </c>
      <c r="M115" s="155">
        <f t="shared" si="110"/>
        <v>93.600000000000009</v>
      </c>
      <c r="N115" s="154">
        <f t="shared" si="105"/>
        <v>1312</v>
      </c>
      <c r="O115" s="155">
        <f t="shared" si="111"/>
        <v>1137.0666666666666</v>
      </c>
      <c r="P115" s="154">
        <f t="shared" si="112"/>
        <v>1432</v>
      </c>
      <c r="Q115" s="474">
        <f t="shared" si="113"/>
        <v>1241.0666666666666</v>
      </c>
    </row>
    <row r="116" spans="1:17" ht="16" thickBot="1" x14ac:dyDescent="0.4">
      <c r="A116" s="475" t="s">
        <v>935</v>
      </c>
      <c r="B116" s="476">
        <v>100</v>
      </c>
      <c r="C116" s="476">
        <v>216</v>
      </c>
      <c r="D116" s="476">
        <f t="shared" si="106"/>
        <v>21600</v>
      </c>
      <c r="E116" s="476" t="str">
        <f t="shared" si="101"/>
        <v>100 X 216</v>
      </c>
      <c r="F116" s="477">
        <f>+F98+145</f>
        <v>1775</v>
      </c>
      <c r="G116" s="478">
        <f t="shared" si="107"/>
        <v>1538.3333333333333</v>
      </c>
      <c r="H116" s="477">
        <f>+H98+145</f>
        <v>1925</v>
      </c>
      <c r="I116" s="478">
        <f t="shared" si="108"/>
        <v>1668.3333333333335</v>
      </c>
      <c r="J116" s="477">
        <f>+J98+145</f>
        <v>393</v>
      </c>
      <c r="K116" s="478">
        <f t="shared" si="109"/>
        <v>340.59999999999997</v>
      </c>
      <c r="L116" s="477">
        <f t="shared" si="115"/>
        <v>116</v>
      </c>
      <c r="M116" s="478">
        <f t="shared" si="110"/>
        <v>100.53333333333333</v>
      </c>
      <c r="N116" s="477">
        <f t="shared" si="105"/>
        <v>1420</v>
      </c>
      <c r="O116" s="478">
        <f t="shared" si="111"/>
        <v>1230.6666666666667</v>
      </c>
      <c r="P116" s="477">
        <f t="shared" si="112"/>
        <v>1540</v>
      </c>
      <c r="Q116" s="479">
        <f t="shared" si="113"/>
        <v>1334.6666666666667</v>
      </c>
    </row>
    <row r="117" spans="1:17" x14ac:dyDescent="0.35">
      <c r="A117" s="496" t="s">
        <v>935</v>
      </c>
      <c r="B117" s="65">
        <v>100</v>
      </c>
      <c r="C117" s="65">
        <v>240</v>
      </c>
      <c r="D117" s="65">
        <f t="shared" si="106"/>
        <v>24000</v>
      </c>
      <c r="E117" s="65" t="str">
        <f t="shared" si="101"/>
        <v>100 X 240</v>
      </c>
      <c r="F117" s="494">
        <f>+F116+350</f>
        <v>2125</v>
      </c>
      <c r="G117" s="155">
        <f t="shared" si="107"/>
        <v>1841.6666666666665</v>
      </c>
      <c r="H117" s="494">
        <v>2550.5</v>
      </c>
      <c r="I117" s="155">
        <f t="shared" si="108"/>
        <v>2210.4333333333334</v>
      </c>
      <c r="J117" s="154">
        <f>+J98+250</f>
        <v>498</v>
      </c>
      <c r="K117" s="155">
        <f t="shared" si="109"/>
        <v>431.6</v>
      </c>
      <c r="L117" s="154">
        <f t="shared" ref="L117" si="119">+J117+25</f>
        <v>523</v>
      </c>
      <c r="M117" s="155">
        <f t="shared" si="110"/>
        <v>453.26666666666665</v>
      </c>
      <c r="N117" s="154">
        <f t="shared" si="105"/>
        <v>1700</v>
      </c>
      <c r="O117" s="155">
        <f t="shared" si="111"/>
        <v>1473.3333333333333</v>
      </c>
      <c r="P117" s="154">
        <f t="shared" si="112"/>
        <v>2041</v>
      </c>
      <c r="Q117" s="155">
        <f t="shared" si="113"/>
        <v>1768.8666666666666</v>
      </c>
    </row>
  </sheetData>
  <mergeCells count="8">
    <mergeCell ref="W1:W2"/>
    <mergeCell ref="U1:V2"/>
    <mergeCell ref="U4:V4"/>
    <mergeCell ref="A62:B63"/>
    <mergeCell ref="C62:C63"/>
    <mergeCell ref="A61:Q61"/>
    <mergeCell ref="A1:B2"/>
    <mergeCell ref="C1:C2"/>
  </mergeCells>
  <pageMargins left="0.7" right="0.7" top="0.75" bottom="0.75" header="0.3" footer="0.3"/>
  <pageSetup orientation="portrait" horizontalDpi="360" verticalDpi="360" r:id="rId1"/>
  <ignoredErrors>
    <ignoredError sqref="J8:K14 G59 I41:I57 G41:G57 H22:H40 I59 K59 J23:K57 K22 M59:P59 M22:P57 L22:L59 H5 J5:P5 L8:P20 K15:K20 H8:H20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33CB0-91E7-4F58-9A79-0BDC99885103}">
  <sheetPr codeName="Sheet10">
    <tabColor rgb="FF92D050"/>
  </sheetPr>
  <dimension ref="A2:Y149"/>
  <sheetViews>
    <sheetView showGridLines="0" topLeftCell="A34" zoomScaleNormal="100" workbookViewId="0">
      <selection activeCell="H220" sqref="H220"/>
    </sheetView>
  </sheetViews>
  <sheetFormatPr defaultColWidth="8.58203125" defaultRowHeight="13" x14ac:dyDescent="0.35"/>
  <cols>
    <col min="1" max="2" width="12.33203125" style="263" customWidth="1"/>
    <col min="3" max="3" width="33.08203125" style="246" bestFit="1" customWidth="1"/>
    <col min="4" max="4" width="32.58203125" style="264" bestFit="1" customWidth="1"/>
    <col min="5" max="5" width="13.83203125" style="246" customWidth="1"/>
    <col min="6" max="6" width="15.33203125" style="246" customWidth="1"/>
    <col min="7" max="7" width="4.33203125" style="246" customWidth="1"/>
    <col min="8" max="8" width="30.08203125" style="247" bestFit="1" customWidth="1"/>
    <col min="9" max="9" width="32.58203125" style="247" bestFit="1" customWidth="1"/>
    <col min="10" max="10" width="12.08203125" style="246" customWidth="1"/>
    <col min="11" max="11" width="13.33203125" style="246" customWidth="1"/>
    <col min="12" max="12" width="3.58203125" style="246" customWidth="1"/>
    <col min="13" max="13" width="38.25" style="246" bestFit="1" customWidth="1"/>
    <col min="14" max="14" width="38.08203125" style="246" bestFit="1" customWidth="1"/>
    <col min="15" max="15" width="11.75" style="246" customWidth="1"/>
    <col min="16" max="16" width="15" style="246" customWidth="1"/>
    <col min="17" max="18" width="8.58203125" style="246"/>
    <col min="19" max="19" width="29.33203125" style="246" bestFit="1" customWidth="1"/>
    <col min="20" max="20" width="20.5" style="246" bestFit="1" customWidth="1"/>
    <col min="21" max="23" width="8.58203125" style="246"/>
    <col min="24" max="24" width="20.25" style="246" bestFit="1" customWidth="1"/>
    <col min="25" max="25" width="5.58203125" style="246" bestFit="1" customWidth="1"/>
    <col min="26" max="16384" width="8.58203125" style="246"/>
  </cols>
  <sheetData>
    <row r="2" spans="1:25" ht="15.65" customHeight="1" x14ac:dyDescent="0.35">
      <c r="A2" s="795" t="s">
        <v>28</v>
      </c>
      <c r="B2" s="796"/>
      <c r="C2" s="244" t="s">
        <v>29</v>
      </c>
      <c r="D2" s="245"/>
      <c r="E2" s="244" t="s">
        <v>31</v>
      </c>
      <c r="F2" s="245"/>
      <c r="J2" s="247"/>
      <c r="K2" s="247"/>
    </row>
    <row r="3" spans="1:25" ht="15.65" customHeight="1" x14ac:dyDescent="0.3">
      <c r="A3" s="797"/>
      <c r="B3" s="798"/>
      <c r="C3" s="248" t="s">
        <v>30</v>
      </c>
      <c r="D3" s="249"/>
      <c r="L3" s="250"/>
      <c r="S3" s="821"/>
      <c r="T3" s="821"/>
      <c r="X3" s="822"/>
      <c r="Y3" s="822"/>
    </row>
    <row r="4" spans="1:25" x14ac:dyDescent="0.3">
      <c r="A4" s="797"/>
      <c r="B4" s="798"/>
      <c r="C4" s="251"/>
      <c r="D4" s="251"/>
      <c r="E4" s="251"/>
      <c r="F4" s="322"/>
      <c r="G4" s="278"/>
      <c r="H4" s="323"/>
      <c r="I4" s="251"/>
      <c r="J4" s="251"/>
      <c r="L4" s="250"/>
      <c r="S4" s="232"/>
      <c r="T4" s="233"/>
      <c r="X4" s="240"/>
      <c r="Y4" s="252"/>
    </row>
    <row r="5" spans="1:25" x14ac:dyDescent="0.3">
      <c r="A5" s="797"/>
      <c r="B5" s="798"/>
      <c r="C5" s="823" t="s">
        <v>33</v>
      </c>
      <c r="D5" s="824"/>
      <c r="E5" s="253"/>
      <c r="F5" s="829" t="s">
        <v>95</v>
      </c>
      <c r="G5" s="829"/>
      <c r="H5" s="829"/>
      <c r="I5" s="254" t="s">
        <v>96</v>
      </c>
      <c r="J5" s="255" t="s">
        <v>97</v>
      </c>
      <c r="L5" s="250"/>
      <c r="S5" s="232"/>
      <c r="T5" s="234"/>
      <c r="X5" s="240"/>
      <c r="Y5" s="256"/>
    </row>
    <row r="6" spans="1:25" ht="16" x14ac:dyDescent="0.3">
      <c r="A6" s="797"/>
      <c r="B6" s="798"/>
      <c r="C6" s="825" t="s">
        <v>34</v>
      </c>
      <c r="D6" s="50"/>
      <c r="E6" s="828" t="s">
        <v>34</v>
      </c>
      <c r="F6" s="818"/>
      <c r="G6" s="818"/>
      <c r="H6" s="818"/>
      <c r="I6" s="257" t="s">
        <v>100</v>
      </c>
      <c r="J6" s="258"/>
      <c r="L6" s="250"/>
      <c r="S6" s="232"/>
      <c r="T6" s="234"/>
      <c r="X6" s="259"/>
      <c r="Y6" s="252"/>
    </row>
    <row r="7" spans="1:25" ht="16" x14ac:dyDescent="0.3">
      <c r="A7" s="797"/>
      <c r="B7" s="798"/>
      <c r="C7" s="826"/>
      <c r="D7" s="50"/>
      <c r="E7" s="828"/>
      <c r="F7" s="818"/>
      <c r="G7" s="818"/>
      <c r="H7" s="818"/>
      <c r="L7" s="250"/>
      <c r="S7" s="235"/>
      <c r="T7" s="234"/>
      <c r="X7" s="259"/>
      <c r="Y7" s="252"/>
    </row>
    <row r="8" spans="1:25" ht="16" x14ac:dyDescent="0.3">
      <c r="A8" s="797"/>
      <c r="B8" s="798"/>
      <c r="C8" s="827"/>
      <c r="D8" s="50"/>
      <c r="E8" s="828"/>
      <c r="F8" s="818"/>
      <c r="G8" s="818"/>
      <c r="H8" s="818"/>
      <c r="L8" s="250"/>
      <c r="S8" s="235"/>
      <c r="T8" s="234"/>
      <c r="X8" s="259"/>
      <c r="Y8" s="252"/>
    </row>
    <row r="9" spans="1:25" ht="16" x14ac:dyDescent="0.3">
      <c r="A9" s="797"/>
      <c r="B9" s="798"/>
      <c r="C9" s="7" t="s">
        <v>105</v>
      </c>
      <c r="D9" s="50"/>
      <c r="E9" s="8" t="s">
        <v>105</v>
      </c>
      <c r="F9" s="818"/>
      <c r="G9" s="818"/>
      <c r="H9" s="818"/>
      <c r="L9" s="250"/>
      <c r="S9" s="236"/>
      <c r="T9" s="234"/>
      <c r="X9" s="259"/>
      <c r="Y9" s="260"/>
    </row>
    <row r="10" spans="1:25" ht="16" x14ac:dyDescent="0.3">
      <c r="A10" s="797"/>
      <c r="B10" s="798"/>
      <c r="C10" s="7" t="s">
        <v>7</v>
      </c>
      <c r="D10" s="261"/>
      <c r="E10" s="8" t="s">
        <v>7</v>
      </c>
      <c r="F10" s="819"/>
      <c r="G10" s="819"/>
      <c r="H10" s="819"/>
      <c r="L10" s="250"/>
      <c r="S10" s="232"/>
      <c r="T10" s="234"/>
      <c r="X10" s="262"/>
      <c r="Y10" s="262"/>
    </row>
    <row r="11" spans="1:25" ht="16" x14ac:dyDescent="0.3">
      <c r="A11" s="799"/>
      <c r="B11" s="800"/>
      <c r="C11" s="7" t="s">
        <v>9</v>
      </c>
      <c r="D11" s="50"/>
      <c r="E11" s="8" t="s">
        <v>9</v>
      </c>
      <c r="F11" s="818"/>
      <c r="G11" s="818"/>
      <c r="H11" s="818"/>
      <c r="L11" s="250"/>
      <c r="S11" s="232"/>
      <c r="T11" s="234"/>
      <c r="X11" s="262"/>
      <c r="Y11" s="262"/>
    </row>
    <row r="12" spans="1:25" x14ac:dyDescent="0.3">
      <c r="G12" s="247"/>
      <c r="L12" s="250"/>
      <c r="S12" s="237"/>
      <c r="T12" s="234"/>
      <c r="X12" s="240"/>
      <c r="Y12" s="252"/>
    </row>
    <row r="13" spans="1:25" x14ac:dyDescent="0.3">
      <c r="C13" s="265" t="s">
        <v>111</v>
      </c>
      <c r="D13" s="266"/>
      <c r="L13" s="250"/>
      <c r="S13" s="238"/>
      <c r="T13" s="239"/>
      <c r="X13" s="240"/>
      <c r="Y13" s="260"/>
    </row>
    <row r="14" spans="1:25" x14ac:dyDescent="0.3">
      <c r="C14" s="267" t="s">
        <v>114</v>
      </c>
      <c r="D14" s="268"/>
      <c r="L14" s="250"/>
      <c r="M14" s="250"/>
      <c r="N14" s="269"/>
    </row>
    <row r="15" spans="1:25" ht="15.65" customHeight="1" x14ac:dyDescent="0.3">
      <c r="A15" s="812" t="s">
        <v>115</v>
      </c>
      <c r="B15" s="813"/>
      <c r="C15" s="270" t="s">
        <v>116</v>
      </c>
      <c r="D15" s="801"/>
      <c r="E15" s="801"/>
      <c r="F15" s="801"/>
      <c r="G15" s="313" t="s">
        <v>117</v>
      </c>
      <c r="H15" s="271"/>
      <c r="L15" s="250"/>
      <c r="M15" s="250"/>
      <c r="N15" s="269"/>
    </row>
    <row r="16" spans="1:25" x14ac:dyDescent="0.3">
      <c r="A16" s="814"/>
      <c r="B16" s="815"/>
      <c r="C16" s="802"/>
      <c r="D16" s="803"/>
      <c r="E16" s="803"/>
      <c r="F16" s="804"/>
      <c r="G16" s="802"/>
      <c r="H16" s="804"/>
      <c r="L16" s="250"/>
    </row>
    <row r="17" spans="1:13" x14ac:dyDescent="0.35">
      <c r="A17" s="814"/>
      <c r="B17" s="815"/>
      <c r="C17" s="805"/>
      <c r="D17" s="806"/>
      <c r="E17" s="806"/>
      <c r="F17" s="807"/>
      <c r="G17" s="805"/>
      <c r="H17" s="807"/>
    </row>
    <row r="18" spans="1:13" x14ac:dyDescent="0.35">
      <c r="A18" s="814"/>
      <c r="B18" s="815"/>
      <c r="C18" s="805"/>
      <c r="D18" s="806"/>
      <c r="E18" s="806"/>
      <c r="F18" s="807"/>
      <c r="G18" s="805"/>
      <c r="H18" s="807"/>
    </row>
    <row r="19" spans="1:13" x14ac:dyDescent="0.35">
      <c r="A19" s="814"/>
      <c r="B19" s="815"/>
      <c r="C19" s="805"/>
      <c r="D19" s="806"/>
      <c r="E19" s="806"/>
      <c r="F19" s="807"/>
      <c r="G19" s="805"/>
      <c r="H19" s="807"/>
      <c r="J19" s="767" t="s">
        <v>118</v>
      </c>
      <c r="K19" s="767"/>
    </row>
    <row r="20" spans="1:13" x14ac:dyDescent="0.35">
      <c r="A20" s="814"/>
      <c r="B20" s="815"/>
      <c r="C20" s="805"/>
      <c r="D20" s="806"/>
      <c r="E20" s="806"/>
      <c r="F20" s="807"/>
      <c r="G20" s="805"/>
      <c r="H20" s="807"/>
      <c r="J20" s="285" t="s">
        <v>120</v>
      </c>
      <c r="K20" s="5"/>
    </row>
    <row r="21" spans="1:13" x14ac:dyDescent="0.35">
      <c r="A21" s="814"/>
      <c r="B21" s="815"/>
      <c r="C21" s="805"/>
      <c r="D21" s="806"/>
      <c r="E21" s="806"/>
      <c r="F21" s="807"/>
      <c r="G21" s="805"/>
      <c r="H21" s="807"/>
      <c r="J21" s="285" t="s">
        <v>121</v>
      </c>
      <c r="K21" s="287">
        <f>+K20/'Cal. Sheet Door 2'!$L$2</f>
        <v>0</v>
      </c>
    </row>
    <row r="22" spans="1:13" x14ac:dyDescent="0.35">
      <c r="A22" s="814"/>
      <c r="B22" s="815"/>
      <c r="C22" s="805"/>
      <c r="D22" s="806"/>
      <c r="E22" s="806"/>
      <c r="F22" s="807"/>
      <c r="G22" s="805"/>
      <c r="H22" s="807"/>
    </row>
    <row r="23" spans="1:13" x14ac:dyDescent="0.35">
      <c r="A23" s="814"/>
      <c r="B23" s="815"/>
      <c r="C23" s="805"/>
      <c r="D23" s="806"/>
      <c r="E23" s="806"/>
      <c r="F23" s="807"/>
      <c r="G23" s="805"/>
      <c r="H23" s="807"/>
      <c r="J23" s="247"/>
      <c r="K23" s="247"/>
    </row>
    <row r="24" spans="1:13" x14ac:dyDescent="0.35">
      <c r="A24" s="814"/>
      <c r="B24" s="815"/>
      <c r="C24" s="805"/>
      <c r="D24" s="806"/>
      <c r="E24" s="806"/>
      <c r="F24" s="807"/>
      <c r="G24" s="805"/>
      <c r="H24" s="807"/>
      <c r="J24" s="247"/>
      <c r="K24" s="247"/>
      <c r="M24" s="274"/>
    </row>
    <row r="25" spans="1:13" x14ac:dyDescent="0.35">
      <c r="A25" s="814"/>
      <c r="B25" s="815"/>
      <c r="C25" s="805"/>
      <c r="D25" s="806"/>
      <c r="E25" s="806"/>
      <c r="F25" s="807"/>
      <c r="G25" s="805"/>
      <c r="H25" s="807"/>
    </row>
    <row r="26" spans="1:13" x14ac:dyDescent="0.35">
      <c r="A26" s="816"/>
      <c r="B26" s="817"/>
      <c r="C26" s="808"/>
      <c r="D26" s="775"/>
      <c r="E26" s="775"/>
      <c r="F26" s="809"/>
      <c r="G26" s="808"/>
      <c r="H26" s="809"/>
    </row>
    <row r="27" spans="1:13" x14ac:dyDescent="0.35">
      <c r="A27" s="275"/>
      <c r="B27" s="275"/>
      <c r="C27" s="276"/>
      <c r="D27" s="277"/>
      <c r="E27" s="278"/>
      <c r="F27" s="278"/>
      <c r="G27" s="278"/>
      <c r="H27" s="278"/>
    </row>
    <row r="28" spans="1:13" x14ac:dyDescent="0.35">
      <c r="A28" s="275"/>
      <c r="B28" s="275"/>
      <c r="C28" s="247"/>
      <c r="D28" s="247"/>
      <c r="E28" s="247"/>
      <c r="F28" s="247"/>
      <c r="G28" s="247"/>
    </row>
    <row r="29" spans="1:13" x14ac:dyDescent="0.35">
      <c r="A29" s="275"/>
      <c r="B29" s="275"/>
      <c r="C29" s="820" t="str">
        <f>+CONCATENATE("DOOR 2 - ",D30)</f>
        <v>DOOR 2 - Power Operated Sliding door - Single horizontal Slide</v>
      </c>
      <c r="D29" s="820"/>
      <c r="E29" s="820"/>
      <c r="F29" s="820"/>
    </row>
    <row r="30" spans="1:13" x14ac:dyDescent="0.35">
      <c r="A30" s="784" t="s">
        <v>119</v>
      </c>
      <c r="B30" s="785"/>
      <c r="C30" s="279" t="s">
        <v>37</v>
      </c>
      <c r="D30" s="280" t="str">
        <f>+'Doors - Step 1'!$C28</f>
        <v>Power Operated Sliding door - Single horizontal Slide</v>
      </c>
    </row>
    <row r="31" spans="1:13" x14ac:dyDescent="0.35">
      <c r="A31" s="786"/>
      <c r="B31" s="787"/>
      <c r="C31" s="281" t="s">
        <v>47</v>
      </c>
      <c r="D31" s="280" t="str">
        <f>+'Doors - Step 1'!$C29</f>
        <v>Freezer</v>
      </c>
    </row>
    <row r="32" spans="1:13" x14ac:dyDescent="0.35">
      <c r="A32" s="786"/>
      <c r="B32" s="787"/>
      <c r="C32" s="281" t="s">
        <v>52</v>
      </c>
      <c r="D32" s="280" t="str">
        <f>+'Doors - Step 1'!$C30</f>
        <v>Wood</v>
      </c>
    </row>
    <row r="33" spans="1:6" x14ac:dyDescent="0.35">
      <c r="A33" s="786"/>
      <c r="B33" s="787"/>
      <c r="C33" s="281" t="s">
        <v>56</v>
      </c>
      <c r="D33" s="280" t="str">
        <f>+'Doors - Step 1'!$C31</f>
        <v>Motorized</v>
      </c>
      <c r="E33" s="748" t="str">
        <f>+IF(D33="Motorized","Please specify the voltage in Freezer Door in I45","")</f>
        <v>Please specify the voltage in Freezer Door in I45</v>
      </c>
      <c r="F33" s="749"/>
    </row>
    <row r="34" spans="1:6" x14ac:dyDescent="0.35">
      <c r="A34" s="786"/>
      <c r="B34" s="787"/>
      <c r="C34" s="283" t="s">
        <v>59</v>
      </c>
      <c r="D34" s="333">
        <f>+'Doors - Step 1'!$C32</f>
        <v>130</v>
      </c>
      <c r="E34" s="727" t="str">
        <f>+IF(D30="Polyfoam Overlap Doors - Swing Door",IF(D34&gt;72,"Length can't be greater than 72 inches",""),"")</f>
        <v/>
      </c>
      <c r="F34" s="728"/>
    </row>
    <row r="35" spans="1:6" x14ac:dyDescent="0.35">
      <c r="A35" s="786"/>
      <c r="B35" s="787"/>
      <c r="C35" s="283" t="s">
        <v>61</v>
      </c>
      <c r="D35" s="333">
        <f>+'Doors - Step 1'!$C33</f>
        <v>96</v>
      </c>
      <c r="E35" s="727" t="str">
        <f>+IF(D30="Polyfoam Overlap Doors - Swing Door",IF(D35&gt;84,"Height can't be greater than 84 inches",""),"")</f>
        <v/>
      </c>
      <c r="F35" s="728"/>
    </row>
    <row r="36" spans="1:6" x14ac:dyDescent="0.35">
      <c r="A36" s="786"/>
      <c r="B36" s="787"/>
      <c r="C36" s="283" t="s">
        <v>64</v>
      </c>
      <c r="D36" s="333">
        <f>+'Doors - Step 1'!$C34</f>
        <v>4</v>
      </c>
    </row>
    <row r="37" spans="1:6" x14ac:dyDescent="0.35">
      <c r="A37" s="786"/>
      <c r="B37" s="787"/>
      <c r="C37" s="283" t="s">
        <v>67</v>
      </c>
      <c r="D37" s="333">
        <f>+'Doors - Step 1'!$C35</f>
        <v>4</v>
      </c>
    </row>
    <row r="38" spans="1:6" x14ac:dyDescent="0.35">
      <c r="A38" s="788"/>
      <c r="B38" s="789"/>
      <c r="C38" s="284" t="s">
        <v>69</v>
      </c>
      <c r="D38" s="333">
        <f>+'Doors - Step 1'!$C36</f>
        <v>1</v>
      </c>
    </row>
    <row r="39" spans="1:6" x14ac:dyDescent="0.35">
      <c r="A39" s="246"/>
      <c r="B39" s="246"/>
      <c r="D39" s="286"/>
    </row>
    <row r="40" spans="1:6" x14ac:dyDescent="0.35">
      <c r="A40" s="246"/>
      <c r="B40" s="775"/>
      <c r="C40" s="775"/>
      <c r="D40" s="775"/>
      <c r="E40" s="775"/>
      <c r="F40" s="775"/>
    </row>
    <row r="41" spans="1:6" ht="42" customHeight="1" x14ac:dyDescent="0.35">
      <c r="A41" s="811" t="s">
        <v>122</v>
      </c>
      <c r="B41" s="288" t="s">
        <v>123</v>
      </c>
      <c r="C41" s="273" t="s">
        <v>41</v>
      </c>
      <c r="D41" s="273"/>
      <c r="E41" s="272" t="s">
        <v>43</v>
      </c>
      <c r="F41" s="289" t="s">
        <v>124</v>
      </c>
    </row>
    <row r="42" spans="1:6" ht="15.65" customHeight="1" x14ac:dyDescent="0.35">
      <c r="A42" s="811"/>
      <c r="B42" s="290" t="str">
        <f>_xlfn.IFNA(IF(ISBLANK(C42),"",INDEX(Controller!F:F,MATCH(CONCATENATE('Door Table'!$A$3,'Door - Step 2'!$C42),Controller!$G:$G,0))),"Not Required")</f>
        <v>Main</v>
      </c>
      <c r="C42" s="291" t="s">
        <v>50</v>
      </c>
      <c r="D42" s="292" t="str">
        <f>+'Doors - Step 1'!$G29</f>
        <v>26 Ga. White - Stucco Embossed Finish</v>
      </c>
      <c r="E42" s="282"/>
      <c r="F42" s="293">
        <f>IF(ISBLANK(D42),"",'Cal. Sheet Door 2'!$L$13)</f>
        <v>316.51017375247869</v>
      </c>
    </row>
    <row r="43" spans="1:6" ht="26" x14ac:dyDescent="0.35">
      <c r="A43" s="811"/>
      <c r="B43" s="290" t="str">
        <f>_xlfn.IFNA(IF(ISBLANK(C43),"",INDEX(Controller!F:F,MATCH(CONCATENATE('Door Table'!$A$3,'Door - Step 2'!$C43),Controller!$G:$G,0))),"Not Required")</f>
        <v>Main</v>
      </c>
      <c r="C43" s="291" t="s">
        <v>54</v>
      </c>
      <c r="D43" s="292" t="str">
        <f>+'Doors - Step 1'!$G30</f>
        <v>Wood Clad - 26 Ga. White - Stucco Embossed</v>
      </c>
      <c r="E43" s="282"/>
      <c r="F43" s="293">
        <f>IF(ISBLANK(D43),"",'Cal. Sheet Door 2'!$L14)</f>
        <v>1018.6646190933258</v>
      </c>
    </row>
    <row r="44" spans="1:6" ht="26" x14ac:dyDescent="0.35">
      <c r="A44" s="811"/>
      <c r="B44" s="290" t="str">
        <f>_xlfn.IFNA(IF(ISBLANK(C44),"",INDEX(Controller!F:F,MATCH(CONCATENATE('Door Table'!$A$3,'Door - Step 2'!$C44),Controller!$G:$G,0))),"Not Required")</f>
        <v>Option</v>
      </c>
      <c r="C44" s="291" t="s">
        <v>58</v>
      </c>
      <c r="D44" s="292" t="str">
        <f>+'Doors - Step 1'!$G31</f>
        <v>Wood Clad - 26 Ga. White - Stucco Embossed</v>
      </c>
      <c r="E44" s="282"/>
      <c r="F44" s="293">
        <f>IF(ISBLANK(D44),"",'Cal. Sheet Door 2'!$L15)</f>
        <v>263.97649564626772</v>
      </c>
    </row>
    <row r="45" spans="1:6" ht="26" x14ac:dyDescent="0.35">
      <c r="A45" s="811"/>
      <c r="B45" s="290" t="str">
        <f>_xlfn.IFNA(IF(ISBLANK(C45),"",INDEX(Controller!F:F,MATCH(CONCATENATE('Door Table'!$A$3,'Door - Step 2'!$C45),Controller!$G:$G,0))),"Not Required")</f>
        <v>Option</v>
      </c>
      <c r="C45" s="291" t="s">
        <v>60</v>
      </c>
      <c r="D45" s="292" t="str">
        <f>+'Doors - Step 1'!$G32</f>
        <v>Wood Clad - 26 Ga. White - Stucco Embossed</v>
      </c>
      <c r="E45" s="282"/>
      <c r="F45" s="293">
        <f>IF(ISBLANK(D45),"",'Cal. Sheet Door 2'!$L16)</f>
        <v>475.09955114985382</v>
      </c>
    </row>
    <row r="46" spans="1:6" x14ac:dyDescent="0.35">
      <c r="A46" s="811"/>
      <c r="B46" s="290" t="str">
        <f>_xlfn.IFNA(IF(ISBLANK(C46),"",INDEX(Controller!F:F,MATCH(CONCATENATE('Door Table'!$A$3,'Door - Step 2'!$C46),Controller!$G:$G,0))),"Not Required")</f>
        <v>Option</v>
      </c>
      <c r="C46" s="291" t="s">
        <v>125</v>
      </c>
      <c r="D46" s="292" t="str">
        <f>+'Doors - Step 1'!$G33</f>
        <v xml:space="preserve">575VAC/1AMP Electric Defrost system. </v>
      </c>
      <c r="E46" s="282"/>
      <c r="F46" s="293">
        <f>+IF(OR(ISBLANK(D46),($D$33="Manual"),(D46=0)),"",'Cost Sheet'!$S28)</f>
        <v>2750</v>
      </c>
    </row>
    <row r="47" spans="1:6" x14ac:dyDescent="0.35">
      <c r="A47" s="811"/>
      <c r="B47" s="290" t="str">
        <f>_xlfn.IFNA(IF(ISBLANK(C47),"",INDEX(Controller!F:F,MATCH(CONCATENATE('Door Table'!$A$3,'Door - Step 2'!$C47),Controller!$G:$G,0))),"Not Required")</f>
        <v>Option</v>
      </c>
      <c r="C47" s="291" t="s">
        <v>126</v>
      </c>
      <c r="D47" s="292"/>
      <c r="E47" s="282"/>
      <c r="F47" s="810" t="str">
        <f>IF(ISBLANK(D47),"",'Cal. Sheet Door 2'!$L18)</f>
        <v/>
      </c>
    </row>
    <row r="48" spans="1:6" x14ac:dyDescent="0.35">
      <c r="A48" s="811"/>
      <c r="B48" s="290" t="str">
        <f>_xlfn.IFNA(IF(ISBLANK(C48),"",INDEX(Controller!F:F,MATCH(CONCATENATE('Door Table'!$A$3,'Door - Step 2'!$C48),Controller!$G:$G,0))),"Not Required")</f>
        <v>Option</v>
      </c>
      <c r="C48" s="294" t="s">
        <v>127</v>
      </c>
      <c r="D48" s="292"/>
      <c r="E48" s="282"/>
      <c r="F48" s="810"/>
    </row>
    <row r="49" spans="1:6" x14ac:dyDescent="0.35">
      <c r="A49" s="811"/>
      <c r="B49" s="290" t="str">
        <f>_xlfn.IFNA(IF(ISBLANK(C49),"",INDEX(Controller!F:F,MATCH(CONCATENATE('Door Table'!$A$3,'Door - Step 2'!$C49),Controller!$G:$G,0))),"Not Required")</f>
        <v>Option</v>
      </c>
      <c r="C49" s="294" t="s">
        <v>128</v>
      </c>
      <c r="D49" s="292"/>
      <c r="E49" s="282"/>
      <c r="F49" s="810"/>
    </row>
    <row r="50" spans="1:6" x14ac:dyDescent="0.35">
      <c r="A50" s="811"/>
      <c r="B50" s="290" t="str">
        <f>_xlfn.IFNA(IF(ISBLANK(C50),"",INDEX(Controller!F:F,MATCH(CONCATENATE('Door Table'!$A$3,'Door - Step 2'!$C50),Controller!$G:$G,0))),"Not Required")</f>
        <v>Option</v>
      </c>
      <c r="C50" s="291" t="s">
        <v>129</v>
      </c>
      <c r="D50" s="292"/>
      <c r="E50" s="282"/>
      <c r="F50" s="776" t="str">
        <f>IF(ISBLANK(D50),"",SUM('Cal. Sheet Door 2'!$L21,'Cal. Sheet Door 2'!$L22))</f>
        <v/>
      </c>
    </row>
    <row r="51" spans="1:6" x14ac:dyDescent="0.35">
      <c r="A51" s="811"/>
      <c r="B51" s="290" t="str">
        <f>_xlfn.IFNA(IF(ISBLANK(C51),"",INDEX(Controller!F:F,MATCH(CONCATENATE('Door Table'!$A$3,'Door - Step 2'!$C51),Controller!$G:$G,0))),"Not Required")</f>
        <v>Option</v>
      </c>
      <c r="C51" s="294" t="s">
        <v>130</v>
      </c>
      <c r="D51" s="292"/>
      <c r="E51" s="282"/>
      <c r="F51" s="777"/>
    </row>
    <row r="52" spans="1:6" x14ac:dyDescent="0.35">
      <c r="A52" s="811"/>
      <c r="B52" s="290" t="str">
        <f>_xlfn.IFNA(IF(ISBLANK(C52),"",INDEX(Controller!F:F,MATCH(CONCATENATE('Door Table'!$A$3,'Door - Step 2'!$C52),Controller!$G:$G,0))),"Not Required")</f>
        <v>Not Required</v>
      </c>
      <c r="C52" s="291" t="s">
        <v>131</v>
      </c>
      <c r="D52" s="292"/>
      <c r="E52" s="282"/>
      <c r="F52" s="293" t="str">
        <f>IF(ISBLANK(D52),"",'Cal. Sheet Door 2'!$L23)</f>
        <v/>
      </c>
    </row>
    <row r="53" spans="1:6" x14ac:dyDescent="0.35">
      <c r="A53" s="811"/>
      <c r="B53" s="290" t="str">
        <f>_xlfn.IFNA(IF(ISBLANK(C53),"",INDEX(Controller!F:F,MATCH(CONCATENATE('Door Table'!$A$3,'Door - Step 2'!$C53),Controller!$G:$G,0))),"Not Required")</f>
        <v>Not Required</v>
      </c>
      <c r="C53" s="295" t="s">
        <v>132</v>
      </c>
      <c r="D53" s="292"/>
      <c r="E53" s="282"/>
      <c r="F53" s="293" t="str">
        <f>IF(ISBLANK(D53),"",'Cal. Sheet Door 2'!$L24)</f>
        <v/>
      </c>
    </row>
    <row r="54" spans="1:6" x14ac:dyDescent="0.35">
      <c r="A54" s="811"/>
      <c r="B54" s="290" t="str">
        <f ca="1">IFERROR(IF(ISBLANK(C54),"",INDEX(Controller!F:F,MATCH(CONCATENATE('Door Table'!$A$3,'Door - Step 2'!$C54),Controller!$G:$G,0))),"")</f>
        <v/>
      </c>
      <c r="C54" s="291" t="str" cm="1">
        <f t="array" aca="1" ref="C54" ca="1">IFERROR(_xlfn._xlws.FILTER(_xlfn.UNIQUE(OFFSET(Doors[[#All],[Search Function]],MATCH($D$30,Doors[[#All],[Door Type ]],0)-1,1,COUNTIF(Doors[[#All],[Door Type ]],$D$30),1)),
        ISNA(MATCH(_xlfn.UNIQUE(OFFSET(Doors[[#All],[Search Function]],MATCH($D$30,Doors[[#All],[Door Type ]],0)-1,1,COUNTIF(Doors[[#All],[Door Type ]],$D$30),1)),$C$42:$C$53, 0))),"")</f>
        <v>Tamper Proof Hardware</v>
      </c>
      <c r="D54" s="292"/>
      <c r="E54" s="282"/>
      <c r="F54" s="293" t="str">
        <f>IF(ISBLANK(D54),"",'Cal. Sheet Door 2'!$L25)</f>
        <v/>
      </c>
    </row>
    <row r="55" spans="1:6" x14ac:dyDescent="0.35">
      <c r="A55" s="811"/>
      <c r="B55" s="290" t="str">
        <f>_xlfn.IFNA(IF(ISBLANK(C55),"",INDEX(Controller!F:F,MATCH(CONCATENATE('Door Table'!$A$3,'Door - Step 2'!$C55),Controller!$G:$G,0))),"Not Required")</f>
        <v/>
      </c>
      <c r="C55" s="291"/>
      <c r="D55" s="292"/>
      <c r="E55" s="282"/>
      <c r="F55" s="293" t="str">
        <f>IF(ISBLANK(D55),"",'Cal. Sheet Door 2'!$L26)</f>
        <v/>
      </c>
    </row>
    <row r="56" spans="1:6" x14ac:dyDescent="0.35">
      <c r="A56" s="811"/>
      <c r="B56" s="290" t="str">
        <f>_xlfn.IFNA(IF(ISBLANK(C56),"",INDEX(Controller!F:F,MATCH(CONCATENATE('Door Table'!$A$3,'Door - Step 2'!$C56),Controller!$G:$G,0))),"Not Required")</f>
        <v/>
      </c>
      <c r="C56" s="291"/>
      <c r="D56" s="292"/>
      <c r="E56" s="282"/>
      <c r="F56" s="293" t="str">
        <f>IF(ISBLANK(D56),"",'Cal. Sheet Door 2'!$L27)</f>
        <v/>
      </c>
    </row>
    <row r="57" spans="1:6" x14ac:dyDescent="0.35">
      <c r="A57" s="811"/>
      <c r="B57" s="290" t="str">
        <f>_xlfn.IFNA(IF(ISBLANK(C57),"",INDEX(Controller!F:F,MATCH(CONCATENATE('Door Table'!$A$3,'Door - Step 2'!$C57),Controller!$G:$G,0))),"Not Required")</f>
        <v/>
      </c>
      <c r="C57" s="291"/>
      <c r="D57" s="292"/>
      <c r="E57" s="282"/>
      <c r="F57" s="293" t="str">
        <f>IF(ISBLANK(D57),"",'Cal. Sheet Door 2'!$L28)</f>
        <v/>
      </c>
    </row>
    <row r="58" spans="1:6" x14ac:dyDescent="0.35">
      <c r="A58" s="811"/>
      <c r="B58" s="290" t="str">
        <f>_xlfn.IFNA(IF(ISBLANK(C58),"",INDEX(Controller!F:F,MATCH(CONCATENATE('Door Table'!$A$3,'Door - Step 2'!$C58),Controller!$G:$G,0))),"Not Required")</f>
        <v/>
      </c>
      <c r="C58" s="291"/>
      <c r="D58" s="292"/>
      <c r="E58" s="282"/>
      <c r="F58" s="293" t="str">
        <f>IF(ISBLANK(D58),"",'Cal. Sheet Door 2'!$L29)</f>
        <v/>
      </c>
    </row>
    <row r="59" spans="1:6" x14ac:dyDescent="0.35">
      <c r="A59" s="811"/>
      <c r="B59" s="290" t="str">
        <f>_xlfn.IFNA(IF(ISBLANK(C59),"",INDEX(Controller!F:F,MATCH(CONCATENATE('Door Table'!$A$3,'Door - Step 2'!$C59),Controller!$G:$G,0))),"Not Required")</f>
        <v/>
      </c>
      <c r="C59" s="291"/>
      <c r="D59" s="292"/>
      <c r="E59" s="282"/>
      <c r="F59" s="293" t="str">
        <f>IF(ISBLANK(D59),"",'Cal. Sheet Door 2'!$L30)</f>
        <v/>
      </c>
    </row>
    <row r="60" spans="1:6" ht="5.15" customHeight="1" x14ac:dyDescent="0.35">
      <c r="A60" s="811"/>
      <c r="B60" s="296"/>
      <c r="C60" s="297"/>
      <c r="D60" s="298"/>
      <c r="E60" s="299"/>
      <c r="F60" s="300"/>
    </row>
    <row r="61" spans="1:6" x14ac:dyDescent="0.35">
      <c r="A61" s="811"/>
      <c r="B61" s="290" t="s">
        <v>133</v>
      </c>
      <c r="C61" s="291" t="s">
        <v>134</v>
      </c>
      <c r="D61" s="292"/>
      <c r="E61" s="282"/>
      <c r="F61" s="293">
        <f>IF(ISBLANK($D$34),"",'Cal. Sheet Door 2'!$L32)</f>
        <v>1196</v>
      </c>
    </row>
    <row r="62" spans="1:6" x14ac:dyDescent="0.35">
      <c r="A62" s="811"/>
      <c r="B62" s="290" t="s">
        <v>135</v>
      </c>
      <c r="C62" s="291" t="s">
        <v>136</v>
      </c>
      <c r="D62" s="292"/>
      <c r="E62" s="282"/>
      <c r="F62" s="293">
        <f>IF(ISBLANK($D$34),"",'Cal. Sheet Door 2'!$L33)</f>
        <v>246.43233333333333</v>
      </c>
    </row>
    <row r="63" spans="1:6" x14ac:dyDescent="0.35">
      <c r="A63" s="811"/>
      <c r="B63" s="290" t="s">
        <v>135</v>
      </c>
      <c r="C63" s="291" t="s">
        <v>81</v>
      </c>
      <c r="D63" s="292" t="str">
        <f>+IF(ISBLANK('Doors - Step 1'!G17),"",IF('Doors - Step 1'!G17="Bottom Sweep","Yes","No"))</f>
        <v>Yes</v>
      </c>
      <c r="E63" s="282"/>
      <c r="F63" s="293">
        <f>+IF(D63="Yes",'Cal. Sheet Door 2'!L34,"")</f>
        <v>32.739210400000005</v>
      </c>
    </row>
    <row r="64" spans="1:6" x14ac:dyDescent="0.35">
      <c r="A64" s="811"/>
      <c r="B64" s="290" t="s">
        <v>135</v>
      </c>
      <c r="C64" s="291" t="s">
        <v>66</v>
      </c>
      <c r="D64" s="292" t="str">
        <f>+IF(ISBLANK('Doors - Step 1'!G17),"",IF('Doors - Step 1'!G17="Weather Strip","Yes","No"))</f>
        <v>No</v>
      </c>
      <c r="E64" s="282"/>
      <c r="F64" s="293" t="str">
        <f>+IF(D64="Yes",'Cal. Sheet Door 2'!L35,"")</f>
        <v/>
      </c>
    </row>
    <row r="65" spans="1:6" x14ac:dyDescent="0.35">
      <c r="A65" s="811"/>
      <c r="B65" s="497" t="s">
        <v>135</v>
      </c>
      <c r="C65" s="498" t="s">
        <v>137</v>
      </c>
      <c r="D65" s="292" t="s">
        <v>185</v>
      </c>
      <c r="E65" s="282"/>
      <c r="F65" s="293">
        <f>IF(ISBLANK($D$34),"",'Cal. Sheet Door 2'!$L36)</f>
        <v>64.22829746666666</v>
      </c>
    </row>
    <row r="66" spans="1:6" x14ac:dyDescent="0.35">
      <c r="A66" s="811"/>
      <c r="B66" s="290" t="s">
        <v>135</v>
      </c>
      <c r="C66" s="291" t="s">
        <v>139</v>
      </c>
      <c r="D66" s="325" t="str">
        <f>+IF('Doors - Step 1'!$C$11="Polyfoam Overlap Doors - Swing door",IF('Doors - Step 1'!#REF!="Package 3","Magnet Gasket","Not Required"),IF('Doors - Step 1'!$C$11&lt;&gt;"Polyfoam Overlap Doors - Swing door",IF(OR('Doors - Step 1'!$G$20='Door Table'!$E$184,'Doors - Step 1'!$G$20='Door Table'!$E$185),"Splin Gasket","Not Required")))</f>
        <v>Not Required</v>
      </c>
      <c r="E66" s="282"/>
      <c r="F66" s="293"/>
    </row>
    <row r="67" spans="1:6" ht="5.15" customHeight="1" x14ac:dyDescent="0.35">
      <c r="A67" s="811"/>
      <c r="B67" s="296"/>
      <c r="C67" s="297"/>
      <c r="D67" s="298"/>
      <c r="E67" s="299"/>
      <c r="F67" s="300"/>
    </row>
    <row r="68" spans="1:6" ht="13" customHeight="1" x14ac:dyDescent="0.35">
      <c r="A68" s="811"/>
      <c r="B68" s="794" t="s">
        <v>140</v>
      </c>
      <c r="C68" s="301" t="s">
        <v>73</v>
      </c>
      <c r="D68" s="289"/>
      <c r="E68" s="302" t="s">
        <v>141</v>
      </c>
      <c r="F68" s="289" t="s">
        <v>124</v>
      </c>
    </row>
    <row r="69" spans="1:6" x14ac:dyDescent="0.35">
      <c r="A69" s="811"/>
      <c r="B69" s="794"/>
      <c r="C69" s="290" t="s">
        <v>142</v>
      </c>
      <c r="D69" s="325" t="str">
        <f>+IF(OR($D$30=Controller!$A$16,$D$30=Controller!$A$17),"","SS tube")</f>
        <v>SS tube</v>
      </c>
      <c r="E69" s="326"/>
      <c r="F69" s="293">
        <f>IF(ISBLANK(D69),"",'Cal. Sheet Door 2'!$L42)</f>
        <v>536.98892000000001</v>
      </c>
    </row>
    <row r="70" spans="1:6" x14ac:dyDescent="0.35">
      <c r="A70" s="811"/>
      <c r="B70" s="794"/>
      <c r="C70" s="290" t="s">
        <v>142</v>
      </c>
      <c r="D70" s="325" t="str">
        <f>+IF(OR($D$30=Controller!$A$16,$D$30=Controller!$A$17),"","Main Roller")</f>
        <v>Main Roller</v>
      </c>
      <c r="E70" s="326"/>
      <c r="F70" s="293">
        <f>IF(ISBLANK(D70),"",'Cal. Sheet Door 2'!$L43)</f>
        <v>185.33333333333334</v>
      </c>
    </row>
    <row r="71" spans="1:6" x14ac:dyDescent="0.35">
      <c r="A71" s="811"/>
      <c r="B71" s="794"/>
      <c r="C71" s="290" t="s">
        <v>142</v>
      </c>
      <c r="D71" s="325" t="str">
        <f>+IF(OR($D$30=Controller!$A$16,$D$30=Controller!$A$17),"","Bottom Stay Roller")</f>
        <v>Bottom Stay Roller</v>
      </c>
      <c r="E71" s="326"/>
      <c r="F71" s="293">
        <f>IF(ISBLANK(D71),"",'Cal. Sheet Door 2'!$L44)</f>
        <v>105</v>
      </c>
    </row>
    <row r="72" spans="1:6" x14ac:dyDescent="0.35">
      <c r="A72" s="811"/>
      <c r="B72" s="794"/>
      <c r="C72" s="290" t="s">
        <v>142</v>
      </c>
      <c r="D72" s="325" t="str">
        <f>+IF(OR($D$30=Controller!$A$16,$D$30=Controller!$A$17),"",IF($D$33="Motorized","Electric door bracket",IF($D$32="Wood","Wood Frame bracket","Aluminum Frame bracket")))</f>
        <v>Electric door bracket</v>
      </c>
      <c r="E72" s="326"/>
      <c r="F72" s="293">
        <f>IF(ISBLANK(D72),"",'Cal. Sheet Door 2'!$L45)</f>
        <v>196</v>
      </c>
    </row>
    <row r="73" spans="1:6" x14ac:dyDescent="0.35">
      <c r="A73" s="811"/>
      <c r="B73" s="794"/>
      <c r="C73" s="290" t="s">
        <v>142</v>
      </c>
      <c r="D73" s="325" t="str">
        <f>+IF(OR($D$30=Controller!$A$16,$D$30=Controller!$A$17),"","Outside and Inside Handle")</f>
        <v>Outside and Inside Handle</v>
      </c>
      <c r="E73" s="326"/>
      <c r="F73" s="293">
        <f>IF(ISBLANK(D73),"",'Cal. Sheet Door 2'!$L46)</f>
        <v>82</v>
      </c>
    </row>
    <row r="74" spans="1:6" x14ac:dyDescent="0.35">
      <c r="A74" s="811"/>
      <c r="B74" s="794"/>
      <c r="C74" s="290" t="s">
        <v>142</v>
      </c>
      <c r="D74" s="325" t="str">
        <f>+IF(OR($D$30=Controller!$A$16,$D$30=Controller!$A$17),"","Pull Cord - Cooler")</f>
        <v>Pull Cord - Cooler</v>
      </c>
      <c r="E74" s="326">
        <v>2</v>
      </c>
      <c r="F74" s="293">
        <f>IF(ISBLANK(D74),"",IF(ISBLANK(E74),"Please Specify Qty.",'Cal. Sheet Door 2'!$L47*E74))</f>
        <v>142</v>
      </c>
    </row>
    <row r="75" spans="1:6" x14ac:dyDescent="0.35">
      <c r="A75" s="811"/>
      <c r="B75" s="794"/>
      <c r="C75" s="290" t="s">
        <v>143</v>
      </c>
      <c r="D75" s="325" t="str">
        <f>+IF(OR($D$30=Controller!$A$16,$D$30=Controller!$A$17),"","Guide Latch/Catch Set")</f>
        <v>Guide Latch/Catch Set</v>
      </c>
      <c r="E75" s="326">
        <v>1</v>
      </c>
      <c r="F75" s="293">
        <f>IF(ISBLANK(D75),"",IF(ISBLANK(E75),"Please Specify Qty.",'Cal. Sheet Door 2'!$L48*E75))</f>
        <v>27.333333333333332</v>
      </c>
    </row>
    <row r="76" spans="1:6" x14ac:dyDescent="0.35">
      <c r="A76" s="811"/>
      <c r="B76" s="794"/>
      <c r="C76" s="290" t="s">
        <v>143</v>
      </c>
      <c r="D76" s="292"/>
      <c r="E76" s="68"/>
      <c r="F76" s="293" t="str">
        <f>IF(ISBLANK(D76),"",IF(ISBLANK(E76),"Please Specify Qty.",'Cal. Sheet Door 2'!$L49*E76))</f>
        <v/>
      </c>
    </row>
    <row r="77" spans="1:6" x14ac:dyDescent="0.35">
      <c r="A77" s="811"/>
      <c r="B77" s="794" t="s">
        <v>144</v>
      </c>
      <c r="C77" s="290" t="s">
        <v>143</v>
      </c>
      <c r="D77" s="292"/>
      <c r="E77" s="68"/>
      <c r="F77" s="293" t="str">
        <f>IF(ISBLANK(D77),"",IF(ISBLANK(E77),"Please Specify Qty.",'Cal. Sheet Door 2'!$L50*E77))</f>
        <v/>
      </c>
    </row>
    <row r="78" spans="1:6" x14ac:dyDescent="0.35">
      <c r="A78" s="811"/>
      <c r="B78" s="794"/>
      <c r="C78" s="290" t="s">
        <v>143</v>
      </c>
      <c r="D78" s="292"/>
      <c r="E78" s="68"/>
      <c r="F78" s="293" t="str">
        <f>IF(ISBLANK(D78),"",IF(ISBLANK(E78),"Please Specify Qty.",'Cal. Sheet Door 2'!$L51*E78))</f>
        <v/>
      </c>
    </row>
    <row r="79" spans="1:6" x14ac:dyDescent="0.35">
      <c r="A79" s="811"/>
      <c r="B79" s="794"/>
      <c r="C79" s="290" t="s">
        <v>143</v>
      </c>
      <c r="D79" s="292"/>
      <c r="E79" s="68"/>
      <c r="F79" s="293" t="str">
        <f>IF(ISBLANK(D79),"",IF(ISBLANK(E79),"Please Specify Qty.",'Cal. Sheet Door 2'!$L52*E79))</f>
        <v/>
      </c>
    </row>
    <row r="80" spans="1:6" x14ac:dyDescent="0.35">
      <c r="A80" s="811"/>
      <c r="B80" s="794"/>
      <c r="C80" s="290" t="s">
        <v>143</v>
      </c>
      <c r="D80" s="292"/>
      <c r="E80" s="68"/>
      <c r="F80" s="293" t="str">
        <f>IF(ISBLANK(D80),"",IF(ISBLANK(E80),"Please Specify Qty.",'Cal. Sheet Door 2'!$L53*E80))</f>
        <v/>
      </c>
    </row>
    <row r="81" spans="1:6" ht="6" customHeight="1" x14ac:dyDescent="0.35">
      <c r="A81" s="296"/>
      <c r="B81" s="296"/>
      <c r="C81" s="296"/>
      <c r="D81" s="296"/>
      <c r="E81" s="296"/>
      <c r="F81" s="296"/>
    </row>
    <row r="82" spans="1:6" ht="15.65" customHeight="1" x14ac:dyDescent="0.35">
      <c r="A82" s="768" t="s">
        <v>145</v>
      </c>
      <c r="B82" s="769"/>
      <c r="C82" s="303" t="s">
        <v>73</v>
      </c>
      <c r="D82" s="302"/>
      <c r="E82" s="302"/>
      <c r="F82" s="289" t="s">
        <v>124</v>
      </c>
    </row>
    <row r="83" spans="1:6" x14ac:dyDescent="0.35">
      <c r="A83" s="770"/>
      <c r="B83" s="771"/>
      <c r="C83" s="290" t="s">
        <v>146</v>
      </c>
      <c r="D83" s="325" t="s">
        <v>186</v>
      </c>
      <c r="E83" s="326"/>
      <c r="F83" s="293" t="str">
        <f>IF(ISBLANK(D83),"",IF(ISBLANK(E83),"Please Specify Qty.",'Cal. Sheet Door 2'!$L59*E83))</f>
        <v>Please Specify Qty.</v>
      </c>
    </row>
    <row r="84" spans="1:6" x14ac:dyDescent="0.35">
      <c r="A84" s="770"/>
      <c r="B84" s="771"/>
      <c r="C84" s="304" t="s">
        <v>147</v>
      </c>
      <c r="D84" s="292"/>
      <c r="E84" s="68"/>
      <c r="F84" s="293" t="str">
        <f>IF(ISBLANK(D84),"",IF(ISBLANK(E84),"Please Specify Qty.",'Cal. Sheet Door 2'!$L60*E84))</f>
        <v/>
      </c>
    </row>
    <row r="85" spans="1:6" x14ac:dyDescent="0.35">
      <c r="A85" s="770"/>
      <c r="B85" s="771"/>
      <c r="C85" s="304" t="s">
        <v>148</v>
      </c>
      <c r="D85" s="292"/>
      <c r="E85" s="68"/>
      <c r="F85" s="293" t="str">
        <f>IF(ISBLANK(D85),"",IF(ISBLANK(E85),"Please Specify Qty.",'Cal. Sheet Door 2'!$L61*E85))</f>
        <v/>
      </c>
    </row>
    <row r="86" spans="1:6" x14ac:dyDescent="0.35">
      <c r="A86" s="770"/>
      <c r="B86" s="771"/>
      <c r="C86" s="304" t="s">
        <v>149</v>
      </c>
      <c r="D86" s="292"/>
      <c r="E86" s="68"/>
      <c r="F86" s="293" t="str">
        <f>IF(ISBLANK(D86),"",IF(ISBLANK(E86),"Please Specify Qty.",'Cal. Sheet Door 2'!$L62*E86))</f>
        <v/>
      </c>
    </row>
    <row r="87" spans="1:6" x14ac:dyDescent="0.35">
      <c r="A87" s="770"/>
      <c r="B87" s="771"/>
      <c r="C87" s="290" t="s">
        <v>150</v>
      </c>
      <c r="D87" s="325" t="s">
        <v>187</v>
      </c>
      <c r="E87" s="326"/>
      <c r="F87" s="293" t="str">
        <f>IF(ISBLANK(D87),"",IF(ISBLANK(E87),"Please Specify Qty.",'Cal. Sheet Door 2'!$L63*E87))</f>
        <v>Please Specify Qty.</v>
      </c>
    </row>
    <row r="88" spans="1:6" x14ac:dyDescent="0.35">
      <c r="A88" s="770"/>
      <c r="B88" s="771"/>
      <c r="C88" s="304" t="s">
        <v>151</v>
      </c>
      <c r="D88" s="292"/>
      <c r="E88" s="68"/>
      <c r="F88" s="293" t="str">
        <f>IF(ISBLANK(D88),"",IF(ISBLANK(E88),"Please Specify Qty.",'Cal. Sheet Door 2'!$L64*E88))</f>
        <v/>
      </c>
    </row>
    <row r="89" spans="1:6" x14ac:dyDescent="0.35">
      <c r="A89" s="770"/>
      <c r="B89" s="771"/>
      <c r="C89" s="304" t="s">
        <v>152</v>
      </c>
      <c r="D89" s="292"/>
      <c r="E89" s="68"/>
      <c r="F89" s="293" t="str">
        <f>IF(ISBLANK(D89),"",IF(ISBLANK(E89),"Please Specify Qty.",'Cal. Sheet Door 2'!$L65*E89))</f>
        <v/>
      </c>
    </row>
    <row r="90" spans="1:6" x14ac:dyDescent="0.35">
      <c r="A90" s="770"/>
      <c r="B90" s="771"/>
      <c r="C90" s="290" t="s">
        <v>153</v>
      </c>
      <c r="D90" s="292" t="s">
        <v>188</v>
      </c>
      <c r="E90" s="68"/>
      <c r="F90" s="293" t="str">
        <f>IF(ISBLANK(D90),"",IF(ISBLANK(E90),"Please Specify Qty.",'Cal. Sheet Door 2'!$L66*E90))</f>
        <v>Please Specify Qty.</v>
      </c>
    </row>
    <row r="91" spans="1:6" x14ac:dyDescent="0.35">
      <c r="A91" s="770"/>
      <c r="B91" s="771"/>
      <c r="C91" s="290" t="s">
        <v>154</v>
      </c>
      <c r="D91" s="292"/>
      <c r="E91" s="68"/>
      <c r="F91" s="293" t="str">
        <f>IF(ISBLANK(D91),"",IF(ISBLANK(E91),"Please Specify Qty.",'Cal. Sheet Door 2'!$L67*E91))</f>
        <v/>
      </c>
    </row>
    <row r="92" spans="1:6" x14ac:dyDescent="0.35">
      <c r="A92" s="770"/>
      <c r="B92" s="771"/>
      <c r="C92" s="290" t="s">
        <v>155</v>
      </c>
      <c r="D92" s="325" t="s">
        <v>189</v>
      </c>
      <c r="E92" s="326"/>
      <c r="F92" s="293" t="str">
        <f>IF(ISBLANK(D92),"",IF(ISBLANK(E92),"Please Specify Qty.",'Cal. Sheet Door 2'!$L68*E92))</f>
        <v>Please Specify Qty.</v>
      </c>
    </row>
    <row r="93" spans="1:6" x14ac:dyDescent="0.35">
      <c r="A93" s="770"/>
      <c r="B93" s="771"/>
      <c r="C93" s="290" t="s">
        <v>156</v>
      </c>
      <c r="D93" s="292" t="s">
        <v>190</v>
      </c>
      <c r="E93" s="68"/>
      <c r="F93" s="293" t="str">
        <f>IF(ISBLANK(D93),"",IF(ISBLANK(E93),"Please Specify Qty.",'Cal. Sheet Door 2'!$L69*E93))</f>
        <v>Please Specify Qty.</v>
      </c>
    </row>
    <row r="94" spans="1:6" x14ac:dyDescent="0.35">
      <c r="A94" s="770"/>
      <c r="B94" s="771"/>
      <c r="C94" s="290" t="s">
        <v>157</v>
      </c>
      <c r="D94" s="292"/>
      <c r="E94" s="68"/>
      <c r="F94" s="293">
        <f>+'Cal. Sheet Door 2'!$L$70</f>
        <v>0</v>
      </c>
    </row>
    <row r="95" spans="1:6" x14ac:dyDescent="0.35">
      <c r="A95" s="770"/>
      <c r="B95" s="771"/>
      <c r="C95" s="290" t="s">
        <v>158</v>
      </c>
      <c r="D95" s="292"/>
      <c r="E95" s="68"/>
      <c r="F95" s="293" t="str">
        <f>IF(ISBLANK(D95),"",IF(ISBLANK(E95),"Please Specify Qty.",'Cal. Sheet Door 2'!$L71*E95))</f>
        <v/>
      </c>
    </row>
    <row r="96" spans="1:6" x14ac:dyDescent="0.35">
      <c r="A96" s="770"/>
      <c r="B96" s="771"/>
      <c r="C96" s="290" t="s">
        <v>159</v>
      </c>
      <c r="D96" s="292"/>
      <c r="E96" s="68"/>
      <c r="F96" s="293" t="str">
        <f>IF(ISBLANK(D96),"",IF(ISBLANK(E96),"Please Specify Qty.",'Cal. Sheet Door 2'!$L72*E96))</f>
        <v/>
      </c>
    </row>
    <row r="97" spans="1:6" x14ac:dyDescent="0.35">
      <c r="A97" s="770"/>
      <c r="B97" s="771"/>
      <c r="C97" s="290" t="s">
        <v>160</v>
      </c>
      <c r="D97" s="292"/>
      <c r="E97" s="68"/>
      <c r="F97" s="293" t="str">
        <f>IF(ISBLANK(D97),"",IF(ISBLANK(E97),"Please Specify Qty.",'Cal. Sheet Door 2'!$L73*E97))</f>
        <v/>
      </c>
    </row>
    <row r="98" spans="1:6" x14ac:dyDescent="0.35">
      <c r="A98" s="770"/>
      <c r="B98" s="771"/>
      <c r="C98" s="290" t="s">
        <v>161</v>
      </c>
      <c r="D98" s="292" t="s">
        <v>708</v>
      </c>
      <c r="E98" s="68">
        <v>1</v>
      </c>
      <c r="F98" s="293">
        <f>IF(ISBLANK(D98),"",IF(ISBLANK(E98),"Please Specify Qty.",'Cal. Sheet Door 2'!$L74*E98))</f>
        <v>83.42</v>
      </c>
    </row>
    <row r="99" spans="1:6" x14ac:dyDescent="0.35">
      <c r="A99" s="770"/>
      <c r="B99" s="771"/>
      <c r="C99" s="290" t="s">
        <v>163</v>
      </c>
      <c r="D99" s="292" t="s">
        <v>164</v>
      </c>
      <c r="E99" s="68">
        <v>1</v>
      </c>
      <c r="F99" s="293">
        <f>IF(ISBLANK(D99),"",IF(ISBLANK(E99),"Please Specify Qty.",'Cal. Sheet Door 2'!$L75*E99))</f>
        <v>34.9</v>
      </c>
    </row>
    <row r="100" spans="1:6" x14ac:dyDescent="0.35">
      <c r="A100" s="770"/>
      <c r="B100" s="771"/>
      <c r="C100" s="290" t="s">
        <v>165</v>
      </c>
      <c r="D100" s="292" t="s">
        <v>165</v>
      </c>
      <c r="E100" s="68">
        <v>1</v>
      </c>
      <c r="F100" s="293">
        <f>IF(ISBLANK(D100),"",IF(ISBLANK(E100),"Please Specify Qty.",'Cal. Sheet Door 2'!$L76*E100))</f>
        <v>19.203333333333333</v>
      </c>
    </row>
    <row r="101" spans="1:6" ht="26" x14ac:dyDescent="0.35">
      <c r="A101" s="770"/>
      <c r="B101" s="771"/>
      <c r="C101" s="290" t="s">
        <v>166</v>
      </c>
      <c r="D101" s="325" t="s">
        <v>221</v>
      </c>
      <c r="E101" s="68">
        <v>1</v>
      </c>
      <c r="F101" s="293">
        <f>IF(ISBLANK(D101),"",IF(ISBLANK(E101),"Please Specify Qty.",'Cal. Sheet Door 2'!$L77*E101))</f>
        <v>19.603333333333332</v>
      </c>
    </row>
    <row r="102" spans="1:6" x14ac:dyDescent="0.35">
      <c r="A102" s="770"/>
      <c r="B102" s="771"/>
      <c r="C102" s="290" t="s">
        <v>168</v>
      </c>
      <c r="D102" s="292"/>
      <c r="E102" s="68"/>
      <c r="F102" s="293" t="str">
        <f>IF(ISBLANK(D102),"",IF(ISBLANK(E102),"Please Specify Qty.",'Cal. Sheet Door 2'!$L78*E102))</f>
        <v/>
      </c>
    </row>
    <row r="103" spans="1:6" x14ac:dyDescent="0.35">
      <c r="A103" s="770"/>
      <c r="B103" s="771"/>
      <c r="C103" s="290" t="s">
        <v>995</v>
      </c>
      <c r="D103" s="292" t="s">
        <v>995</v>
      </c>
      <c r="E103" s="68">
        <v>1</v>
      </c>
      <c r="F103" s="293">
        <f>IF(E103=" "," ",(E103*'Cost Sheet'!$N$227))</f>
        <v>92.592592592592581</v>
      </c>
    </row>
    <row r="104" spans="1:6" x14ac:dyDescent="0.35">
      <c r="A104" s="770"/>
      <c r="B104" s="771"/>
      <c r="C104" s="290" t="s">
        <v>169</v>
      </c>
      <c r="D104" s="292"/>
      <c r="E104" s="68"/>
      <c r="F104" s="293" t="str">
        <f>IF(ISBLANK(D104),"",IF(ISBLANK(E104),"Please Specify Qty.",'Cal. Sheet Door 2'!$L79*E104))</f>
        <v/>
      </c>
    </row>
    <row r="105" spans="1:6" x14ac:dyDescent="0.35">
      <c r="A105" s="770"/>
      <c r="B105" s="771"/>
      <c r="C105" s="290" t="s">
        <v>170</v>
      </c>
      <c r="D105" s="292"/>
      <c r="E105" s="68"/>
      <c r="F105" s="293" t="str">
        <f>IF(ISBLANK(D105),"",IF(ISBLANK(E105),"Please Specify Qty.",'Cal. Sheet Door 2'!$L80*E105))</f>
        <v/>
      </c>
    </row>
    <row r="106" spans="1:6" x14ac:dyDescent="0.35">
      <c r="A106" s="770"/>
      <c r="B106" s="771"/>
      <c r="C106" s="290" t="s">
        <v>171</v>
      </c>
      <c r="D106" s="186"/>
      <c r="E106" s="493">
        <f>IF($D$31="Freezer",(((D34+D35)*2*3)*'Cal. Sheet Door 2'!$L$2),0)</f>
        <v>112.99548</v>
      </c>
      <c r="F106" s="293">
        <f>+'Cal. Sheet Door 2'!$I$81</f>
        <v>179.34898809696966</v>
      </c>
    </row>
    <row r="107" spans="1:6" x14ac:dyDescent="0.35">
      <c r="A107" s="772"/>
      <c r="B107" s="773"/>
      <c r="C107" s="290" t="s">
        <v>172</v>
      </c>
      <c r="D107" s="292"/>
      <c r="E107" s="68">
        <f>+IF($D$31="Freezer",22,0)</f>
        <v>22</v>
      </c>
      <c r="F107" s="293">
        <f>+'Cal. Sheet Door 2'!$I$82</f>
        <v>119.89227149144732</v>
      </c>
    </row>
    <row r="108" spans="1:6" ht="30" customHeight="1" x14ac:dyDescent="0.35">
      <c r="A108" s="778" t="s">
        <v>191</v>
      </c>
      <c r="B108" s="779"/>
      <c r="C108" s="273" t="s">
        <v>73</v>
      </c>
      <c r="D108" s="273" t="s">
        <v>42</v>
      </c>
      <c r="E108" s="272" t="s">
        <v>74</v>
      </c>
      <c r="F108" s="289" t="s">
        <v>124</v>
      </c>
    </row>
    <row r="109" spans="1:6" x14ac:dyDescent="0.35">
      <c r="A109" s="780"/>
      <c r="B109" s="781"/>
      <c r="C109" s="331" t="str">
        <f>+'Doors - Step 1'!F39</f>
        <v xml:space="preserve">Drafting Charges </v>
      </c>
      <c r="D109" s="331">
        <f>+'Doors - Step 1'!G39</f>
        <v>0</v>
      </c>
      <c r="E109" s="331">
        <f>+'Doors - Step 1'!H39</f>
        <v>0</v>
      </c>
      <c r="F109" s="293" t="str">
        <f>+'Doors - Step 1'!I39</f>
        <v/>
      </c>
    </row>
    <row r="110" spans="1:6" x14ac:dyDescent="0.35">
      <c r="A110" s="780"/>
      <c r="B110" s="781"/>
      <c r="C110" s="331">
        <f>+'Doors - Step 1'!F40</f>
        <v>0</v>
      </c>
      <c r="D110" s="331">
        <f>+'Doors - Step 1'!G40</f>
        <v>0</v>
      </c>
      <c r="E110" s="331">
        <f>+'Doors - Step 1'!H40</f>
        <v>0</v>
      </c>
      <c r="F110" s="293"/>
    </row>
    <row r="111" spans="1:6" x14ac:dyDescent="0.35">
      <c r="A111" s="782"/>
      <c r="B111" s="783"/>
      <c r="C111" s="331">
        <f>+'Doors - Step 1'!F41</f>
        <v>0</v>
      </c>
      <c r="D111" s="331">
        <f>+'Doors - Step 1'!G41</f>
        <v>0</v>
      </c>
      <c r="E111" s="331">
        <f>+'Doors - Step 1'!H41</f>
        <v>0</v>
      </c>
      <c r="F111" s="293" t="str">
        <f>+'Doors - Step 1'!I41</f>
        <v/>
      </c>
    </row>
    <row r="112" spans="1:6" x14ac:dyDescent="0.35">
      <c r="D112" s="246"/>
    </row>
    <row r="113" spans="1:6" x14ac:dyDescent="0.35">
      <c r="A113" s="774" t="s">
        <v>178</v>
      </c>
      <c r="B113" s="774"/>
      <c r="C113" s="790" t="s">
        <v>192</v>
      </c>
      <c r="D113" s="791"/>
      <c r="E113" s="305" t="s">
        <v>124</v>
      </c>
      <c r="F113" s="306">
        <f>(SUM(F42:F107)*$D$38)+SUM(F109:F111)</f>
        <v>8187.2667863562674</v>
      </c>
    </row>
    <row r="114" spans="1:6" x14ac:dyDescent="0.35">
      <c r="A114" s="774"/>
      <c r="B114" s="774"/>
      <c r="C114" s="792"/>
      <c r="D114" s="793"/>
      <c r="E114" s="305" t="s">
        <v>45</v>
      </c>
      <c r="F114" s="307">
        <v>0.3</v>
      </c>
    </row>
    <row r="115" spans="1:6" x14ac:dyDescent="0.35">
      <c r="A115" s="774"/>
      <c r="B115" s="774"/>
      <c r="C115" s="792"/>
      <c r="D115" s="793"/>
      <c r="E115" s="305" t="s">
        <v>46</v>
      </c>
      <c r="F115" s="306">
        <f>+IF(ISBLANK(F114),"",(F113*(1+F114)))</f>
        <v>10643.446822263148</v>
      </c>
    </row>
    <row r="116" spans="1:6" x14ac:dyDescent="0.35">
      <c r="C116" s="263"/>
    </row>
    <row r="123" spans="1:6" x14ac:dyDescent="0.35">
      <c r="D123" s="246"/>
    </row>
    <row r="124" spans="1:6" x14ac:dyDescent="0.35">
      <c r="D124" s="246"/>
    </row>
    <row r="125" spans="1:6" x14ac:dyDescent="0.35">
      <c r="D125" s="246"/>
    </row>
    <row r="126" spans="1:6" x14ac:dyDescent="0.35">
      <c r="D126" s="246"/>
    </row>
    <row r="146" spans="3:6" x14ac:dyDescent="0.35">
      <c r="C146" s="281"/>
      <c r="D146" s="308"/>
      <c r="E146" s="308"/>
      <c r="F146" s="302"/>
    </row>
    <row r="147" spans="3:6" x14ac:dyDescent="0.35">
      <c r="C147" s="309"/>
      <c r="D147" s="310"/>
      <c r="E147" s="311"/>
      <c r="F147" s="312"/>
    </row>
    <row r="148" spans="3:6" x14ac:dyDescent="0.35">
      <c r="C148" s="309"/>
      <c r="D148" s="310"/>
      <c r="E148" s="311"/>
    </row>
    <row r="149" spans="3:6" x14ac:dyDescent="0.35">
      <c r="C149" s="291"/>
    </row>
  </sheetData>
  <mergeCells count="33">
    <mergeCell ref="J19:K19"/>
    <mergeCell ref="A2:B11"/>
    <mergeCell ref="C5:D5"/>
    <mergeCell ref="F5:H5"/>
    <mergeCell ref="C6:C8"/>
    <mergeCell ref="E6:E8"/>
    <mergeCell ref="F6:H6"/>
    <mergeCell ref="F7:H7"/>
    <mergeCell ref="F8:H8"/>
    <mergeCell ref="F9:H9"/>
    <mergeCell ref="F10:H10"/>
    <mergeCell ref="E35:F35"/>
    <mergeCell ref="F11:H11"/>
    <mergeCell ref="A15:B26"/>
    <mergeCell ref="D15:F15"/>
    <mergeCell ref="C16:F26"/>
    <mergeCell ref="G16:H26"/>
    <mergeCell ref="A113:B115"/>
    <mergeCell ref="S3:T3"/>
    <mergeCell ref="X3:Y3"/>
    <mergeCell ref="B40:F40"/>
    <mergeCell ref="A30:B38"/>
    <mergeCell ref="A41:A80"/>
    <mergeCell ref="B68:B76"/>
    <mergeCell ref="B77:B80"/>
    <mergeCell ref="A82:B107"/>
    <mergeCell ref="A108:B111"/>
    <mergeCell ref="C113:D115"/>
    <mergeCell ref="F50:F51"/>
    <mergeCell ref="F47:F49"/>
    <mergeCell ref="C29:F29"/>
    <mergeCell ref="E33:F33"/>
    <mergeCell ref="E34:F34"/>
  </mergeCells>
  <conditionalFormatting sqref="T4:T12">
    <cfRule type="containsText" dxfId="47" priority="4" operator="containsText" text="No">
      <formula>NOT(ISERROR(SEARCH("No",T4)))</formula>
    </cfRule>
    <cfRule type="containsText" dxfId="46" priority="5" operator="containsText" text="Yes">
      <formula>NOT(ISERROR(SEARCH("Yes",T4)))</formula>
    </cfRule>
  </conditionalFormatting>
  <conditionalFormatting sqref="T13">
    <cfRule type="cellIs" dxfId="45" priority="2" operator="lessThan">
      <formula>1</formula>
    </cfRule>
    <cfRule type="cellIs" dxfId="44" priority="3" operator="equal">
      <formula>1</formula>
    </cfRule>
  </conditionalFormatting>
  <conditionalFormatting sqref="B42:B59">
    <cfRule type="cellIs" dxfId="43" priority="1" operator="equal">
      <formula>"Not Required"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8">
        <x14:dataValidation type="list" allowBlank="1" showInputMessage="1" showErrorMessage="1" xr:uid="{2EF726C2-CFE2-4676-857A-10314B937E74}">
          <x14:formula1>
            <xm:f>_xlfn.ANCHORARRAY('Door Table'!$V$25)</xm:f>
          </x14:formula1>
          <xm:sqref>D59</xm:sqref>
        </x14:dataValidation>
        <x14:dataValidation type="list" allowBlank="1" showInputMessage="1" showErrorMessage="1" xr:uid="{016DAE0A-B887-4A40-A64A-0768ED9B09DF}">
          <x14:formula1>
            <xm:f>_xlfn.ANCHORARRAY('Door Table'!$U$25)</xm:f>
          </x14:formula1>
          <xm:sqref>D58</xm:sqref>
        </x14:dataValidation>
        <x14:dataValidation type="list" allowBlank="1" showInputMessage="1" showErrorMessage="1" xr:uid="{46793392-2230-4C73-8457-BC6FFD5A937E}">
          <x14:formula1>
            <xm:f>_xlfn.ANCHORARRAY('Door Table'!$T$25)</xm:f>
          </x14:formula1>
          <xm:sqref>D57</xm:sqref>
        </x14:dataValidation>
        <x14:dataValidation type="list" allowBlank="1" showInputMessage="1" showErrorMessage="1" xr:uid="{F6573483-AD69-45DD-B2C6-B2D1FFF506F2}">
          <x14:formula1>
            <xm:f>_xlfn.ANCHORARRAY('Door Table'!$S$25)</xm:f>
          </x14:formula1>
          <xm:sqref>D56</xm:sqref>
        </x14:dataValidation>
        <x14:dataValidation type="list" allowBlank="1" showInputMessage="1" showErrorMessage="1" xr:uid="{470DE9BE-3285-4F23-901C-BDF2B10456C4}">
          <x14:formula1>
            <xm:f>_xlfn.ANCHORARRAY('Door Table'!$R$25)</xm:f>
          </x14:formula1>
          <xm:sqref>D55</xm:sqref>
        </x14:dataValidation>
        <x14:dataValidation type="list" allowBlank="1" showInputMessage="1" showErrorMessage="1" xr:uid="{9F1F5049-8B70-48EC-88E4-0596C3DABB8F}">
          <x14:formula1>
            <xm:f>_xlfn.ANCHORARRAY('Door Table'!$Q$25)</xm:f>
          </x14:formula1>
          <xm:sqref>D54</xm:sqref>
        </x14:dataValidation>
        <x14:dataValidation type="list" allowBlank="1" showInputMessage="1" showErrorMessage="1" xr:uid="{FF8A1FD8-F295-4B5E-BACA-6EA142509C8E}">
          <x14:formula1>
            <xm:f>_xlfn.ANCHORARRAY('Door Table'!$O$25)</xm:f>
          </x14:formula1>
          <xm:sqref>D52</xm:sqref>
        </x14:dataValidation>
        <x14:dataValidation type="list" allowBlank="1" showInputMessage="1" showErrorMessage="1" xr:uid="{C6AD96DC-4BBF-4CA2-BA13-F96C83F1C3EC}">
          <x14:formula1>
            <xm:f>_xlfn.ANCHORARRAY('Door Table'!$N$25)</xm:f>
          </x14:formula1>
          <xm:sqref>D51</xm:sqref>
        </x14:dataValidation>
        <x14:dataValidation type="list" allowBlank="1" showInputMessage="1" showErrorMessage="1" xr:uid="{426F46B8-CC62-4E32-9B4A-953CD37B56EE}">
          <x14:formula1>
            <xm:f>_xlfn.ANCHORARRAY('Door Table'!$M$25)</xm:f>
          </x14:formula1>
          <xm:sqref>D50</xm:sqref>
        </x14:dataValidation>
        <x14:dataValidation type="list" allowBlank="1" showInputMessage="1" showErrorMessage="1" xr:uid="{E00E5288-267B-42D1-B416-902C4F0E147E}">
          <x14:formula1>
            <xm:f>_xlfn.ANCHORARRAY('Door Table'!$L$25)</xm:f>
          </x14:formula1>
          <xm:sqref>D49</xm:sqref>
        </x14:dataValidation>
        <x14:dataValidation type="list" allowBlank="1" showInputMessage="1" showErrorMessage="1" xr:uid="{CBEB915E-4585-4619-8D83-1ED235AC8DD8}">
          <x14:formula1>
            <xm:f>_xlfn.ANCHORARRAY('Door Table'!$K$25)</xm:f>
          </x14:formula1>
          <xm:sqref>D48</xm:sqref>
        </x14:dataValidation>
        <x14:dataValidation type="list" allowBlank="1" showInputMessage="1" showErrorMessage="1" xr:uid="{DD46FDF8-B4A7-48D5-B1EA-A7604B1683A8}">
          <x14:formula1>
            <xm:f>_xlfn.ANCHORARRAY('Door Table'!$J$25)</xm:f>
          </x14:formula1>
          <xm:sqref>D47</xm:sqref>
        </x14:dataValidation>
        <x14:dataValidation type="list" allowBlank="1" showInputMessage="1" showErrorMessage="1" xr:uid="{9C975AEB-11BD-4E9C-BDAF-AC34D7C7507E}">
          <x14:formula1>
            <xm:f>_xlfn.ANCHORARRAY('Door Table'!$V$134)</xm:f>
          </x14:formula1>
          <xm:sqref>D107</xm:sqref>
        </x14:dataValidation>
        <x14:dataValidation type="list" allowBlank="1" showInputMessage="1" showErrorMessage="1" xr:uid="{8F7EDBD8-940D-4E87-B96C-C064496523F7}">
          <x14:formula1>
            <xm:f>_xlfn.ANCHORARRAY('Door Table'!$P$134)</xm:f>
          </x14:formula1>
          <xm:sqref>D93</xm:sqref>
        </x14:dataValidation>
        <x14:dataValidation type="list" allowBlank="1" showInputMessage="1" showErrorMessage="1" xr:uid="{CADCBD44-6303-46D9-8CE4-3177F7830CDE}">
          <x14:formula1>
            <xm:f>_xlfn.ANCHORARRAY('Door Table'!$L$134)</xm:f>
          </x14:formula1>
          <xm:sqref>D91</xm:sqref>
        </x14:dataValidation>
        <x14:dataValidation type="list" allowBlank="1" showInputMessage="1" showErrorMessage="1" xr:uid="{50DFE37E-EE58-4803-94BE-6E23E89539DA}">
          <x14:formula1>
            <xm:f>_xlfn.ANCHORARRAY('Door Table'!$K$134)</xm:f>
          </x14:formula1>
          <xm:sqref>D90</xm:sqref>
        </x14:dataValidation>
        <x14:dataValidation type="list" allowBlank="1" showInputMessage="1" showErrorMessage="1" xr:uid="{036DD0E3-ED22-40D8-A575-940C1B3F9BE9}">
          <x14:formula1>
            <xm:f>_xlfn.ANCHORARRAY('Door Table'!$J$134)</xm:f>
          </x14:formula1>
          <xm:sqref>D89</xm:sqref>
        </x14:dataValidation>
        <x14:dataValidation type="list" allowBlank="1" showInputMessage="1" showErrorMessage="1" xr:uid="{59D3B75D-FECD-4DD3-9FF1-45D095C49E12}">
          <x14:formula1>
            <xm:f>_xlfn.ANCHORARRAY('Door Table'!$I$134)</xm:f>
          </x14:formula1>
          <xm:sqref>D88</xm:sqref>
        </x14:dataValidation>
        <x14:dataValidation type="list" allowBlank="1" showInputMessage="1" showErrorMessage="1" xr:uid="{CF9715D8-9845-4AD7-9554-0E7022429047}">
          <x14:formula1>
            <xm:f>_xlfn.ANCHORARRAY('Door Table'!$G$134)</xm:f>
          </x14:formula1>
          <xm:sqref>D86</xm:sqref>
        </x14:dataValidation>
        <x14:dataValidation type="list" allowBlank="1" showInputMessage="1" showErrorMessage="1" xr:uid="{568966E4-ABA0-4950-A466-76D928BEF539}">
          <x14:formula1>
            <xm:f>_xlfn.ANCHORARRAY('Door Table'!$D$134)</xm:f>
          </x14:formula1>
          <xm:sqref>D83</xm:sqref>
        </x14:dataValidation>
        <x14:dataValidation type="list" allowBlank="1" showInputMessage="1" showErrorMessage="1" xr:uid="{EA98504B-7C2B-445F-A4F3-7206A1AFB718}">
          <x14:formula1>
            <xm:f>_xlfn.ANCHORARRAY('Door Table'!$F$134)</xm:f>
          </x14:formula1>
          <xm:sqref>D85</xm:sqref>
        </x14:dataValidation>
        <x14:dataValidation type="list" allowBlank="1" showInputMessage="1" showErrorMessage="1" xr:uid="{9ABCB1EA-FD77-4C69-9EF3-56FC878745DC}">
          <x14:formula1>
            <xm:f>_xlfn.ANCHORARRAY('Door Table'!$E$134)</xm:f>
          </x14:formula1>
          <xm:sqref>D84</xm:sqref>
        </x14:dataValidation>
        <x14:dataValidation type="list" allowBlank="1" showInputMessage="1" showErrorMessage="1" xr:uid="{6CBC3CA2-70CB-42DF-9AD0-E1033C880133}">
          <x14:formula1>
            <xm:f>_xlfn.ANCHORARRAY('Door Table'!$M$134)</xm:f>
          </x14:formula1>
          <xm:sqref>D92</xm:sqref>
        </x14:dataValidation>
        <x14:dataValidation type="list" allowBlank="1" showInputMessage="1" showErrorMessage="1" xr:uid="{DE16705A-9DF7-46DF-8435-FBC3BF582582}">
          <x14:formula1>
            <xm:f>_xlfn.ANCHORARRAY('Door Table'!$H$134)</xm:f>
          </x14:formula1>
          <xm:sqref>D87</xm:sqref>
        </x14:dataValidation>
        <x14:dataValidation type="list" allowBlank="1" showInputMessage="1" showErrorMessage="1" xr:uid="{3220A36E-7FBF-4B4B-B8FA-3A7F81F44D99}">
          <x14:formula1>
            <xm:f>'Cost Sheet'!$C$154:$C$156</xm:f>
          </x14:formula1>
          <xm:sqref>D104</xm:sqref>
        </x14:dataValidation>
        <x14:dataValidation type="list" allowBlank="1" showInputMessage="1" showErrorMessage="1" xr:uid="{EB492A88-A43A-401D-9611-D304A63FA1FF}">
          <x14:formula1>
            <xm:f>'Cost Sheet'!$C$153</xm:f>
          </x14:formula1>
          <xm:sqref>D102</xm:sqref>
        </x14:dataValidation>
        <x14:dataValidation type="list" allowBlank="1" showInputMessage="1" showErrorMessage="1" xr:uid="{2F69C802-9C35-4F25-A777-CC5A065C9677}">
          <x14:formula1>
            <xm:f>'Cost Sheet'!$C$151:$C$152</xm:f>
          </x14:formula1>
          <xm:sqref>D101</xm:sqref>
        </x14:dataValidation>
        <x14:dataValidation type="list" allowBlank="1" showInputMessage="1" showErrorMessage="1" xr:uid="{2F4CD00E-89AC-4768-BA20-2FF918F034D4}">
          <x14:formula1>
            <xm:f>'Cost Sheet'!$C$150</xm:f>
          </x14:formula1>
          <xm:sqref>D100</xm:sqref>
        </x14:dataValidation>
        <x14:dataValidation type="list" allowBlank="1" showInputMessage="1" showErrorMessage="1" xr:uid="{0A745CE1-1DDD-4B53-B215-50A173A0AB40}">
          <x14:formula1>
            <xm:f>'Cost Sheet'!$C$101</xm:f>
          </x14:formula1>
          <xm:sqref>D99</xm:sqref>
        </x14:dataValidation>
        <x14:dataValidation type="list" allowBlank="1" showInputMessage="1" showErrorMessage="1" xr:uid="{ACD44537-AA6C-4375-891E-DE059D902B8A}">
          <x14:formula1>
            <xm:f>'Cost Sheet'!$C$93:$C$94</xm:f>
          </x14:formula1>
          <xm:sqref>D98</xm:sqref>
        </x14:dataValidation>
        <x14:dataValidation type="list" allowBlank="1" showInputMessage="1" showErrorMessage="1" xr:uid="{7B1A9483-79CF-46E2-BFD7-FB20EBB92721}">
          <x14:formula1>
            <xm:f>'Cost Sheet'!$C$87</xm:f>
          </x14:formula1>
          <xm:sqref>D97</xm:sqref>
        </x14:dataValidation>
        <x14:dataValidation type="list" allowBlank="1" showInputMessage="1" showErrorMessage="1" xr:uid="{6542B408-6E6F-4685-BACF-36F41CAB944F}">
          <x14:formula1>
            <xm:f>'Cost Sheet'!$C$86</xm:f>
          </x14:formula1>
          <xm:sqref>D96</xm:sqref>
        </x14:dataValidation>
        <x14:dataValidation type="list" allowBlank="1" showInputMessage="1" showErrorMessage="1" xr:uid="{71E820A1-03FD-47ED-8CC6-F90DE23C38D0}">
          <x14:formula1>
            <xm:f>'Cost Sheet'!$C$162:$C$164</xm:f>
          </x14:formula1>
          <xm:sqref>D105</xm:sqref>
        </x14:dataValidation>
        <x14:dataValidation type="list" allowBlank="1" showInputMessage="1" showErrorMessage="1" xr:uid="{A446F0A9-F7A2-4A78-9D72-D12E8FBAC526}">
          <x14:formula1>
            <xm:f>'Calculation Sheet - BOM '!$AH$3</xm:f>
          </x14:formula1>
          <xm:sqref>D94</xm:sqref>
        </x14:dataValidation>
        <x14:dataValidation type="list" allowBlank="1" showInputMessage="1" showErrorMessage="1" xr:uid="{6268C0C5-11FF-4FFC-9D6E-D865BC77173D}">
          <x14:formula1>
            <xm:f>'Door Table'!$A$205</xm:f>
          </x14:formula1>
          <xm:sqref>D95</xm:sqref>
        </x14:dataValidation>
        <x14:dataValidation type="list" allowBlank="1" showInputMessage="1" showErrorMessage="1" xr:uid="{44269C96-B45B-4F40-9FA3-B33CD772ACEA}">
          <x14:formula1>
            <xm:f>'Calculation Sheet - BOM '!$AG$3:$AG$4</xm:f>
          </x14:formula1>
          <xm:sqref>D65</xm:sqref>
        </x14:dataValidation>
        <x14:dataValidation type="list" allowBlank="1" showInputMessage="1" showErrorMessage="1" xr:uid="{EAE11046-9F6E-44D2-9CD7-1A5CA7F9BB09}">
          <x14:formula1>
            <xm:f>'Door Table'!$AB$143:$AB$146</xm:f>
          </x14:formula1>
          <xm:sqref>D77:D80</xm:sqref>
        </x14:dataValidation>
        <x14:dataValidation type="list" allowBlank="1" showInputMessage="1" showErrorMessage="1" xr:uid="{45F91722-AC41-4C4F-9512-67321D9E50E8}">
          <x14:formula1>
            <xm:f>'Cost Sheet'!$C$227</xm:f>
          </x14:formula1>
          <xm:sqref>D103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FFB8-B0E2-4B49-8FB9-00EEE46F1566}">
  <sheetPr codeName="Sheet26">
    <tabColor rgb="FF92D050"/>
  </sheetPr>
  <dimension ref="A2:Y148"/>
  <sheetViews>
    <sheetView showGridLines="0" topLeftCell="A77" workbookViewId="0">
      <selection activeCell="E121" sqref="E121"/>
    </sheetView>
  </sheetViews>
  <sheetFormatPr defaultColWidth="8.58203125" defaultRowHeight="13" x14ac:dyDescent="0.35"/>
  <cols>
    <col min="1" max="2" width="12.33203125" style="263" customWidth="1"/>
    <col min="3" max="3" width="33.08203125" style="246" bestFit="1" customWidth="1"/>
    <col min="4" max="4" width="32.58203125" style="264" bestFit="1" customWidth="1"/>
    <col min="5" max="5" width="13.83203125" style="246" customWidth="1"/>
    <col min="6" max="6" width="15.33203125" style="246" customWidth="1"/>
    <col min="7" max="7" width="4.33203125" style="246" customWidth="1"/>
    <col min="8" max="8" width="30.08203125" style="247" bestFit="1" customWidth="1"/>
    <col min="9" max="9" width="32.58203125" style="247" bestFit="1" customWidth="1"/>
    <col min="10" max="10" width="12.08203125" style="246" customWidth="1"/>
    <col min="11" max="11" width="13.33203125" style="246" customWidth="1"/>
    <col min="12" max="12" width="3.58203125" style="246" customWidth="1"/>
    <col min="13" max="13" width="38.25" style="246" bestFit="1" customWidth="1"/>
    <col min="14" max="14" width="38.08203125" style="246" bestFit="1" customWidth="1"/>
    <col min="15" max="15" width="11.75" style="246" customWidth="1"/>
    <col min="16" max="16" width="15" style="246" customWidth="1"/>
    <col min="17" max="18" width="8.58203125" style="246"/>
    <col min="19" max="19" width="29.33203125" style="246" bestFit="1" customWidth="1"/>
    <col min="20" max="20" width="20.5" style="246" bestFit="1" customWidth="1"/>
    <col min="21" max="23" width="8.58203125" style="246"/>
    <col min="24" max="24" width="20.25" style="246" bestFit="1" customWidth="1"/>
    <col min="25" max="25" width="5.58203125" style="246" bestFit="1" customWidth="1"/>
    <col min="26" max="16384" width="8.58203125" style="246"/>
  </cols>
  <sheetData>
    <row r="2" spans="1:25" ht="15.65" customHeight="1" x14ac:dyDescent="0.35">
      <c r="A2" s="795" t="s">
        <v>28</v>
      </c>
      <c r="B2" s="796"/>
      <c r="C2" s="244" t="s">
        <v>29</v>
      </c>
      <c r="D2" s="245"/>
      <c r="E2" s="244" t="s">
        <v>31</v>
      </c>
      <c r="F2" s="245"/>
      <c r="J2" s="247"/>
      <c r="K2" s="247"/>
    </row>
    <row r="3" spans="1:25" ht="15.65" customHeight="1" x14ac:dyDescent="0.3">
      <c r="A3" s="797"/>
      <c r="B3" s="798"/>
      <c r="C3" s="248" t="s">
        <v>30</v>
      </c>
      <c r="D3" s="249"/>
      <c r="L3" s="250"/>
      <c r="S3" s="821"/>
      <c r="T3" s="821"/>
      <c r="X3" s="822"/>
      <c r="Y3" s="822"/>
    </row>
    <row r="4" spans="1:25" x14ac:dyDescent="0.3">
      <c r="A4" s="797"/>
      <c r="B4" s="798"/>
      <c r="C4" s="251"/>
      <c r="D4" s="251"/>
      <c r="E4" s="251"/>
      <c r="F4" s="322"/>
      <c r="G4" s="278"/>
      <c r="H4" s="323"/>
      <c r="I4" s="251"/>
      <c r="J4" s="251"/>
      <c r="L4" s="250"/>
      <c r="S4" s="232"/>
      <c r="T4" s="233"/>
      <c r="X4" s="240"/>
      <c r="Y4" s="252"/>
    </row>
    <row r="5" spans="1:25" x14ac:dyDescent="0.3">
      <c r="A5" s="797"/>
      <c r="B5" s="798"/>
      <c r="C5" s="823" t="s">
        <v>33</v>
      </c>
      <c r="D5" s="824"/>
      <c r="E5" s="253"/>
      <c r="F5" s="829" t="s">
        <v>95</v>
      </c>
      <c r="G5" s="829"/>
      <c r="H5" s="829"/>
      <c r="I5" s="254" t="s">
        <v>96</v>
      </c>
      <c r="J5" s="255" t="s">
        <v>97</v>
      </c>
      <c r="L5" s="250"/>
      <c r="S5" s="232"/>
      <c r="T5" s="234"/>
      <c r="X5" s="240"/>
      <c r="Y5" s="256"/>
    </row>
    <row r="6" spans="1:25" ht="16" x14ac:dyDescent="0.3">
      <c r="A6" s="797"/>
      <c r="B6" s="798"/>
      <c r="C6" s="825" t="s">
        <v>34</v>
      </c>
      <c r="D6" s="50"/>
      <c r="E6" s="828" t="s">
        <v>34</v>
      </c>
      <c r="F6" s="818"/>
      <c r="G6" s="818"/>
      <c r="H6" s="818"/>
      <c r="I6" s="257" t="s">
        <v>100</v>
      </c>
      <c r="J6" s="258"/>
      <c r="L6" s="250"/>
      <c r="S6" s="232"/>
      <c r="T6" s="234"/>
      <c r="X6" s="259"/>
      <c r="Y6" s="252"/>
    </row>
    <row r="7" spans="1:25" ht="16" x14ac:dyDescent="0.3">
      <c r="A7" s="797"/>
      <c r="B7" s="798"/>
      <c r="C7" s="826"/>
      <c r="D7" s="50"/>
      <c r="E7" s="828"/>
      <c r="F7" s="818"/>
      <c r="G7" s="818"/>
      <c r="H7" s="818"/>
      <c r="L7" s="250"/>
      <c r="S7" s="235"/>
      <c r="T7" s="234"/>
      <c r="X7" s="259"/>
      <c r="Y7" s="252"/>
    </row>
    <row r="8" spans="1:25" ht="16" x14ac:dyDescent="0.3">
      <c r="A8" s="797"/>
      <c r="B8" s="798"/>
      <c r="C8" s="827"/>
      <c r="D8" s="50"/>
      <c r="E8" s="828"/>
      <c r="F8" s="818"/>
      <c r="G8" s="818"/>
      <c r="H8" s="818"/>
      <c r="L8" s="250"/>
      <c r="S8" s="235"/>
      <c r="T8" s="234"/>
      <c r="X8" s="259"/>
      <c r="Y8" s="252"/>
    </row>
    <row r="9" spans="1:25" ht="16" x14ac:dyDescent="0.3">
      <c r="A9" s="797"/>
      <c r="B9" s="798"/>
      <c r="C9" s="7" t="s">
        <v>105</v>
      </c>
      <c r="D9" s="50"/>
      <c r="E9" s="8" t="s">
        <v>105</v>
      </c>
      <c r="F9" s="818"/>
      <c r="G9" s="818"/>
      <c r="H9" s="818"/>
      <c r="L9" s="250"/>
      <c r="S9" s="236"/>
      <c r="T9" s="234"/>
      <c r="X9" s="259"/>
      <c r="Y9" s="260"/>
    </row>
    <row r="10" spans="1:25" ht="16" x14ac:dyDescent="0.3">
      <c r="A10" s="797"/>
      <c r="B10" s="798"/>
      <c r="C10" s="7" t="s">
        <v>7</v>
      </c>
      <c r="D10" s="261"/>
      <c r="E10" s="8" t="s">
        <v>7</v>
      </c>
      <c r="F10" s="819"/>
      <c r="G10" s="819"/>
      <c r="H10" s="819"/>
      <c r="L10" s="250"/>
      <c r="S10" s="232"/>
      <c r="T10" s="234"/>
      <c r="X10" s="262"/>
      <c r="Y10" s="262"/>
    </row>
    <row r="11" spans="1:25" ht="16" x14ac:dyDescent="0.3">
      <c r="A11" s="799"/>
      <c r="B11" s="800"/>
      <c r="C11" s="7" t="s">
        <v>9</v>
      </c>
      <c r="D11" s="50"/>
      <c r="E11" s="8" t="s">
        <v>9</v>
      </c>
      <c r="F11" s="818"/>
      <c r="G11" s="818"/>
      <c r="H11" s="818"/>
      <c r="L11" s="250"/>
      <c r="S11" s="232"/>
      <c r="T11" s="234"/>
      <c r="X11" s="262"/>
      <c r="Y11" s="262"/>
    </row>
    <row r="12" spans="1:25" x14ac:dyDescent="0.3">
      <c r="G12" s="247"/>
      <c r="L12" s="250"/>
      <c r="S12" s="237"/>
      <c r="T12" s="234"/>
      <c r="X12" s="240"/>
      <c r="Y12" s="252"/>
    </row>
    <row r="13" spans="1:25" x14ac:dyDescent="0.3">
      <c r="C13" s="265" t="s">
        <v>111</v>
      </c>
      <c r="D13" s="266"/>
      <c r="L13" s="250"/>
      <c r="S13" s="238"/>
      <c r="T13" s="239"/>
      <c r="X13" s="240"/>
      <c r="Y13" s="260"/>
    </row>
    <row r="14" spans="1:25" x14ac:dyDescent="0.3">
      <c r="C14" s="267" t="s">
        <v>114</v>
      </c>
      <c r="D14" s="268"/>
      <c r="L14" s="250"/>
      <c r="M14" s="250"/>
      <c r="N14" s="269"/>
    </row>
    <row r="15" spans="1:25" ht="15.65" customHeight="1" x14ac:dyDescent="0.3">
      <c r="A15" s="812" t="s">
        <v>115</v>
      </c>
      <c r="B15" s="813"/>
      <c r="C15" s="270" t="s">
        <v>116</v>
      </c>
      <c r="D15" s="801"/>
      <c r="E15" s="801"/>
      <c r="F15" s="801"/>
      <c r="G15" s="313" t="s">
        <v>117</v>
      </c>
      <c r="H15" s="271"/>
      <c r="L15" s="250"/>
      <c r="M15" s="250"/>
      <c r="N15" s="269"/>
    </row>
    <row r="16" spans="1:25" x14ac:dyDescent="0.3">
      <c r="A16" s="814"/>
      <c r="B16" s="815"/>
      <c r="C16" s="802"/>
      <c r="D16" s="803"/>
      <c r="E16" s="803"/>
      <c r="F16" s="804"/>
      <c r="G16" s="802"/>
      <c r="H16" s="804"/>
      <c r="L16" s="250"/>
    </row>
    <row r="17" spans="1:13" x14ac:dyDescent="0.35">
      <c r="A17" s="814"/>
      <c r="B17" s="815"/>
      <c r="C17" s="805"/>
      <c r="D17" s="806"/>
      <c r="E17" s="806"/>
      <c r="F17" s="807"/>
      <c r="G17" s="805"/>
      <c r="H17" s="807"/>
    </row>
    <row r="18" spans="1:13" x14ac:dyDescent="0.35">
      <c r="A18" s="814"/>
      <c r="B18" s="815"/>
      <c r="C18" s="805"/>
      <c r="D18" s="806"/>
      <c r="E18" s="806"/>
      <c r="F18" s="807"/>
      <c r="G18" s="805"/>
      <c r="H18" s="807"/>
    </row>
    <row r="19" spans="1:13" x14ac:dyDescent="0.35">
      <c r="A19" s="814"/>
      <c r="B19" s="815"/>
      <c r="C19" s="805"/>
      <c r="D19" s="806"/>
      <c r="E19" s="806"/>
      <c r="F19" s="807"/>
      <c r="G19" s="805"/>
      <c r="H19" s="807"/>
      <c r="J19" s="767" t="s">
        <v>118</v>
      </c>
      <c r="K19" s="767"/>
    </row>
    <row r="20" spans="1:13" x14ac:dyDescent="0.35">
      <c r="A20" s="814"/>
      <c r="B20" s="815"/>
      <c r="C20" s="805"/>
      <c r="D20" s="806"/>
      <c r="E20" s="806"/>
      <c r="F20" s="807"/>
      <c r="G20" s="805"/>
      <c r="H20" s="807"/>
      <c r="J20" s="285" t="s">
        <v>120</v>
      </c>
      <c r="K20" s="5"/>
    </row>
    <row r="21" spans="1:13" x14ac:dyDescent="0.35">
      <c r="A21" s="814"/>
      <c r="B21" s="815"/>
      <c r="C21" s="805"/>
      <c r="D21" s="806"/>
      <c r="E21" s="806"/>
      <c r="F21" s="807"/>
      <c r="G21" s="805"/>
      <c r="H21" s="807"/>
      <c r="J21" s="285" t="s">
        <v>121</v>
      </c>
      <c r="K21" s="287">
        <f>+K20/'Calculation Sheet - BOM '!$L$2</f>
        <v>0</v>
      </c>
    </row>
    <row r="22" spans="1:13" x14ac:dyDescent="0.35">
      <c r="A22" s="814"/>
      <c r="B22" s="815"/>
      <c r="C22" s="805"/>
      <c r="D22" s="806"/>
      <c r="E22" s="806"/>
      <c r="F22" s="807"/>
      <c r="G22" s="805"/>
      <c r="H22" s="807"/>
    </row>
    <row r="23" spans="1:13" x14ac:dyDescent="0.35">
      <c r="A23" s="814"/>
      <c r="B23" s="815"/>
      <c r="C23" s="805"/>
      <c r="D23" s="806"/>
      <c r="E23" s="806"/>
      <c r="F23" s="807"/>
      <c r="G23" s="805"/>
      <c r="H23" s="807"/>
      <c r="J23" s="247"/>
      <c r="K23" s="247"/>
    </row>
    <row r="24" spans="1:13" x14ac:dyDescent="0.35">
      <c r="A24" s="814"/>
      <c r="B24" s="815"/>
      <c r="C24" s="805"/>
      <c r="D24" s="806"/>
      <c r="E24" s="806"/>
      <c r="F24" s="807"/>
      <c r="G24" s="805"/>
      <c r="H24" s="807"/>
      <c r="J24" s="247"/>
      <c r="K24" s="247"/>
      <c r="M24" s="274"/>
    </row>
    <row r="25" spans="1:13" x14ac:dyDescent="0.35">
      <c r="A25" s="814"/>
      <c r="B25" s="815"/>
      <c r="C25" s="805"/>
      <c r="D25" s="806"/>
      <c r="E25" s="806"/>
      <c r="F25" s="807"/>
      <c r="G25" s="805"/>
      <c r="H25" s="807"/>
    </row>
    <row r="26" spans="1:13" x14ac:dyDescent="0.35">
      <c r="A26" s="816"/>
      <c r="B26" s="817"/>
      <c r="C26" s="808"/>
      <c r="D26" s="775"/>
      <c r="E26" s="775"/>
      <c r="F26" s="809"/>
      <c r="G26" s="808"/>
      <c r="H26" s="809"/>
    </row>
    <row r="27" spans="1:13" x14ac:dyDescent="0.35">
      <c r="A27" s="275"/>
      <c r="B27" s="275"/>
      <c r="C27" s="276"/>
      <c r="D27" s="277"/>
      <c r="E27" s="278"/>
      <c r="F27" s="278"/>
      <c r="G27" s="278"/>
      <c r="H27" s="278"/>
    </row>
    <row r="28" spans="1:13" x14ac:dyDescent="0.35">
      <c r="A28" s="275"/>
      <c r="B28" s="275"/>
      <c r="C28" s="247"/>
      <c r="D28" s="247"/>
      <c r="E28" s="247"/>
      <c r="F28" s="247"/>
      <c r="G28" s="247"/>
    </row>
    <row r="29" spans="1:13" x14ac:dyDescent="0.35">
      <c r="A29" s="275"/>
      <c r="B29" s="275"/>
      <c r="C29" s="820" t="str">
        <f>+CONCATENATE("DOOR 3 - ",D30)</f>
        <v>DOOR 3 - 0</v>
      </c>
      <c r="D29" s="820"/>
      <c r="E29" s="820"/>
      <c r="F29" s="820"/>
    </row>
    <row r="30" spans="1:13" x14ac:dyDescent="0.35">
      <c r="A30" s="784" t="s">
        <v>119</v>
      </c>
      <c r="B30" s="785"/>
      <c r="C30" s="279" t="s">
        <v>37</v>
      </c>
      <c r="D30" s="280">
        <f>+'Doors - Step 1'!$C44</f>
        <v>0</v>
      </c>
    </row>
    <row r="31" spans="1:13" x14ac:dyDescent="0.35">
      <c r="A31" s="786"/>
      <c r="B31" s="787"/>
      <c r="C31" s="281" t="s">
        <v>47</v>
      </c>
      <c r="D31" s="280">
        <f>+'Doors - Step 1'!$C45</f>
        <v>0</v>
      </c>
    </row>
    <row r="32" spans="1:13" x14ac:dyDescent="0.35">
      <c r="A32" s="786"/>
      <c r="B32" s="787"/>
      <c r="C32" s="281" t="s">
        <v>52</v>
      </c>
      <c r="D32" s="280">
        <f>+'Doors - Step 1'!$C46</f>
        <v>0</v>
      </c>
    </row>
    <row r="33" spans="1:6" x14ac:dyDescent="0.35">
      <c r="A33" s="786"/>
      <c r="B33" s="787"/>
      <c r="C33" s="281" t="s">
        <v>56</v>
      </c>
      <c r="D33" s="280">
        <f>+'Doors - Step 1'!$C47</f>
        <v>0</v>
      </c>
      <c r="E33" s="748" t="str">
        <f>+IF(D33="Motorized","Please specify the voltage in Freezer Door in N45","")</f>
        <v/>
      </c>
      <c r="F33" s="749"/>
    </row>
    <row r="34" spans="1:6" x14ac:dyDescent="0.35">
      <c r="A34" s="786"/>
      <c r="B34" s="787"/>
      <c r="C34" s="283" t="s">
        <v>193</v>
      </c>
      <c r="D34" s="333">
        <f>+'Doors - Step 1'!$C48</f>
        <v>0</v>
      </c>
      <c r="E34" s="727" t="str">
        <f>+IF(D30="Polyfoam Overlap Doors - Swing Door",IF(D34&gt;72,"Length can't be greater than 72 inches",""),"")</f>
        <v/>
      </c>
      <c r="F34" s="728"/>
    </row>
    <row r="35" spans="1:6" x14ac:dyDescent="0.35">
      <c r="A35" s="786"/>
      <c r="B35" s="787"/>
      <c r="C35" s="283" t="s">
        <v>61</v>
      </c>
      <c r="D35" s="333">
        <f>+'Doors - Step 1'!$C49</f>
        <v>0</v>
      </c>
      <c r="E35" s="727" t="str">
        <f>+IF(D30="Polyfoam Overlap Doors - Swing Door",IF(D35&gt;84,"Height can't be greater than 84 inches",""),"")</f>
        <v/>
      </c>
      <c r="F35" s="728"/>
    </row>
    <row r="36" spans="1:6" x14ac:dyDescent="0.35">
      <c r="A36" s="786"/>
      <c r="B36" s="787"/>
      <c r="C36" s="283" t="s">
        <v>64</v>
      </c>
      <c r="D36" s="333">
        <f>+'Doors - Step 1'!$C50</f>
        <v>0</v>
      </c>
    </row>
    <row r="37" spans="1:6" x14ac:dyDescent="0.35">
      <c r="A37" s="786"/>
      <c r="B37" s="787"/>
      <c r="C37" s="283" t="s">
        <v>67</v>
      </c>
      <c r="D37" s="333">
        <f>+'Doors - Step 1'!$C51</f>
        <v>0</v>
      </c>
    </row>
    <row r="38" spans="1:6" x14ac:dyDescent="0.35">
      <c r="A38" s="788"/>
      <c r="B38" s="789"/>
      <c r="C38" s="284" t="s">
        <v>69</v>
      </c>
      <c r="D38" s="333">
        <f>+'Doors - Step 1'!$C52</f>
        <v>0</v>
      </c>
    </row>
    <row r="39" spans="1:6" x14ac:dyDescent="0.35">
      <c r="A39" s="246"/>
      <c r="B39" s="246"/>
      <c r="D39" s="286"/>
    </row>
    <row r="40" spans="1:6" x14ac:dyDescent="0.35">
      <c r="A40" s="246"/>
      <c r="B40" s="775"/>
      <c r="C40" s="775"/>
      <c r="D40" s="775"/>
      <c r="E40" s="775"/>
      <c r="F40" s="775"/>
    </row>
    <row r="41" spans="1:6" ht="42" customHeight="1" x14ac:dyDescent="0.35">
      <c r="A41" s="811" t="s">
        <v>122</v>
      </c>
      <c r="B41" s="288" t="s">
        <v>123</v>
      </c>
      <c r="C41" s="273" t="s">
        <v>41</v>
      </c>
      <c r="D41" s="273"/>
      <c r="E41" s="272" t="s">
        <v>43</v>
      </c>
      <c r="F41" s="289" t="s">
        <v>124</v>
      </c>
    </row>
    <row r="42" spans="1:6" ht="15.65" customHeight="1" x14ac:dyDescent="0.35">
      <c r="A42" s="811"/>
      <c r="B42" s="290" t="str">
        <f>_xlfn.IFNA(IF(ISBLANK(C42),"",INDEX(Controller!F:F,MATCH(CONCATENATE('Door Table'!$A$3,'Door - Step 2'!$C42),Controller!$G:$G,0))),"Not Required")</f>
        <v>Main</v>
      </c>
      <c r="C42" s="291" t="s">
        <v>50</v>
      </c>
      <c r="D42" s="292">
        <f>+'Doors - Step 1'!$G45</f>
        <v>0</v>
      </c>
      <c r="E42" s="282"/>
      <c r="F42" s="293">
        <f>IF(ISBLANK(D42),"",'Cal. Sheet Door 3'!L13)</f>
        <v>15</v>
      </c>
    </row>
    <row r="43" spans="1:6" x14ac:dyDescent="0.35">
      <c r="A43" s="811"/>
      <c r="B43" s="290" t="str">
        <f>_xlfn.IFNA(IF(ISBLANK(C43),"",INDEX(Controller!F:F,MATCH(CONCATENATE('Door Table'!$A$3,'Door - Step 2'!$C43),Controller!$G:$G,0))),"Not Required")</f>
        <v>Main</v>
      </c>
      <c r="C43" s="291" t="s">
        <v>54</v>
      </c>
      <c r="D43" s="292">
        <f>+'Doors - Step 1'!$G46</f>
        <v>0</v>
      </c>
      <c r="E43" s="282"/>
      <c r="F43" s="293">
        <f>IF(ISBLANK(D43),"",'Cal. Sheet Door 3'!$L14)</f>
        <v>0</v>
      </c>
    </row>
    <row r="44" spans="1:6" x14ac:dyDescent="0.35">
      <c r="A44" s="811"/>
      <c r="B44" s="290" t="str">
        <f>_xlfn.IFNA(IF(ISBLANK(C44),"",INDEX(Controller!F:F,MATCH(CONCATENATE('Door Table'!$A$3,'Door - Step 2'!$C44),Controller!$G:$G,0))),"Not Required")</f>
        <v>Option</v>
      </c>
      <c r="C44" s="291" t="s">
        <v>58</v>
      </c>
      <c r="D44" s="292">
        <f>+'Doors - Step 1'!$G47</f>
        <v>0</v>
      </c>
      <c r="E44" s="282"/>
      <c r="F44" s="293">
        <f>IF(ISBLANK(D44),"",'Cal. Sheet Door 3'!$L15)</f>
        <v>0</v>
      </c>
    </row>
    <row r="45" spans="1:6" x14ac:dyDescent="0.35">
      <c r="A45" s="811"/>
      <c r="B45" s="290" t="str">
        <f>_xlfn.IFNA(IF(ISBLANK(C45),"",INDEX(Controller!F:F,MATCH(CONCATENATE('Door Table'!$A$3,'Door - Step 2'!$C45),Controller!$G:$G,0))),"Not Required")</f>
        <v>Option</v>
      </c>
      <c r="C45" s="291" t="s">
        <v>60</v>
      </c>
      <c r="D45" s="292">
        <f>+'Doors - Step 1'!$G48</f>
        <v>0</v>
      </c>
      <c r="E45" s="282"/>
      <c r="F45" s="293">
        <f>IF(ISBLANK(D45),"",'Cal. Sheet Door 3'!$L16)</f>
        <v>0</v>
      </c>
    </row>
    <row r="46" spans="1:6" x14ac:dyDescent="0.35">
      <c r="A46" s="811"/>
      <c r="B46" s="290" t="str">
        <f>_xlfn.IFNA(IF(ISBLANK(C46),"",INDEX(Controller!F:F,MATCH(CONCATENATE('Door Table'!$A$3,'Door - Step 2'!$C46),Controller!$G:$G,0))),"Not Required")</f>
        <v>Option</v>
      </c>
      <c r="C46" s="291" t="s">
        <v>125</v>
      </c>
      <c r="D46" s="292">
        <f>+'Doors - Step 1'!$G49</f>
        <v>0</v>
      </c>
      <c r="E46" s="282"/>
      <c r="F46" s="293" t="str">
        <f>+IF(OR(ISBLANK(D46),($D$33="Manual"),(D46=0)),"",'Cost Sheet'!$V28)</f>
        <v/>
      </c>
    </row>
    <row r="47" spans="1:6" x14ac:dyDescent="0.35">
      <c r="A47" s="811"/>
      <c r="B47" s="290" t="str">
        <f>_xlfn.IFNA(IF(ISBLANK(C47),"",INDEX(Controller!F:F,MATCH(CONCATENATE('Door Table'!$A$3,'Door - Step 2'!$C47),Controller!$G:$G,0))),"Not Required")</f>
        <v>Option</v>
      </c>
      <c r="C47" s="291" t="s">
        <v>126</v>
      </c>
      <c r="D47" s="292"/>
      <c r="E47" s="282"/>
      <c r="F47" s="810" t="str">
        <f>IF(ISBLANK(D47),"",'Cal. Sheet Door 3'!$L18)</f>
        <v/>
      </c>
    </row>
    <row r="48" spans="1:6" x14ac:dyDescent="0.35">
      <c r="A48" s="811"/>
      <c r="B48" s="290" t="str">
        <f>_xlfn.IFNA(IF(ISBLANK(C48),"",INDEX(Controller!F:F,MATCH(CONCATENATE('Door Table'!$A$3,'Door - Step 2'!$C48),Controller!$G:$G,0))),"Not Required")</f>
        <v>Option</v>
      </c>
      <c r="C48" s="294" t="s">
        <v>127</v>
      </c>
      <c r="D48" s="292"/>
      <c r="E48" s="282"/>
      <c r="F48" s="810"/>
    </row>
    <row r="49" spans="1:6" x14ac:dyDescent="0.35">
      <c r="A49" s="811"/>
      <c r="B49" s="290" t="str">
        <f>_xlfn.IFNA(IF(ISBLANK(C49),"",INDEX(Controller!F:F,MATCH(CONCATENATE('Door Table'!$A$3,'Door - Step 2'!$C49),Controller!$G:$G,0))),"Not Required")</f>
        <v>Option</v>
      </c>
      <c r="C49" s="294" t="s">
        <v>128</v>
      </c>
      <c r="D49" s="292"/>
      <c r="E49" s="282"/>
      <c r="F49" s="810"/>
    </row>
    <row r="50" spans="1:6" x14ac:dyDescent="0.35">
      <c r="A50" s="811"/>
      <c r="B50" s="290" t="str">
        <f>_xlfn.IFNA(IF(ISBLANK(C50),"",INDEX(Controller!F:F,MATCH(CONCATENATE('Door Table'!$A$3,'Door - Step 2'!$C50),Controller!$G:$G,0))),"Not Required")</f>
        <v>Option</v>
      </c>
      <c r="C50" s="291" t="s">
        <v>129</v>
      </c>
      <c r="D50" s="292"/>
      <c r="E50" s="282"/>
      <c r="F50" s="776" t="str">
        <f>IF(ISBLANK(D50),"",SUM('Cal. Sheet Door 3'!$L21,'Cal. Sheet Door 3'!$L21))</f>
        <v/>
      </c>
    </row>
    <row r="51" spans="1:6" x14ac:dyDescent="0.35">
      <c r="A51" s="811"/>
      <c r="B51" s="290" t="str">
        <f>_xlfn.IFNA(IF(ISBLANK(C51),"",INDEX(Controller!F:F,MATCH(CONCATENATE('Door Table'!$A$3,'Door - Step 2'!$C51),Controller!$G:$G,0))),"Not Required")</f>
        <v>Option</v>
      </c>
      <c r="C51" s="294" t="s">
        <v>130</v>
      </c>
      <c r="D51" s="292"/>
      <c r="E51" s="282"/>
      <c r="F51" s="777"/>
    </row>
    <row r="52" spans="1:6" x14ac:dyDescent="0.35">
      <c r="A52" s="811"/>
      <c r="B52" s="290" t="str">
        <f>_xlfn.IFNA(IF(ISBLANK(C52),"",INDEX(Controller!F:F,MATCH(CONCATENATE('Door Table'!$A$3,'Door - Step 2'!$C52),Controller!$G:$G,0))),"Not Required")</f>
        <v>Not Required</v>
      </c>
      <c r="C52" s="291" t="s">
        <v>131</v>
      </c>
      <c r="D52" s="292"/>
      <c r="E52" s="282"/>
      <c r="F52" s="293" t="str">
        <f>IF(ISBLANK(D52),"",'Cal. Sheet Door 3'!$L23)</f>
        <v/>
      </c>
    </row>
    <row r="53" spans="1:6" x14ac:dyDescent="0.35">
      <c r="A53" s="811"/>
      <c r="B53" s="290" t="str">
        <f>_xlfn.IFNA(IF(ISBLANK(C53),"",INDEX(Controller!F:F,MATCH(CONCATENATE('Door Table'!$A$3,'Door - Step 2'!$C53),Controller!$G:$G,0))),"Not Required")</f>
        <v>Not Required</v>
      </c>
      <c r="C53" s="295" t="s">
        <v>132</v>
      </c>
      <c r="D53" s="292"/>
      <c r="E53" s="282"/>
      <c r="F53" s="293" t="str">
        <f>IF(ISBLANK(D53),"",'Cal. Sheet Door 3'!$L24)</f>
        <v/>
      </c>
    </row>
    <row r="54" spans="1:6" x14ac:dyDescent="0.35">
      <c r="A54" s="811"/>
      <c r="B54" s="290" t="str">
        <f ca="1">IFERROR(IF(ISBLANK(C54),"",INDEX(Controller!F:F,MATCH(CONCATENATE('Door Table'!$A$3,'Door - Step 2'!$C54),Controller!$G:$G,0))),"")</f>
        <v/>
      </c>
      <c r="C54" s="291" t="str" cm="1">
        <f t="array" aca="1" ref="C54" ca="1">IFERROR(_xlfn._xlws.FILTER(_xlfn.UNIQUE(OFFSET(Doors[[#All],[Search Function]],MATCH($D$30,Doors[[#All],[Door Type ]],0)-1,1,COUNTIF(Doors[[#All],[Door Type ]],$D$30),1)),
        ISNA(MATCH(_xlfn.UNIQUE(OFFSET(Doors[[#All],[Search Function]],MATCH($D$30,Doors[[#All],[Door Type ]],0)-1,1,COUNTIF(Doors[[#All],[Door Type ]],$D$30),1)),$C$42:$C$53, 0))),"")</f>
        <v/>
      </c>
      <c r="D54" s="292"/>
      <c r="E54" s="282"/>
      <c r="F54" s="293" t="str">
        <f>IF(ISBLANK(D54),"",'Cal. Sheet Door 3'!$L25)</f>
        <v/>
      </c>
    </row>
    <row r="55" spans="1:6" x14ac:dyDescent="0.35">
      <c r="A55" s="811"/>
      <c r="B55" s="290" t="str">
        <f>_xlfn.IFNA(IF(ISBLANK(C55),"",INDEX(Controller!F:F,MATCH(CONCATENATE('Door Table'!$A$3,'Door - Step 2'!$C55),Controller!$G:$G,0))),"Not Required")</f>
        <v/>
      </c>
      <c r="C55" s="291"/>
      <c r="D55" s="292"/>
      <c r="E55" s="282"/>
      <c r="F55" s="293" t="str">
        <f>IF(ISBLANK(D55),"",'Cal. Sheet Door 3'!$L26)</f>
        <v/>
      </c>
    </row>
    <row r="56" spans="1:6" x14ac:dyDescent="0.35">
      <c r="A56" s="811"/>
      <c r="B56" s="290" t="str">
        <f>_xlfn.IFNA(IF(ISBLANK(C56),"",INDEX(Controller!F:F,MATCH(CONCATENATE('Door Table'!$A$3,'Door - Step 2'!$C56),Controller!$G:$G,0))),"Not Required")</f>
        <v/>
      </c>
      <c r="C56" s="291"/>
      <c r="D56" s="292"/>
      <c r="E56" s="282"/>
      <c r="F56" s="293" t="str">
        <f>IF(ISBLANK(D56),"",'Cal. Sheet Door 3'!$L27)</f>
        <v/>
      </c>
    </row>
    <row r="57" spans="1:6" x14ac:dyDescent="0.35">
      <c r="A57" s="811"/>
      <c r="B57" s="290" t="str">
        <f>_xlfn.IFNA(IF(ISBLANK(C57),"",INDEX(Controller!F:F,MATCH(CONCATENATE('Door Table'!$A$3,'Door - Step 2'!$C57),Controller!$G:$G,0))),"Not Required")</f>
        <v/>
      </c>
      <c r="C57" s="291"/>
      <c r="D57" s="292"/>
      <c r="E57" s="282"/>
      <c r="F57" s="293" t="str">
        <f>IF(ISBLANK(D57),"",'Cal. Sheet Door 3'!$L28)</f>
        <v/>
      </c>
    </row>
    <row r="58" spans="1:6" x14ac:dyDescent="0.35">
      <c r="A58" s="811"/>
      <c r="B58" s="290" t="str">
        <f>_xlfn.IFNA(IF(ISBLANK(C58),"",INDEX(Controller!F:F,MATCH(CONCATENATE('Door Table'!$A$3,'Door - Step 2'!$C58),Controller!$G:$G,0))),"Not Required")</f>
        <v/>
      </c>
      <c r="C58" s="291"/>
      <c r="D58" s="292"/>
      <c r="E58" s="282"/>
      <c r="F58" s="293" t="str">
        <f>IF(ISBLANK(D58),"",'Cal. Sheet Door 3'!$L29)</f>
        <v/>
      </c>
    </row>
    <row r="59" spans="1:6" x14ac:dyDescent="0.35">
      <c r="A59" s="811"/>
      <c r="B59" s="290" t="str">
        <f>_xlfn.IFNA(IF(ISBLANK(C59),"",INDEX(Controller!F:F,MATCH(CONCATENATE('Door Table'!$A$3,'Door - Step 2'!$C59),Controller!$G:$G,0))),"Not Required")</f>
        <v/>
      </c>
      <c r="C59" s="291"/>
      <c r="D59" s="292"/>
      <c r="E59" s="282"/>
      <c r="F59" s="293" t="str">
        <f>IF(ISBLANK(D59),"",'Cal. Sheet Door 3'!$L30)</f>
        <v/>
      </c>
    </row>
    <row r="60" spans="1:6" ht="5.15" customHeight="1" x14ac:dyDescent="0.35">
      <c r="A60" s="811"/>
      <c r="B60" s="296"/>
      <c r="C60" s="297"/>
      <c r="D60" s="298"/>
      <c r="E60" s="299"/>
      <c r="F60" s="300"/>
    </row>
    <row r="61" spans="1:6" x14ac:dyDescent="0.35">
      <c r="A61" s="811"/>
      <c r="B61" s="290" t="s">
        <v>133</v>
      </c>
      <c r="C61" s="291" t="s">
        <v>134</v>
      </c>
      <c r="D61" s="292"/>
      <c r="E61" s="282"/>
      <c r="F61" s="293">
        <f>IF(ISBLANK(D34),"",'Cal. Sheet Door 3'!$L32)</f>
        <v>0</v>
      </c>
    </row>
    <row r="62" spans="1:6" x14ac:dyDescent="0.35">
      <c r="A62" s="811"/>
      <c r="B62" s="290" t="s">
        <v>135</v>
      </c>
      <c r="C62" s="291" t="s">
        <v>136</v>
      </c>
      <c r="D62" s="292"/>
      <c r="E62" s="282"/>
      <c r="F62" s="293">
        <f>IF(ISBLANK(D35),"",'Cal. Sheet Door 3'!$L33)</f>
        <v>0</v>
      </c>
    </row>
    <row r="63" spans="1:6" x14ac:dyDescent="0.35">
      <c r="A63" s="811"/>
      <c r="B63" s="290" t="s">
        <v>135</v>
      </c>
      <c r="C63" s="291" t="s">
        <v>81</v>
      </c>
      <c r="D63" s="292" t="str">
        <f>+IF(ISBLANK('Doors - Step 1'!G50),"",IF('Doors - Step 1'!G50="Bottom Sweep","Yes","No"))</f>
        <v/>
      </c>
      <c r="E63" s="282"/>
      <c r="F63" s="293" t="str">
        <f>+IF(D63="Yes",'Cal. Sheet Door 3'!V32,"")</f>
        <v/>
      </c>
    </row>
    <row r="64" spans="1:6" x14ac:dyDescent="0.35">
      <c r="A64" s="811"/>
      <c r="B64" s="290" t="s">
        <v>135</v>
      </c>
      <c r="C64" s="291" t="s">
        <v>66</v>
      </c>
      <c r="D64" s="292" t="str">
        <f>+IF(ISBLANK('Doors - Step 1'!G50),"",IF('Doors - Step 1'!G50="Weather Strip","Yes","No"))</f>
        <v/>
      </c>
      <c r="E64" s="282"/>
      <c r="F64" s="293" t="str">
        <f>+IF(D64="Yes",'Cal. Sheet Door 3'!V33,"")</f>
        <v/>
      </c>
    </row>
    <row r="65" spans="1:6" x14ac:dyDescent="0.35">
      <c r="A65" s="811"/>
      <c r="B65" s="497" t="s">
        <v>135</v>
      </c>
      <c r="C65" s="498" t="s">
        <v>137</v>
      </c>
      <c r="D65" s="292"/>
      <c r="E65" s="282"/>
      <c r="F65" s="293">
        <f>IF(ISBLANK($D$34),"",'Cal. Sheet Door 3'!$L36)</f>
        <v>0</v>
      </c>
    </row>
    <row r="66" spans="1:6" x14ac:dyDescent="0.35">
      <c r="A66" s="811"/>
      <c r="B66" s="290" t="s">
        <v>135</v>
      </c>
      <c r="C66" s="291" t="s">
        <v>139</v>
      </c>
      <c r="D66" s="325" t="str">
        <f>+IF('Doors - Step 1'!$C$44="Polyfoam Overlap Doors - Swing door",IF('Doors - Step 1'!$G$52="Package 3","Magnet Gasket","Not Required"),IF('Doors - Step 1'!$C$44&lt;&gt;"Polyfoam Overlap Doors - Swing door",IF(OR('Doors - Step 1'!$G$52='Door Table'!$E$184,'Doors - Step 1'!$G$52='Door Table'!$E$185),"Splin Gasket","Not Required")))</f>
        <v>Not Required</v>
      </c>
      <c r="E66" s="282"/>
      <c r="F66" s="293" t="str">
        <f>IF($D$66="Not Required","",'Cal. Sheet Door 3'!$L37)</f>
        <v/>
      </c>
    </row>
    <row r="67" spans="1:6" ht="5.15" customHeight="1" x14ac:dyDescent="0.35">
      <c r="A67" s="811"/>
      <c r="B67" s="296"/>
      <c r="C67" s="297"/>
      <c r="D67" s="298"/>
      <c r="E67" s="299"/>
      <c r="F67" s="300"/>
    </row>
    <row r="68" spans="1:6" ht="13" customHeight="1" x14ac:dyDescent="0.35">
      <c r="A68" s="811"/>
      <c r="B68" s="794" t="s">
        <v>140</v>
      </c>
      <c r="C68" s="301" t="s">
        <v>73</v>
      </c>
      <c r="D68" s="289"/>
      <c r="E68" s="302" t="s">
        <v>141</v>
      </c>
      <c r="F68" s="289" t="s">
        <v>124</v>
      </c>
    </row>
    <row r="69" spans="1:6" x14ac:dyDescent="0.35">
      <c r="A69" s="811"/>
      <c r="B69" s="794"/>
      <c r="C69" s="290" t="s">
        <v>142</v>
      </c>
      <c r="D69" s="325" t="str">
        <f>+IF($D$30&lt;&gt;"Polyfoam Overlap Doors - Swing door","SS tube","")</f>
        <v>SS tube</v>
      </c>
      <c r="E69" s="326"/>
      <c r="F69" s="293">
        <f>IF(ISBLANK(D69),"",'Cal. Sheet Door 3'!$L42)</f>
        <v>0</v>
      </c>
    </row>
    <row r="70" spans="1:6" x14ac:dyDescent="0.35">
      <c r="A70" s="811"/>
      <c r="B70" s="794"/>
      <c r="C70" s="290" t="s">
        <v>142</v>
      </c>
      <c r="D70" s="325" t="str">
        <f>+IF($D$30="Polyfoam Overlap Doors - Swing door","","Main Roller")</f>
        <v>Main Roller</v>
      </c>
      <c r="E70" s="326"/>
      <c r="F70" s="293">
        <f>IF(ISBLANK(D70),"",'Cal. Sheet Door 3'!$L43)</f>
        <v>0</v>
      </c>
    </row>
    <row r="71" spans="1:6" x14ac:dyDescent="0.35">
      <c r="A71" s="811"/>
      <c r="B71" s="794"/>
      <c r="C71" s="290" t="s">
        <v>142</v>
      </c>
      <c r="D71" s="325" t="str">
        <f>+IF($D$30="Polyfoam Overlap Doors - Swing door","","Bottom Stay Roller")</f>
        <v>Bottom Stay Roller</v>
      </c>
      <c r="E71" s="326"/>
      <c r="F71" s="293">
        <f>IF(ISBLANK(D71),"",'Cal. Sheet Door 3'!$L44)</f>
        <v>0</v>
      </c>
    </row>
    <row r="72" spans="1:6" x14ac:dyDescent="0.35">
      <c r="A72" s="811"/>
      <c r="B72" s="794"/>
      <c r="C72" s="290" t="s">
        <v>142</v>
      </c>
      <c r="D72" s="325" t="str">
        <f>+IF($D$30="Polyfoam Overlap Doors - Swing door","",IF($D$33="Motorized","Electric door bracket",IF($D$32="Wood","Wood Frame bracket","Aluminum Frame bracket")))</f>
        <v>Aluminum Frame bracket</v>
      </c>
      <c r="E72" s="326"/>
      <c r="F72" s="293">
        <f>IF(ISBLANK(D72),"",'Cal. Sheet Door 3'!$L45)</f>
        <v>0</v>
      </c>
    </row>
    <row r="73" spans="1:6" x14ac:dyDescent="0.35">
      <c r="A73" s="811"/>
      <c r="B73" s="794"/>
      <c r="C73" s="290" t="s">
        <v>142</v>
      </c>
      <c r="D73" s="325" t="b">
        <f>IF('Doors - Step 1'!$C$44&lt;&gt;"Polyfoam Overlap Doors - Swing door",IF(OR('Doors - Step 1'!$G$53='Door Table'!$E$182,'Doors - Step 1'!$G$53='Door Table'!$E$184),'Door Table'!$B183,IF(OR('Doors - Step 1'!$G$53='Door Table'!$E$183,'Doors - Step 1'!$G$53='Door Table'!$E$185),'Door Table'!$C183)),"Not Required")</f>
        <v>0</v>
      </c>
      <c r="E73" s="326"/>
      <c r="F73" s="293">
        <f>IF(ISBLANK(D73),"",'Cal. Sheet Door 3'!$L46)</f>
        <v>0</v>
      </c>
    </row>
    <row r="74" spans="1:6" x14ac:dyDescent="0.35">
      <c r="A74" s="811"/>
      <c r="B74" s="794"/>
      <c r="C74" s="290" t="s">
        <v>142</v>
      </c>
      <c r="D74" s="325" t="b">
        <f>IF('Doors - Step 1'!$C$44&lt;&gt;"Polyfoam Overlap Doors - Swing door",IF(OR('Doors - Step 1'!$G$53='Door Table'!$E$182,'Doors - Step 1'!$G$53='Door Table'!$E$184),'Door Table'!$B184,IF(OR('Doors - Step 1'!$G$53='Door Table'!$E$183,'Doors - Step 1'!$G$53='Door Table'!$E$185),'Door Table'!$C184)),"Not Required")</f>
        <v>0</v>
      </c>
      <c r="E74" s="326">
        <f>+IF('Doors - Step 1'!$C$28&lt;&gt;"Polyfoam Overlap Doors - Swing door",1,0)</f>
        <v>1</v>
      </c>
      <c r="F74" s="293">
        <f>IF(ISBLANK(D74),"",IF(ISBLANK(E74),"Please Specify Qty.",'Cal. Sheet Door 3'!$L47*E74))</f>
        <v>0</v>
      </c>
    </row>
    <row r="75" spans="1:6" x14ac:dyDescent="0.35">
      <c r="A75" s="811"/>
      <c r="B75" s="794"/>
      <c r="C75" s="290" t="s">
        <v>142</v>
      </c>
      <c r="D75" s="325" t="b">
        <f>IF('Doors - Step 1'!$C$44&lt;&gt;"Polyfoam Overlap Doors - Swing door",IF(OR('Doors - Step 1'!$G$53='Door Table'!$E$182,'Doors - Step 1'!$G$53='Door Table'!$E$184),'Door Table'!$B185,IF(OR('Doors - Step 1'!$G$53='Door Table'!$E$183,'Doors - Step 1'!$G$53='Door Table'!$E$185),'Door Table'!$C185)),"Not Required")</f>
        <v>0</v>
      </c>
      <c r="E75" s="326">
        <f>+IF('Doors - Step 1'!$C$28&lt;&gt;"Polyfoam Overlap Doors - Swing door",1,0)</f>
        <v>1</v>
      </c>
      <c r="F75" s="293">
        <f>IF(ISBLANK(D75),"",IF(ISBLANK(E75),"Please Specify Qty.",'Cal. Sheet Door 3'!$L48*E75))</f>
        <v>0</v>
      </c>
    </row>
    <row r="76" spans="1:6" x14ac:dyDescent="0.35">
      <c r="A76" s="811"/>
      <c r="B76" s="794"/>
      <c r="C76" s="290" t="s">
        <v>142</v>
      </c>
      <c r="D76" s="292" t="b">
        <f>IF('Doors - Step 1'!$C$44&lt;&gt;"Polyfoam Overlap Doors - Swing door",IF(OR('Doors - Step 1'!$G$53='Door Table'!$E$182,'Doors - Step 1'!$G$53='Door Table'!$E$184),'Door Table'!$B186,IF(OR('Doors - Step 1'!$G$53='Door Table'!$E$183,'Doors - Step 1'!$G$53='Door Table'!$E$185),'Door Table'!$C186)),"Not Required")</f>
        <v>0</v>
      </c>
      <c r="E76" s="68">
        <f>+IF('Doors - Step 1'!$C$28&lt;&gt;"Polyfoam Overlap Doors - Swing door",1,0)</f>
        <v>1</v>
      </c>
      <c r="F76" s="293">
        <f>IF(ISBLANK(D76),"",IF(ISBLANK(E76),"Please Specify Qty.",'Cal. Sheet Door 3'!$L49*E76))</f>
        <v>0</v>
      </c>
    </row>
    <row r="77" spans="1:6" x14ac:dyDescent="0.35">
      <c r="A77" s="811"/>
      <c r="B77" s="794" t="s">
        <v>144</v>
      </c>
      <c r="C77" s="290" t="s">
        <v>142</v>
      </c>
      <c r="D77" s="292"/>
      <c r="E77" s="68"/>
      <c r="F77" s="293" t="str">
        <f>IF(ISBLANK(D77),"",IF(ISBLANK(E77),"Please Specify Qty.",'Cal. Sheet Door 3'!$L50*E77))</f>
        <v/>
      </c>
    </row>
    <row r="78" spans="1:6" x14ac:dyDescent="0.35">
      <c r="A78" s="811"/>
      <c r="B78" s="794"/>
      <c r="C78" s="290" t="s">
        <v>142</v>
      </c>
      <c r="D78" s="292"/>
      <c r="E78" s="68"/>
      <c r="F78" s="293" t="str">
        <f>IF(ISBLANK(D78),"",IF(ISBLANK(E78),"Please Specify Qty.",'Cal. Sheet Door 3'!$L51*E78))</f>
        <v/>
      </c>
    </row>
    <row r="79" spans="1:6" x14ac:dyDescent="0.35">
      <c r="A79" s="811"/>
      <c r="B79" s="794"/>
      <c r="C79" s="290" t="s">
        <v>142</v>
      </c>
      <c r="D79" s="292"/>
      <c r="E79" s="68"/>
      <c r="F79" s="293" t="str">
        <f>IF(ISBLANK(D79),"",IF(ISBLANK(E79),"Please Specify Qty.",'Cal. Sheet Door 3'!$L52*E79))</f>
        <v/>
      </c>
    </row>
    <row r="80" spans="1:6" x14ac:dyDescent="0.35">
      <c r="A80" s="811"/>
      <c r="B80" s="794"/>
      <c r="C80" s="290" t="s">
        <v>142</v>
      </c>
      <c r="D80" s="292"/>
      <c r="E80" s="68"/>
      <c r="F80" s="293" t="str">
        <f>IF(ISBLANK(D80),"",IF(ISBLANK(E80),"Please Specify Qty.",'Cal. Sheet Door 3'!$L53*E80))</f>
        <v/>
      </c>
    </row>
    <row r="81" spans="1:6" ht="6" customHeight="1" x14ac:dyDescent="0.35">
      <c r="A81" s="296"/>
      <c r="B81" s="296"/>
      <c r="C81" s="296"/>
      <c r="D81" s="296"/>
      <c r="E81" s="296"/>
      <c r="F81" s="296"/>
    </row>
    <row r="82" spans="1:6" ht="15.65" customHeight="1" x14ac:dyDescent="0.35">
      <c r="A82" s="768" t="s">
        <v>145</v>
      </c>
      <c r="B82" s="769"/>
      <c r="C82" s="303" t="s">
        <v>73</v>
      </c>
      <c r="D82" s="302"/>
      <c r="E82" s="302"/>
      <c r="F82" s="289" t="s">
        <v>124</v>
      </c>
    </row>
    <row r="83" spans="1:6" x14ac:dyDescent="0.35">
      <c r="A83" s="770"/>
      <c r="B83" s="771"/>
      <c r="C83" s="290" t="s">
        <v>146</v>
      </c>
      <c r="D83" s="325" t="str">
        <f>+IF('Doors - Step 1'!$C$44="Polyfoam Overlap Doors - Swing door",'Door Table'!$B$176,"Not Required")</f>
        <v>Not Required</v>
      </c>
      <c r="E83" s="326">
        <f>+IF(D83="Not Required",0,IF('Doors - Step 1'!$C$44="Polyfoam Overlap Doors - Swing door",2,0))</f>
        <v>0</v>
      </c>
      <c r="F83" s="293" t="str">
        <f>IF(D83="Not Required","",IF(ISBLANK(E83),"Please Specify Qty.",'Cal. Sheet Door 3'!$L59*E83))</f>
        <v/>
      </c>
    </row>
    <row r="84" spans="1:6" x14ac:dyDescent="0.35">
      <c r="A84" s="770"/>
      <c r="B84" s="771"/>
      <c r="C84" s="304" t="s">
        <v>147</v>
      </c>
      <c r="D84" s="292"/>
      <c r="E84" s="68"/>
      <c r="F84" s="293" t="str">
        <f>IF(ISBLANK(D84),"",IF(ISBLANK(E84),"Please Specify Qty.",'Cal. Sheet Door 3'!$L60*E84))</f>
        <v/>
      </c>
    </row>
    <row r="85" spans="1:6" x14ac:dyDescent="0.35">
      <c r="A85" s="770"/>
      <c r="B85" s="771"/>
      <c r="C85" s="304" t="s">
        <v>148</v>
      </c>
      <c r="D85" s="292"/>
      <c r="E85" s="68"/>
      <c r="F85" s="293" t="str">
        <f>IF(ISBLANK(D85),"",IF(ISBLANK(E85),"Please Specify Qty.",'Cal. Sheet Door 3'!$L61*E85))</f>
        <v/>
      </c>
    </row>
    <row r="86" spans="1:6" x14ac:dyDescent="0.35">
      <c r="A86" s="770"/>
      <c r="B86" s="771"/>
      <c r="C86" s="304" t="s">
        <v>149</v>
      </c>
      <c r="D86" s="292"/>
      <c r="E86" s="68"/>
      <c r="F86" s="293" t="str">
        <f>IF(ISBLANK(D86),"",IF(ISBLANK(E86),"Please Specify Qty.",'Cal. Sheet Door 3'!$L62*E86))</f>
        <v/>
      </c>
    </row>
    <row r="87" spans="1:6" x14ac:dyDescent="0.35">
      <c r="A87" s="770"/>
      <c r="B87" s="771"/>
      <c r="C87" s="290" t="s">
        <v>150</v>
      </c>
      <c r="D87" s="325" t="str">
        <f>+IF('Doors - Step 1'!$C$44="Polyfoam Overlap Doors - Swing door",IF('Doors - Step 1'!$G$52="Package 1",'Door Table'!$B$178,IF('Doors - Step 1'!$G$52="Package 2",'Door Table'!$C$178,IF('Doors - Step 1'!$G$52="Package 3",'Door Table'!$D$178))),"Not Required")</f>
        <v>Not Required</v>
      </c>
      <c r="E87" s="326">
        <f>+IF(D87="Not Required",0,IF('Doors - Step 1'!$C$44="Polyfoam Overlap Doors - Swing door",1,0))</f>
        <v>0</v>
      </c>
      <c r="F87" s="293" t="str">
        <f>IF(D87="Not Required","",IF(ISBLANK(E87),"Please Specify Qty.",'Cal. Sheet Door 3'!$L63*E87))</f>
        <v/>
      </c>
    </row>
    <row r="88" spans="1:6" x14ac:dyDescent="0.35">
      <c r="A88" s="770"/>
      <c r="B88" s="771"/>
      <c r="C88" s="304" t="s">
        <v>151</v>
      </c>
      <c r="D88" s="292"/>
      <c r="E88" s="68"/>
      <c r="F88" s="293" t="str">
        <f>IF(ISBLANK(D88),"",IF(ISBLANK(E88),"Please Specify Qty.",'Cal. Sheet Door 3'!$L64*E88))</f>
        <v/>
      </c>
    </row>
    <row r="89" spans="1:6" x14ac:dyDescent="0.35">
      <c r="A89" s="770"/>
      <c r="B89" s="771"/>
      <c r="C89" s="304" t="s">
        <v>152</v>
      </c>
      <c r="D89" s="292"/>
      <c r="E89" s="68"/>
      <c r="F89" s="293" t="str">
        <f>IF(ISBLANK(D89),"",IF(ISBLANK(E89),"Please Specify Qty.",'Cal. Sheet Door 3'!$L65*E89))</f>
        <v/>
      </c>
    </row>
    <row r="90" spans="1:6" x14ac:dyDescent="0.35">
      <c r="A90" s="770"/>
      <c r="B90" s="771"/>
      <c r="C90" s="290" t="s">
        <v>153</v>
      </c>
      <c r="D90" s="292"/>
      <c r="E90" s="68"/>
      <c r="F90" s="293" t="str">
        <f>IF(ISBLANK(D90),"",IF(ISBLANK(E90),"Please Specify Qty.",'Cal. Sheet Door 3'!$L66*E90))</f>
        <v/>
      </c>
    </row>
    <row r="91" spans="1:6" x14ac:dyDescent="0.35">
      <c r="A91" s="770"/>
      <c r="B91" s="771"/>
      <c r="C91" s="290" t="s">
        <v>194</v>
      </c>
      <c r="D91" s="292"/>
      <c r="E91" s="68"/>
      <c r="F91" s="293" t="str">
        <f>IF(ISBLANK(D91),"",IF(ISBLANK(E91),"Please Specify Qty.",'Cal. Sheet Door 3'!$L67*E91))</f>
        <v/>
      </c>
    </row>
    <row r="92" spans="1:6" x14ac:dyDescent="0.35">
      <c r="A92" s="770"/>
      <c r="B92" s="771"/>
      <c r="C92" s="290" t="s">
        <v>155</v>
      </c>
      <c r="D92" s="325" t="str">
        <f>+IF('Doors - Step 1'!$C$44="Polyfoam Overlap Doors - Swing door",IF('Doors - Step 1'!$G$52="Package 1","Not Required",IF('Doors - Step 1'!$G$52="Package 2",'Door Table'!$C$177,IF('Doors - Step 1'!$G$52="Package 3",'Door Table'!$D$177))),"Not Required")</f>
        <v>Not Required</v>
      </c>
      <c r="E92" s="326">
        <f>+IF(D92="Not Required",0,IF('Doors - Step 1'!$C$44="Polyfoam Overlap Doors - Swing door",1,0))</f>
        <v>0</v>
      </c>
      <c r="F92" s="293" t="str">
        <f>IF(D92="Not Required","",IF(ISBLANK(E92),"Please Specify Qty.",'Cal. Sheet Door 3'!$L68*E92))</f>
        <v/>
      </c>
    </row>
    <row r="93" spans="1:6" x14ac:dyDescent="0.35">
      <c r="A93" s="770"/>
      <c r="B93" s="771"/>
      <c r="C93" s="290" t="s">
        <v>156</v>
      </c>
      <c r="D93" s="292"/>
      <c r="E93" s="68"/>
      <c r="F93" s="293" t="str">
        <f>IF(ISBLANK(D93),"",IF(ISBLANK(E93),"Please Specify Qty.",'Cal. Sheet Door 3'!$L69*E93))</f>
        <v/>
      </c>
    </row>
    <row r="94" spans="1:6" x14ac:dyDescent="0.35">
      <c r="A94" s="770"/>
      <c r="B94" s="771"/>
      <c r="C94" s="290"/>
      <c r="D94" s="292"/>
      <c r="E94" s="68"/>
      <c r="F94" s="293"/>
    </row>
    <row r="95" spans="1:6" x14ac:dyDescent="0.35">
      <c r="A95" s="770"/>
      <c r="B95" s="771"/>
      <c r="C95" s="290" t="s">
        <v>158</v>
      </c>
      <c r="D95" s="292"/>
      <c r="E95" s="68"/>
      <c r="F95" s="293" t="str">
        <f>IF(ISBLANK(D95),"",IF(ISBLANK(E95),"Please Specify Qty.",'Cal. Sheet Door 3'!$L70*E95))</f>
        <v/>
      </c>
    </row>
    <row r="96" spans="1:6" x14ac:dyDescent="0.35">
      <c r="A96" s="770"/>
      <c r="B96" s="771"/>
      <c r="C96" s="290"/>
      <c r="D96" s="292"/>
      <c r="E96" s="68"/>
      <c r="F96" s="293"/>
    </row>
    <row r="97" spans="1:6" x14ac:dyDescent="0.35">
      <c r="A97" s="770"/>
      <c r="B97" s="771"/>
      <c r="C97" s="290"/>
      <c r="D97" s="292"/>
      <c r="E97" s="68"/>
      <c r="F97" s="293"/>
    </row>
    <row r="98" spans="1:6" x14ac:dyDescent="0.35">
      <c r="A98" s="770"/>
      <c r="B98" s="771"/>
      <c r="C98" s="290"/>
      <c r="D98" s="292"/>
      <c r="E98" s="68"/>
      <c r="F98" s="293"/>
    </row>
    <row r="99" spans="1:6" x14ac:dyDescent="0.35">
      <c r="A99" s="770"/>
      <c r="B99" s="771"/>
      <c r="C99" s="290"/>
      <c r="D99" s="292"/>
      <c r="E99" s="68"/>
      <c r="F99" s="293"/>
    </row>
    <row r="100" spans="1:6" x14ac:dyDescent="0.35">
      <c r="A100" s="770"/>
      <c r="B100" s="771"/>
      <c r="C100" s="290"/>
      <c r="D100" s="292"/>
      <c r="E100" s="68"/>
      <c r="F100" s="293"/>
    </row>
    <row r="101" spans="1:6" x14ac:dyDescent="0.35">
      <c r="A101" s="770"/>
      <c r="B101" s="771"/>
      <c r="C101" s="290"/>
      <c r="D101" s="325"/>
      <c r="E101" s="68"/>
      <c r="F101" s="293"/>
    </row>
    <row r="102" spans="1:6" x14ac:dyDescent="0.35">
      <c r="A102" s="770"/>
      <c r="B102" s="771"/>
      <c r="C102" s="290"/>
      <c r="D102" s="292"/>
      <c r="E102" s="68"/>
      <c r="F102" s="293"/>
    </row>
    <row r="103" spans="1:6" x14ac:dyDescent="0.35">
      <c r="A103" s="770"/>
      <c r="B103" s="771"/>
      <c r="C103" s="290"/>
      <c r="D103" s="292"/>
      <c r="E103" s="68"/>
      <c r="F103" s="293"/>
    </row>
    <row r="104" spans="1:6" x14ac:dyDescent="0.35">
      <c r="A104" s="770"/>
      <c r="B104" s="771"/>
      <c r="C104" s="290"/>
      <c r="D104" s="292"/>
      <c r="E104" s="68"/>
      <c r="F104" s="293"/>
    </row>
    <row r="105" spans="1:6" x14ac:dyDescent="0.35">
      <c r="A105" s="770"/>
      <c r="B105" s="771"/>
      <c r="C105" s="290" t="s">
        <v>171</v>
      </c>
      <c r="D105" s="186"/>
      <c r="E105" s="493"/>
      <c r="F105" s="293" t="str">
        <f>IF(ISBLANK(D105),"",IF(E105="Linear Length","Specific the Linear Length in ft.",'Cal. Sheet Door 3'!$L71))</f>
        <v/>
      </c>
    </row>
    <row r="106" spans="1:6" x14ac:dyDescent="0.35">
      <c r="A106" s="772"/>
      <c r="B106" s="773"/>
      <c r="C106" s="290" t="s">
        <v>172</v>
      </c>
      <c r="D106" s="292"/>
      <c r="E106" s="68"/>
      <c r="F106" s="293" t="str">
        <f>IF(ISBLANK(D106),"",'Cal. Sheet Door 3'!$L72)</f>
        <v/>
      </c>
    </row>
    <row r="107" spans="1:6" ht="30" customHeight="1" x14ac:dyDescent="0.35">
      <c r="A107" s="778" t="s">
        <v>191</v>
      </c>
      <c r="B107" s="779"/>
      <c r="C107" s="273" t="s">
        <v>73</v>
      </c>
      <c r="D107" s="273" t="s">
        <v>42</v>
      </c>
      <c r="E107" s="272" t="s">
        <v>74</v>
      </c>
      <c r="F107" s="289" t="s">
        <v>124</v>
      </c>
    </row>
    <row r="108" spans="1:6" x14ac:dyDescent="0.35">
      <c r="A108" s="780"/>
      <c r="B108" s="781"/>
      <c r="C108" s="331" t="str">
        <f>+'Doors - Step 1'!F55</f>
        <v xml:space="preserve">Drafting Charges </v>
      </c>
      <c r="D108" s="331">
        <f>+'Doors - Step 1'!G55</f>
        <v>0</v>
      </c>
      <c r="E108" s="331">
        <f>+'Doors - Step 1'!H55</f>
        <v>0</v>
      </c>
      <c r="F108" s="293" t="str">
        <f>+'Doors - Step 1'!I55</f>
        <v/>
      </c>
    </row>
    <row r="109" spans="1:6" x14ac:dyDescent="0.35">
      <c r="A109" s="780"/>
      <c r="B109" s="781"/>
      <c r="C109" s="331"/>
      <c r="D109" s="331"/>
      <c r="E109" s="331"/>
      <c r="F109" s="293"/>
    </row>
    <row r="110" spans="1:6" x14ac:dyDescent="0.35">
      <c r="A110" s="782"/>
      <c r="B110" s="783"/>
      <c r="C110" s="331">
        <f>+'Doors - Step 1'!F57</f>
        <v>0</v>
      </c>
      <c r="D110" s="331">
        <f>+'Doors - Step 1'!G57</f>
        <v>0</v>
      </c>
      <c r="E110" s="331">
        <f>+'Doors - Step 1'!H57</f>
        <v>0</v>
      </c>
      <c r="F110" s="293" t="str">
        <f>+'Doors - Step 1'!I57</f>
        <v/>
      </c>
    </row>
    <row r="111" spans="1:6" x14ac:dyDescent="0.35">
      <c r="D111" s="246"/>
    </row>
    <row r="112" spans="1:6" x14ac:dyDescent="0.35">
      <c r="A112" s="774" t="s">
        <v>178</v>
      </c>
      <c r="B112" s="774"/>
      <c r="C112" s="790" t="s">
        <v>195</v>
      </c>
      <c r="D112" s="791"/>
      <c r="E112" s="305" t="s">
        <v>124</v>
      </c>
      <c r="F112" s="306">
        <f>+SUM(F42:F110)*$D$38</f>
        <v>0</v>
      </c>
    </row>
    <row r="113" spans="1:6" x14ac:dyDescent="0.35">
      <c r="A113" s="774"/>
      <c r="B113" s="774"/>
      <c r="C113" s="792"/>
      <c r="D113" s="793"/>
      <c r="E113" s="305" t="s">
        <v>45</v>
      </c>
      <c r="F113" s="307">
        <f>+'Doors - Step 1'!$K$45</f>
        <v>0</v>
      </c>
    </row>
    <row r="114" spans="1:6" x14ac:dyDescent="0.35">
      <c r="A114" s="774"/>
      <c r="B114" s="774"/>
      <c r="C114" s="792"/>
      <c r="D114" s="793"/>
      <c r="E114" s="305" t="s">
        <v>46</v>
      </c>
      <c r="F114" s="306">
        <f>+IF(ISBLANK(F113),"",(F112*(1+F113)))</f>
        <v>0</v>
      </c>
    </row>
    <row r="115" spans="1:6" x14ac:dyDescent="0.35">
      <c r="C115" s="263"/>
    </row>
    <row r="122" spans="1:6" x14ac:dyDescent="0.35">
      <c r="D122" s="246"/>
    </row>
    <row r="123" spans="1:6" x14ac:dyDescent="0.35">
      <c r="D123" s="246"/>
    </row>
    <row r="124" spans="1:6" x14ac:dyDescent="0.35">
      <c r="D124" s="246"/>
    </row>
    <row r="125" spans="1:6" x14ac:dyDescent="0.35">
      <c r="D125" s="246"/>
    </row>
    <row r="145" spans="3:6" x14ac:dyDescent="0.35">
      <c r="C145" s="281"/>
      <c r="D145" s="308"/>
      <c r="E145" s="308"/>
      <c r="F145" s="302"/>
    </row>
    <row r="146" spans="3:6" x14ac:dyDescent="0.35">
      <c r="C146" s="309"/>
      <c r="D146" s="310"/>
      <c r="E146" s="311"/>
      <c r="F146" s="312"/>
    </row>
    <row r="147" spans="3:6" x14ac:dyDescent="0.35">
      <c r="C147" s="309"/>
      <c r="D147" s="310"/>
      <c r="E147" s="311"/>
    </row>
    <row r="148" spans="3:6" x14ac:dyDescent="0.35">
      <c r="C148" s="291"/>
    </row>
  </sheetData>
  <mergeCells count="33">
    <mergeCell ref="A112:B114"/>
    <mergeCell ref="E33:F33"/>
    <mergeCell ref="A107:B110"/>
    <mergeCell ref="A2:B11"/>
    <mergeCell ref="C5:D5"/>
    <mergeCell ref="C6:C8"/>
    <mergeCell ref="E6:E8"/>
    <mergeCell ref="A15:B26"/>
    <mergeCell ref="C16:F26"/>
    <mergeCell ref="F10:H10"/>
    <mergeCell ref="F11:H11"/>
    <mergeCell ref="F5:H5"/>
    <mergeCell ref="F6:H6"/>
    <mergeCell ref="F7:H7"/>
    <mergeCell ref="C29:F29"/>
    <mergeCell ref="G16:H26"/>
    <mergeCell ref="X3:Y3"/>
    <mergeCell ref="B40:F40"/>
    <mergeCell ref="A30:B38"/>
    <mergeCell ref="D15:F15"/>
    <mergeCell ref="S3:T3"/>
    <mergeCell ref="J19:K19"/>
    <mergeCell ref="C112:D114"/>
    <mergeCell ref="F50:F51"/>
    <mergeCell ref="E34:F34"/>
    <mergeCell ref="E35:F35"/>
    <mergeCell ref="F47:F49"/>
    <mergeCell ref="A41:A80"/>
    <mergeCell ref="B68:B76"/>
    <mergeCell ref="B77:B80"/>
    <mergeCell ref="A82:B106"/>
    <mergeCell ref="F8:H8"/>
    <mergeCell ref="F9:H9"/>
  </mergeCells>
  <conditionalFormatting sqref="T4:T12">
    <cfRule type="containsText" dxfId="42" priority="4" operator="containsText" text="No">
      <formula>NOT(ISERROR(SEARCH("No",T4)))</formula>
    </cfRule>
    <cfRule type="containsText" dxfId="41" priority="5" operator="containsText" text="Yes">
      <formula>NOT(ISERROR(SEARCH("Yes",T4)))</formula>
    </cfRule>
  </conditionalFormatting>
  <conditionalFormatting sqref="T13">
    <cfRule type="cellIs" dxfId="40" priority="2" operator="lessThan">
      <formula>1</formula>
    </cfRule>
    <cfRule type="cellIs" dxfId="39" priority="3" operator="equal">
      <formula>1</formula>
    </cfRule>
  </conditionalFormatting>
  <conditionalFormatting sqref="B42:B59">
    <cfRule type="cellIs" dxfId="38" priority="1" operator="equal">
      <formula>"Not Required"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D88FB2AE-A304-44EF-9C98-E43AD0C9B051}">
          <x14:formula1>
            <xm:f>_xlfn.ANCHORARRAY('Door Table'!$V$46)</xm:f>
          </x14:formula1>
          <xm:sqref>D59</xm:sqref>
        </x14:dataValidation>
        <x14:dataValidation type="list" allowBlank="1" showInputMessage="1" showErrorMessage="1" xr:uid="{A91B758F-C31A-4AD9-8467-409EA779D773}">
          <x14:formula1>
            <xm:f>_xlfn.ANCHORARRAY('Door Table'!$U$46)</xm:f>
          </x14:formula1>
          <xm:sqref>D58</xm:sqref>
        </x14:dataValidation>
        <x14:dataValidation type="list" allowBlank="1" showInputMessage="1" showErrorMessage="1" xr:uid="{4FBF150D-D8C8-4DAF-93F6-3ED3AFB9828C}">
          <x14:formula1>
            <xm:f>_xlfn.ANCHORARRAY('Door Table'!$T$46)</xm:f>
          </x14:formula1>
          <xm:sqref>D57</xm:sqref>
        </x14:dataValidation>
        <x14:dataValidation type="list" allowBlank="1" showInputMessage="1" showErrorMessage="1" xr:uid="{77992F96-5945-4630-AC53-3AD19D108A96}">
          <x14:formula1>
            <xm:f>_xlfn.ANCHORARRAY('Door Table'!$S$46)</xm:f>
          </x14:formula1>
          <xm:sqref>D56</xm:sqref>
        </x14:dataValidation>
        <x14:dataValidation type="list" allowBlank="1" showInputMessage="1" showErrorMessage="1" xr:uid="{C6524ACD-505E-4DA2-86D6-DAD68EB4CE24}">
          <x14:formula1>
            <xm:f>_xlfn.ANCHORARRAY('Door Table'!$R$46)</xm:f>
          </x14:formula1>
          <xm:sqref>D55</xm:sqref>
        </x14:dataValidation>
        <x14:dataValidation type="list" allowBlank="1" showInputMessage="1" showErrorMessage="1" xr:uid="{9F3E0F1C-C779-48DD-8988-C02F59938574}">
          <x14:formula1>
            <xm:f>_xlfn.ANCHORARRAY('Door Table'!$Q$46)</xm:f>
          </x14:formula1>
          <xm:sqref>D54</xm:sqref>
        </x14:dataValidation>
        <x14:dataValidation type="list" allowBlank="1" showInputMessage="1" showErrorMessage="1" xr:uid="{5759BC7C-368E-4F17-BD78-3091D611068F}">
          <x14:formula1>
            <xm:f>_xlfn.ANCHORARRAY('Door Table'!$O$46)</xm:f>
          </x14:formula1>
          <xm:sqref>D52</xm:sqref>
        </x14:dataValidation>
        <x14:dataValidation type="list" allowBlank="1" showInputMessage="1" showErrorMessage="1" xr:uid="{E2596AA0-DA0F-4CE8-A658-F428935F2943}">
          <x14:formula1>
            <xm:f>_xlfn.ANCHORARRAY('Door Table'!$N$46)</xm:f>
          </x14:formula1>
          <xm:sqref>D51</xm:sqref>
        </x14:dataValidation>
        <x14:dataValidation type="list" allowBlank="1" showInputMessage="1" showErrorMessage="1" xr:uid="{8B87702E-2AA4-4F29-9F76-724E4C7CD5F7}">
          <x14:formula1>
            <xm:f>_xlfn.ANCHORARRAY('Door Table'!$M$46)</xm:f>
          </x14:formula1>
          <xm:sqref>D50</xm:sqref>
        </x14:dataValidation>
        <x14:dataValidation type="list" allowBlank="1" showInputMessage="1" showErrorMessage="1" xr:uid="{4E323D3C-40FE-4491-931A-74BF03C34F80}">
          <x14:formula1>
            <xm:f>_xlfn.ANCHORARRAY('Door Table'!$L$46)</xm:f>
          </x14:formula1>
          <xm:sqref>D49</xm:sqref>
        </x14:dataValidation>
        <x14:dataValidation type="list" allowBlank="1" showInputMessage="1" showErrorMessage="1" xr:uid="{D6D1661E-F04E-4F75-9250-E24465CECC79}">
          <x14:formula1>
            <xm:f>_xlfn.ANCHORARRAY('Door Table'!$K$46)</xm:f>
          </x14:formula1>
          <xm:sqref>D48</xm:sqref>
        </x14:dataValidation>
        <x14:dataValidation type="list" allowBlank="1" showInputMessage="1" showErrorMessage="1" xr:uid="{D7C80282-35CC-4FB0-9C13-ACE368F33738}">
          <x14:formula1>
            <xm:f>_xlfn.ANCHORARRAY('Door Table'!$J$46)</xm:f>
          </x14:formula1>
          <xm:sqref>D47</xm:sqref>
        </x14:dataValidation>
        <x14:dataValidation type="list" allowBlank="1" showInputMessage="1" showErrorMessage="1" xr:uid="{CDDF26FF-6ED2-4B3E-B5DD-E06172CD1CB3}">
          <x14:formula1>
            <xm:f>'Door Table'!$AB$134:$AB$142</xm:f>
          </x14:formula1>
          <xm:sqref>D77:D80</xm:sqref>
        </x14:dataValidation>
        <x14:dataValidation type="list" allowBlank="1" showInputMessage="1" showErrorMessage="1" xr:uid="{3A763E26-4BFF-44B0-AC2D-1B679C1CDEC2}">
          <x14:formula1>
            <xm:f>_xlfn.ANCHORARRAY('Door Table'!$V$134)</xm:f>
          </x14:formula1>
          <xm:sqref>D106</xm:sqref>
        </x14:dataValidation>
        <x14:dataValidation type="list" allowBlank="1" showInputMessage="1" showErrorMessage="1" xr:uid="{DAD06D09-F2F0-4600-A24A-2483B18EEFC5}">
          <x14:formula1>
            <xm:f>_xlfn.ANCHORARRAY('Door Table'!$S$134)</xm:f>
          </x14:formula1>
          <xm:sqref>D95:D104</xm:sqref>
        </x14:dataValidation>
        <x14:dataValidation type="list" allowBlank="1" showInputMessage="1" showErrorMessage="1" xr:uid="{A7B37615-1D85-4EFC-AA6A-45238F5C462C}">
          <x14:formula1>
            <xm:f>_xlfn.ANCHORARRAY('Door Table'!$P$134)</xm:f>
          </x14:formula1>
          <xm:sqref>D93:D94</xm:sqref>
        </x14:dataValidation>
        <x14:dataValidation type="list" allowBlank="1" showInputMessage="1" showErrorMessage="1" xr:uid="{49439B93-87FF-4292-8E8A-E934B685DFED}">
          <x14:formula1>
            <xm:f>_xlfn.ANCHORARRAY('Door Table'!$L$134)</xm:f>
          </x14:formula1>
          <xm:sqref>D91</xm:sqref>
        </x14:dataValidation>
        <x14:dataValidation type="list" allowBlank="1" showInputMessage="1" showErrorMessage="1" xr:uid="{2E4DACD6-EF78-4851-BFD6-F5CFA44976D3}">
          <x14:formula1>
            <xm:f>_xlfn.ANCHORARRAY('Door Table'!$K$134)</xm:f>
          </x14:formula1>
          <xm:sqref>D90</xm:sqref>
        </x14:dataValidation>
        <x14:dataValidation type="list" allowBlank="1" showInputMessage="1" showErrorMessage="1" xr:uid="{2D95BCBF-9B7B-4947-9F61-F2E79EB22A4F}">
          <x14:formula1>
            <xm:f>_xlfn.ANCHORARRAY('Door Table'!$J$134)</xm:f>
          </x14:formula1>
          <xm:sqref>D89</xm:sqref>
        </x14:dataValidation>
        <x14:dataValidation type="list" allowBlank="1" showInputMessage="1" showErrorMessage="1" xr:uid="{AA218BEE-9D2F-47C5-857A-9DCCD71769B3}">
          <x14:formula1>
            <xm:f>_xlfn.ANCHORARRAY('Door Table'!$I$134)</xm:f>
          </x14:formula1>
          <xm:sqref>D88</xm:sqref>
        </x14:dataValidation>
        <x14:dataValidation type="list" allowBlank="1" showInputMessage="1" showErrorMessage="1" xr:uid="{2720BB05-5DF6-485F-8CB0-7C4A4E7B4B99}">
          <x14:formula1>
            <xm:f>_xlfn.ANCHORARRAY('Door Table'!$G$134)</xm:f>
          </x14:formula1>
          <xm:sqref>D86</xm:sqref>
        </x14:dataValidation>
        <x14:dataValidation type="list" allowBlank="1" showInputMessage="1" showErrorMessage="1" xr:uid="{49C7CD64-B54D-456F-B4B3-8BB18238ED33}">
          <x14:formula1>
            <xm:f>_xlfn.ANCHORARRAY('Door Table'!$D$134)</xm:f>
          </x14:formula1>
          <xm:sqref>D84:D85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3BC6F-B0C7-4DB8-87FC-837EB1071613}">
  <sheetPr codeName="Sheet27">
    <tabColor rgb="FF92D050"/>
  </sheetPr>
  <dimension ref="A2:Y148"/>
  <sheetViews>
    <sheetView showGridLines="0" topLeftCell="A86" workbookViewId="0">
      <selection activeCell="E121" sqref="E121"/>
    </sheetView>
  </sheetViews>
  <sheetFormatPr defaultColWidth="8.58203125" defaultRowHeight="13" x14ac:dyDescent="0.35"/>
  <cols>
    <col min="1" max="2" width="12.33203125" style="263" customWidth="1"/>
    <col min="3" max="3" width="33.08203125" style="246" bestFit="1" customWidth="1"/>
    <col min="4" max="4" width="32.58203125" style="264" bestFit="1" customWidth="1"/>
    <col min="5" max="5" width="13.83203125" style="246" customWidth="1"/>
    <col min="6" max="6" width="15.33203125" style="246" customWidth="1"/>
    <col min="7" max="7" width="4.33203125" style="246" customWidth="1"/>
    <col min="8" max="8" width="30.08203125" style="247" bestFit="1" customWidth="1"/>
    <col min="9" max="9" width="32.58203125" style="247" bestFit="1" customWidth="1"/>
    <col min="10" max="10" width="12.08203125" style="246" customWidth="1"/>
    <col min="11" max="11" width="13.33203125" style="246" customWidth="1"/>
    <col min="12" max="12" width="3.58203125" style="246" customWidth="1"/>
    <col min="13" max="13" width="38.25" style="246" bestFit="1" customWidth="1"/>
    <col min="14" max="14" width="38.08203125" style="246" bestFit="1" customWidth="1"/>
    <col min="15" max="15" width="11.75" style="246" customWidth="1"/>
    <col min="16" max="16" width="15" style="246" customWidth="1"/>
    <col min="17" max="18" width="8.58203125" style="246"/>
    <col min="19" max="19" width="29.33203125" style="246" bestFit="1" customWidth="1"/>
    <col min="20" max="20" width="20.5" style="246" bestFit="1" customWidth="1"/>
    <col min="21" max="23" width="8.58203125" style="246"/>
    <col min="24" max="24" width="20.25" style="246" bestFit="1" customWidth="1"/>
    <col min="25" max="25" width="5.58203125" style="246" bestFit="1" customWidth="1"/>
    <col min="26" max="16384" width="8.58203125" style="246"/>
  </cols>
  <sheetData>
    <row r="2" spans="1:25" ht="15.65" customHeight="1" x14ac:dyDescent="0.35">
      <c r="A2" s="795" t="s">
        <v>28</v>
      </c>
      <c r="B2" s="796"/>
      <c r="C2" s="244" t="s">
        <v>29</v>
      </c>
      <c r="D2" s="245"/>
      <c r="E2" s="244" t="s">
        <v>31</v>
      </c>
      <c r="F2" s="245"/>
      <c r="J2" s="247"/>
      <c r="K2" s="247"/>
    </row>
    <row r="3" spans="1:25" ht="15.65" customHeight="1" x14ac:dyDescent="0.3">
      <c r="A3" s="797"/>
      <c r="B3" s="798"/>
      <c r="C3" s="248" t="s">
        <v>30</v>
      </c>
      <c r="D3" s="249"/>
      <c r="L3" s="250"/>
      <c r="S3" s="821"/>
      <c r="T3" s="821"/>
      <c r="X3" s="822"/>
      <c r="Y3" s="822"/>
    </row>
    <row r="4" spans="1:25" x14ac:dyDescent="0.3">
      <c r="A4" s="797"/>
      <c r="B4" s="798"/>
      <c r="C4" s="251"/>
      <c r="D4" s="251"/>
      <c r="E4" s="251"/>
      <c r="F4" s="322"/>
      <c r="G4" s="278"/>
      <c r="H4" s="323"/>
      <c r="I4" s="251"/>
      <c r="J4" s="251"/>
      <c r="L4" s="250"/>
      <c r="S4" s="232"/>
      <c r="T4" s="233"/>
      <c r="X4" s="240"/>
      <c r="Y4" s="252"/>
    </row>
    <row r="5" spans="1:25" x14ac:dyDescent="0.3">
      <c r="A5" s="797"/>
      <c r="B5" s="798"/>
      <c r="C5" s="823" t="s">
        <v>33</v>
      </c>
      <c r="D5" s="824"/>
      <c r="E5" s="253"/>
      <c r="F5" s="829" t="s">
        <v>95</v>
      </c>
      <c r="G5" s="829"/>
      <c r="H5" s="829"/>
      <c r="I5" s="254" t="s">
        <v>96</v>
      </c>
      <c r="J5" s="255" t="s">
        <v>97</v>
      </c>
      <c r="L5" s="250"/>
      <c r="S5" s="232"/>
      <c r="T5" s="234"/>
      <c r="X5" s="240"/>
      <c r="Y5" s="256"/>
    </row>
    <row r="6" spans="1:25" ht="16" x14ac:dyDescent="0.3">
      <c r="A6" s="797"/>
      <c r="B6" s="798"/>
      <c r="C6" s="825" t="s">
        <v>34</v>
      </c>
      <c r="D6" s="50"/>
      <c r="E6" s="828" t="s">
        <v>34</v>
      </c>
      <c r="F6" s="818"/>
      <c r="G6" s="818"/>
      <c r="H6" s="818"/>
      <c r="I6" s="257" t="s">
        <v>100</v>
      </c>
      <c r="J6" s="258"/>
      <c r="L6" s="250"/>
      <c r="S6" s="232"/>
      <c r="T6" s="234"/>
      <c r="X6" s="259"/>
      <c r="Y6" s="252"/>
    </row>
    <row r="7" spans="1:25" ht="16" x14ac:dyDescent="0.3">
      <c r="A7" s="797"/>
      <c r="B7" s="798"/>
      <c r="C7" s="826"/>
      <c r="D7" s="50"/>
      <c r="E7" s="828"/>
      <c r="F7" s="818"/>
      <c r="G7" s="818"/>
      <c r="H7" s="818"/>
      <c r="L7" s="250"/>
      <c r="S7" s="235"/>
      <c r="T7" s="234"/>
      <c r="X7" s="259"/>
      <c r="Y7" s="252"/>
    </row>
    <row r="8" spans="1:25" ht="16" x14ac:dyDescent="0.3">
      <c r="A8" s="797"/>
      <c r="B8" s="798"/>
      <c r="C8" s="827"/>
      <c r="D8" s="50"/>
      <c r="E8" s="828"/>
      <c r="F8" s="818"/>
      <c r="G8" s="818"/>
      <c r="H8" s="818"/>
      <c r="L8" s="250"/>
      <c r="S8" s="235"/>
      <c r="T8" s="234"/>
      <c r="X8" s="259"/>
      <c r="Y8" s="252"/>
    </row>
    <row r="9" spans="1:25" ht="16" x14ac:dyDescent="0.3">
      <c r="A9" s="797"/>
      <c r="B9" s="798"/>
      <c r="C9" s="7" t="s">
        <v>105</v>
      </c>
      <c r="D9" s="50"/>
      <c r="E9" s="8" t="s">
        <v>105</v>
      </c>
      <c r="F9" s="818"/>
      <c r="G9" s="818"/>
      <c r="H9" s="818"/>
      <c r="L9" s="250"/>
      <c r="S9" s="236"/>
      <c r="T9" s="234"/>
      <c r="X9" s="259"/>
      <c r="Y9" s="260"/>
    </row>
    <row r="10" spans="1:25" ht="16" x14ac:dyDescent="0.3">
      <c r="A10" s="797"/>
      <c r="B10" s="798"/>
      <c r="C10" s="7" t="s">
        <v>7</v>
      </c>
      <c r="D10" s="261"/>
      <c r="E10" s="8" t="s">
        <v>7</v>
      </c>
      <c r="F10" s="819"/>
      <c r="G10" s="819"/>
      <c r="H10" s="819"/>
      <c r="L10" s="250"/>
      <c r="S10" s="232"/>
      <c r="T10" s="234"/>
      <c r="X10" s="262"/>
      <c r="Y10" s="262"/>
    </row>
    <row r="11" spans="1:25" ht="16" x14ac:dyDescent="0.3">
      <c r="A11" s="799"/>
      <c r="B11" s="800"/>
      <c r="C11" s="7" t="s">
        <v>9</v>
      </c>
      <c r="D11" s="50"/>
      <c r="E11" s="8" t="s">
        <v>9</v>
      </c>
      <c r="F11" s="818"/>
      <c r="G11" s="818"/>
      <c r="H11" s="818"/>
      <c r="L11" s="250"/>
      <c r="S11" s="232"/>
      <c r="T11" s="234"/>
      <c r="X11" s="262"/>
      <c r="Y11" s="262"/>
    </row>
    <row r="12" spans="1:25" x14ac:dyDescent="0.3">
      <c r="G12" s="247"/>
      <c r="L12" s="250"/>
      <c r="S12" s="237"/>
      <c r="T12" s="234"/>
      <c r="X12" s="240"/>
      <c r="Y12" s="252"/>
    </row>
    <row r="13" spans="1:25" x14ac:dyDescent="0.3">
      <c r="C13" s="265" t="s">
        <v>111</v>
      </c>
      <c r="D13" s="266"/>
      <c r="L13" s="250"/>
      <c r="S13" s="238"/>
      <c r="T13" s="239"/>
      <c r="X13" s="240"/>
      <c r="Y13" s="260"/>
    </row>
    <row r="14" spans="1:25" x14ac:dyDescent="0.3">
      <c r="C14" s="267" t="s">
        <v>114</v>
      </c>
      <c r="D14" s="268"/>
      <c r="L14" s="250"/>
      <c r="M14" s="250"/>
      <c r="N14" s="269"/>
    </row>
    <row r="15" spans="1:25" ht="15.65" customHeight="1" x14ac:dyDescent="0.3">
      <c r="A15" s="812" t="s">
        <v>115</v>
      </c>
      <c r="B15" s="813"/>
      <c r="C15" s="270" t="s">
        <v>116</v>
      </c>
      <c r="D15" s="801"/>
      <c r="E15" s="801"/>
      <c r="F15" s="801"/>
      <c r="G15" s="313" t="s">
        <v>117</v>
      </c>
      <c r="H15" s="271"/>
      <c r="L15" s="250"/>
      <c r="M15" s="250"/>
      <c r="N15" s="269"/>
    </row>
    <row r="16" spans="1:25" x14ac:dyDescent="0.3">
      <c r="A16" s="814"/>
      <c r="B16" s="815"/>
      <c r="C16" s="802"/>
      <c r="D16" s="803"/>
      <c r="E16" s="803"/>
      <c r="F16" s="804"/>
      <c r="G16" s="802"/>
      <c r="H16" s="804"/>
      <c r="L16" s="250"/>
    </row>
    <row r="17" spans="1:13" x14ac:dyDescent="0.35">
      <c r="A17" s="814"/>
      <c r="B17" s="815"/>
      <c r="C17" s="805"/>
      <c r="D17" s="806"/>
      <c r="E17" s="806"/>
      <c r="F17" s="807"/>
      <c r="G17" s="805"/>
      <c r="H17" s="807"/>
    </row>
    <row r="18" spans="1:13" x14ac:dyDescent="0.35">
      <c r="A18" s="814"/>
      <c r="B18" s="815"/>
      <c r="C18" s="805"/>
      <c r="D18" s="806"/>
      <c r="E18" s="806"/>
      <c r="F18" s="807"/>
      <c r="G18" s="805"/>
      <c r="H18" s="807"/>
    </row>
    <row r="19" spans="1:13" x14ac:dyDescent="0.35">
      <c r="A19" s="814"/>
      <c r="B19" s="815"/>
      <c r="C19" s="805"/>
      <c r="D19" s="806"/>
      <c r="E19" s="806"/>
      <c r="F19" s="807"/>
      <c r="G19" s="805"/>
      <c r="H19" s="807"/>
      <c r="J19" s="767" t="s">
        <v>118</v>
      </c>
      <c r="K19" s="767"/>
    </row>
    <row r="20" spans="1:13" x14ac:dyDescent="0.35">
      <c r="A20" s="814"/>
      <c r="B20" s="815"/>
      <c r="C20" s="805"/>
      <c r="D20" s="806"/>
      <c r="E20" s="806"/>
      <c r="F20" s="807"/>
      <c r="G20" s="805"/>
      <c r="H20" s="807"/>
      <c r="J20" s="285" t="s">
        <v>120</v>
      </c>
      <c r="K20" s="5"/>
    </row>
    <row r="21" spans="1:13" x14ac:dyDescent="0.35">
      <c r="A21" s="814"/>
      <c r="B21" s="815"/>
      <c r="C21" s="805"/>
      <c r="D21" s="806"/>
      <c r="E21" s="806"/>
      <c r="F21" s="807"/>
      <c r="G21" s="805"/>
      <c r="H21" s="807"/>
      <c r="J21" s="285" t="s">
        <v>121</v>
      </c>
      <c r="K21" s="287">
        <f>+K20/'Calculation Sheet - BOM '!$L$2</f>
        <v>0</v>
      </c>
    </row>
    <row r="22" spans="1:13" x14ac:dyDescent="0.35">
      <c r="A22" s="814"/>
      <c r="B22" s="815"/>
      <c r="C22" s="805"/>
      <c r="D22" s="806"/>
      <c r="E22" s="806"/>
      <c r="F22" s="807"/>
      <c r="G22" s="805"/>
      <c r="H22" s="807"/>
    </row>
    <row r="23" spans="1:13" x14ac:dyDescent="0.35">
      <c r="A23" s="814"/>
      <c r="B23" s="815"/>
      <c r="C23" s="805"/>
      <c r="D23" s="806"/>
      <c r="E23" s="806"/>
      <c r="F23" s="807"/>
      <c r="G23" s="805"/>
      <c r="H23" s="807"/>
      <c r="J23" s="247"/>
      <c r="K23" s="247"/>
    </row>
    <row r="24" spans="1:13" x14ac:dyDescent="0.35">
      <c r="A24" s="814"/>
      <c r="B24" s="815"/>
      <c r="C24" s="805"/>
      <c r="D24" s="806"/>
      <c r="E24" s="806"/>
      <c r="F24" s="807"/>
      <c r="G24" s="805"/>
      <c r="H24" s="807"/>
      <c r="J24" s="247"/>
      <c r="K24" s="247"/>
      <c r="M24" s="274"/>
    </row>
    <row r="25" spans="1:13" x14ac:dyDescent="0.35">
      <c r="A25" s="814"/>
      <c r="B25" s="815"/>
      <c r="C25" s="805"/>
      <c r="D25" s="806"/>
      <c r="E25" s="806"/>
      <c r="F25" s="807"/>
      <c r="G25" s="805"/>
      <c r="H25" s="807"/>
    </row>
    <row r="26" spans="1:13" x14ac:dyDescent="0.35">
      <c r="A26" s="816"/>
      <c r="B26" s="817"/>
      <c r="C26" s="808"/>
      <c r="D26" s="775"/>
      <c r="E26" s="775"/>
      <c r="F26" s="809"/>
      <c r="G26" s="808"/>
      <c r="H26" s="809"/>
    </row>
    <row r="27" spans="1:13" x14ac:dyDescent="0.35">
      <c r="A27" s="275"/>
      <c r="B27" s="275"/>
      <c r="C27" s="276"/>
      <c r="D27" s="277"/>
      <c r="E27" s="278"/>
      <c r="F27" s="278"/>
      <c r="G27" s="278"/>
      <c r="H27" s="278"/>
    </row>
    <row r="28" spans="1:13" x14ac:dyDescent="0.35">
      <c r="A28" s="275"/>
      <c r="B28" s="275"/>
      <c r="C28" s="247"/>
      <c r="D28" s="247"/>
      <c r="E28" s="247"/>
      <c r="F28" s="247"/>
      <c r="G28" s="247"/>
    </row>
    <row r="29" spans="1:13" x14ac:dyDescent="0.35">
      <c r="A29" s="275"/>
      <c r="B29" s="275"/>
      <c r="C29" s="820" t="str">
        <f>+CONCATENATE("DOOR 3 - ",D30)</f>
        <v>DOOR 3 - 0</v>
      </c>
      <c r="D29" s="820"/>
      <c r="E29" s="820"/>
      <c r="F29" s="820"/>
    </row>
    <row r="30" spans="1:13" x14ac:dyDescent="0.35">
      <c r="A30" s="784" t="s">
        <v>119</v>
      </c>
      <c r="B30" s="785"/>
      <c r="C30" s="279" t="s">
        <v>37</v>
      </c>
      <c r="D30" s="280">
        <f>+'Doors - Step 1'!$C44</f>
        <v>0</v>
      </c>
    </row>
    <row r="31" spans="1:13" x14ac:dyDescent="0.35">
      <c r="A31" s="786"/>
      <c r="B31" s="787"/>
      <c r="C31" s="281" t="s">
        <v>47</v>
      </c>
      <c r="D31" s="280">
        <f>+'Doors - Step 1'!$C45</f>
        <v>0</v>
      </c>
    </row>
    <row r="32" spans="1:13" x14ac:dyDescent="0.35">
      <c r="A32" s="786"/>
      <c r="B32" s="787"/>
      <c r="C32" s="281" t="s">
        <v>52</v>
      </c>
      <c r="D32" s="280">
        <f>+'Doors - Step 1'!$C46</f>
        <v>0</v>
      </c>
    </row>
    <row r="33" spans="1:6" x14ac:dyDescent="0.35">
      <c r="A33" s="786"/>
      <c r="B33" s="787"/>
      <c r="C33" s="281" t="s">
        <v>56</v>
      </c>
      <c r="D33" s="280">
        <f>+'Doors - Step 1'!$C47</f>
        <v>0</v>
      </c>
      <c r="E33" s="748" t="str">
        <f>+IF(D33="Motorized","Please specify the voltage in Freezer Door in N45","")</f>
        <v/>
      </c>
      <c r="F33" s="749"/>
    </row>
    <row r="34" spans="1:6" x14ac:dyDescent="0.35">
      <c r="A34" s="786"/>
      <c r="B34" s="787"/>
      <c r="C34" s="283" t="s">
        <v>193</v>
      </c>
      <c r="D34" s="333">
        <f>+'Doors - Step 1'!$C48</f>
        <v>0</v>
      </c>
      <c r="E34" s="727" t="str">
        <f>+IF(D30="Polyfoam Overlap Doors - Swing Door",IF(D34&gt;72,"Length can't be greater than 72 inches",""),"")</f>
        <v/>
      </c>
      <c r="F34" s="728"/>
    </row>
    <row r="35" spans="1:6" x14ac:dyDescent="0.35">
      <c r="A35" s="786"/>
      <c r="B35" s="787"/>
      <c r="C35" s="283" t="s">
        <v>61</v>
      </c>
      <c r="D35" s="333">
        <f>+'Doors - Step 1'!$C49</f>
        <v>0</v>
      </c>
      <c r="E35" s="727" t="str">
        <f>+IF(D30="Polyfoam Overlap Doors - Swing Door",IF(D35&gt;84,"Height can't be greater than 84 inches",""),"")</f>
        <v/>
      </c>
      <c r="F35" s="728"/>
    </row>
    <row r="36" spans="1:6" x14ac:dyDescent="0.35">
      <c r="A36" s="786"/>
      <c r="B36" s="787"/>
      <c r="C36" s="283" t="s">
        <v>64</v>
      </c>
      <c r="D36" s="333">
        <f>+'Doors - Step 1'!$C50</f>
        <v>0</v>
      </c>
    </row>
    <row r="37" spans="1:6" x14ac:dyDescent="0.35">
      <c r="A37" s="786"/>
      <c r="B37" s="787"/>
      <c r="C37" s="283" t="s">
        <v>67</v>
      </c>
      <c r="D37" s="333">
        <f>+'Doors - Step 1'!$C51</f>
        <v>0</v>
      </c>
    </row>
    <row r="38" spans="1:6" x14ac:dyDescent="0.35">
      <c r="A38" s="788"/>
      <c r="B38" s="789"/>
      <c r="C38" s="284" t="s">
        <v>69</v>
      </c>
      <c r="D38" s="333">
        <f>+'Doors - Step 1'!$C52</f>
        <v>0</v>
      </c>
    </row>
    <row r="39" spans="1:6" x14ac:dyDescent="0.35">
      <c r="A39" s="246"/>
      <c r="B39" s="246"/>
      <c r="D39" s="286"/>
    </row>
    <row r="40" spans="1:6" x14ac:dyDescent="0.35">
      <c r="A40" s="246"/>
      <c r="B40" s="775"/>
      <c r="C40" s="775"/>
      <c r="D40" s="775"/>
      <c r="E40" s="775"/>
      <c r="F40" s="775"/>
    </row>
    <row r="41" spans="1:6" ht="42" customHeight="1" x14ac:dyDescent="0.35">
      <c r="A41" s="811" t="s">
        <v>122</v>
      </c>
      <c r="B41" s="288" t="s">
        <v>123</v>
      </c>
      <c r="C41" s="273" t="s">
        <v>41</v>
      </c>
      <c r="D41" s="273"/>
      <c r="E41" s="272" t="s">
        <v>43</v>
      </c>
      <c r="F41" s="289" t="s">
        <v>124</v>
      </c>
    </row>
    <row r="42" spans="1:6" ht="15.65" customHeight="1" x14ac:dyDescent="0.35">
      <c r="A42" s="811"/>
      <c r="B42" s="290" t="str">
        <f>_xlfn.IFNA(IF(ISBLANK(C42),"",INDEX(Controller!F:F,MATCH(CONCATENATE('Door Table'!$A$3,'Door - Step 2'!$C42),Controller!$G:$G,0))),"Not Required")</f>
        <v>Main</v>
      </c>
      <c r="C42" s="291" t="s">
        <v>50</v>
      </c>
      <c r="D42" s="292">
        <f>+'Doors - Step 1'!$G45</f>
        <v>0</v>
      </c>
      <c r="E42" s="282"/>
      <c r="F42" s="293">
        <f>IF(ISBLANK(D42),"",'Cal. Sheet Door 3'!L13)</f>
        <v>15</v>
      </c>
    </row>
    <row r="43" spans="1:6" x14ac:dyDescent="0.35">
      <c r="A43" s="811"/>
      <c r="B43" s="290" t="str">
        <f>_xlfn.IFNA(IF(ISBLANK(C43),"",INDEX(Controller!F:F,MATCH(CONCATENATE('Door Table'!$A$3,'Door - Step 2'!$C43),Controller!$G:$G,0))),"Not Required")</f>
        <v>Main</v>
      </c>
      <c r="C43" s="291" t="s">
        <v>54</v>
      </c>
      <c r="D43" s="292">
        <f>+'Doors - Step 1'!$G46</f>
        <v>0</v>
      </c>
      <c r="E43" s="282"/>
      <c r="F43" s="293">
        <f>IF(ISBLANK(D43),"",'Cal. Sheet Door 3'!$L14)</f>
        <v>0</v>
      </c>
    </row>
    <row r="44" spans="1:6" x14ac:dyDescent="0.35">
      <c r="A44" s="811"/>
      <c r="B44" s="290" t="str">
        <f>_xlfn.IFNA(IF(ISBLANK(C44),"",INDEX(Controller!F:F,MATCH(CONCATENATE('Door Table'!$A$3,'Door - Step 2'!$C44),Controller!$G:$G,0))),"Not Required")</f>
        <v>Option</v>
      </c>
      <c r="C44" s="291" t="s">
        <v>58</v>
      </c>
      <c r="D44" s="292">
        <f>+'Doors - Step 1'!$G47</f>
        <v>0</v>
      </c>
      <c r="E44" s="282"/>
      <c r="F44" s="293">
        <f>IF(ISBLANK(D44),"",'Cal. Sheet Door 3'!$L15)</f>
        <v>0</v>
      </c>
    </row>
    <row r="45" spans="1:6" x14ac:dyDescent="0.35">
      <c r="A45" s="811"/>
      <c r="B45" s="290" t="str">
        <f>_xlfn.IFNA(IF(ISBLANK(C45),"",INDEX(Controller!F:F,MATCH(CONCATENATE('Door Table'!$A$3,'Door - Step 2'!$C45),Controller!$G:$G,0))),"Not Required")</f>
        <v>Option</v>
      </c>
      <c r="C45" s="291" t="s">
        <v>60</v>
      </c>
      <c r="D45" s="292">
        <f>+'Doors - Step 1'!$G48</f>
        <v>0</v>
      </c>
      <c r="E45" s="282"/>
      <c r="F45" s="293">
        <f>IF(ISBLANK(D45),"",'Cal. Sheet Door 3'!$L16)</f>
        <v>0</v>
      </c>
    </row>
    <row r="46" spans="1:6" x14ac:dyDescent="0.35">
      <c r="A46" s="811"/>
      <c r="B46" s="290" t="str">
        <f>_xlfn.IFNA(IF(ISBLANK(C46),"",INDEX(Controller!F:F,MATCH(CONCATENATE('Door Table'!$A$3,'Door - Step 2'!$C46),Controller!$G:$G,0))),"Not Required")</f>
        <v>Option</v>
      </c>
      <c r="C46" s="291" t="s">
        <v>125</v>
      </c>
      <c r="D46" s="292">
        <f>+'Doors - Step 1'!$G49</f>
        <v>0</v>
      </c>
      <c r="E46" s="282"/>
      <c r="F46" s="293" t="str">
        <f>+IF(OR(ISBLANK(D46),($D$33="Manual"),(D46=0)),"",'Cost Sheet'!$V28)</f>
        <v/>
      </c>
    </row>
    <row r="47" spans="1:6" x14ac:dyDescent="0.35">
      <c r="A47" s="811"/>
      <c r="B47" s="290" t="str">
        <f>_xlfn.IFNA(IF(ISBLANK(C47),"",INDEX(Controller!F:F,MATCH(CONCATENATE('Door Table'!$A$3,'Door - Step 2'!$C47),Controller!$G:$G,0))),"Not Required")</f>
        <v>Option</v>
      </c>
      <c r="C47" s="291" t="s">
        <v>126</v>
      </c>
      <c r="D47" s="292"/>
      <c r="E47" s="282"/>
      <c r="F47" s="810" t="str">
        <f>IF(ISBLANK(D47),"",'Cal. Sheet Door 3'!$L18)</f>
        <v/>
      </c>
    </row>
    <row r="48" spans="1:6" x14ac:dyDescent="0.35">
      <c r="A48" s="811"/>
      <c r="B48" s="290" t="str">
        <f>_xlfn.IFNA(IF(ISBLANK(C48),"",INDEX(Controller!F:F,MATCH(CONCATENATE('Door Table'!$A$3,'Door - Step 2'!$C48),Controller!$G:$G,0))),"Not Required")</f>
        <v>Option</v>
      </c>
      <c r="C48" s="294" t="s">
        <v>127</v>
      </c>
      <c r="D48" s="292"/>
      <c r="E48" s="282"/>
      <c r="F48" s="810"/>
    </row>
    <row r="49" spans="1:6" x14ac:dyDescent="0.35">
      <c r="A49" s="811"/>
      <c r="B49" s="290" t="str">
        <f>_xlfn.IFNA(IF(ISBLANK(C49),"",INDEX(Controller!F:F,MATCH(CONCATENATE('Door Table'!$A$3,'Door - Step 2'!$C49),Controller!$G:$G,0))),"Not Required")</f>
        <v>Option</v>
      </c>
      <c r="C49" s="294" t="s">
        <v>128</v>
      </c>
      <c r="D49" s="292"/>
      <c r="E49" s="282"/>
      <c r="F49" s="810"/>
    </row>
    <row r="50" spans="1:6" x14ac:dyDescent="0.35">
      <c r="A50" s="811"/>
      <c r="B50" s="290" t="str">
        <f>_xlfn.IFNA(IF(ISBLANK(C50),"",INDEX(Controller!F:F,MATCH(CONCATENATE('Door Table'!$A$3,'Door - Step 2'!$C50),Controller!$G:$G,0))),"Not Required")</f>
        <v>Option</v>
      </c>
      <c r="C50" s="291" t="s">
        <v>129</v>
      </c>
      <c r="D50" s="292"/>
      <c r="E50" s="282"/>
      <c r="F50" s="776" t="str">
        <f>IF(ISBLANK(D50),"",SUM('Cal. Sheet Door 3'!$L21,'Cal. Sheet Door 3'!$L21))</f>
        <v/>
      </c>
    </row>
    <row r="51" spans="1:6" x14ac:dyDescent="0.35">
      <c r="A51" s="811"/>
      <c r="B51" s="290" t="str">
        <f>_xlfn.IFNA(IF(ISBLANK(C51),"",INDEX(Controller!F:F,MATCH(CONCATENATE('Door Table'!$A$3,'Door - Step 2'!$C51),Controller!$G:$G,0))),"Not Required")</f>
        <v>Option</v>
      </c>
      <c r="C51" s="294" t="s">
        <v>130</v>
      </c>
      <c r="D51" s="292"/>
      <c r="E51" s="282"/>
      <c r="F51" s="777"/>
    </row>
    <row r="52" spans="1:6" x14ac:dyDescent="0.35">
      <c r="A52" s="811"/>
      <c r="B52" s="290" t="str">
        <f>_xlfn.IFNA(IF(ISBLANK(C52),"",INDEX(Controller!F:F,MATCH(CONCATENATE('Door Table'!$A$3,'Door - Step 2'!$C52),Controller!$G:$G,0))),"Not Required")</f>
        <v>Not Required</v>
      </c>
      <c r="C52" s="291" t="s">
        <v>131</v>
      </c>
      <c r="D52" s="292"/>
      <c r="E52" s="282"/>
      <c r="F52" s="293" t="str">
        <f>IF(ISBLANK(D52),"",'Cal. Sheet Door 3'!$L23)</f>
        <v/>
      </c>
    </row>
    <row r="53" spans="1:6" x14ac:dyDescent="0.35">
      <c r="A53" s="811"/>
      <c r="B53" s="290" t="str">
        <f>_xlfn.IFNA(IF(ISBLANK(C53),"",INDEX(Controller!F:F,MATCH(CONCATENATE('Door Table'!$A$3,'Door - Step 2'!$C53),Controller!$G:$G,0))),"Not Required")</f>
        <v>Not Required</v>
      </c>
      <c r="C53" s="295" t="s">
        <v>132</v>
      </c>
      <c r="D53" s="292"/>
      <c r="E53" s="282"/>
      <c r="F53" s="293" t="str">
        <f>IF(ISBLANK(D53),"",'Cal. Sheet Door 3'!$L24)</f>
        <v/>
      </c>
    </row>
    <row r="54" spans="1:6" x14ac:dyDescent="0.35">
      <c r="A54" s="811"/>
      <c r="B54" s="290" t="str">
        <f ca="1">IFERROR(IF(ISBLANK(C54),"",INDEX(Controller!F:F,MATCH(CONCATENATE('Door Table'!$A$3,'Door - Step 2'!$C54),Controller!$G:$G,0))),"")</f>
        <v/>
      </c>
      <c r="C54" s="291" t="str" cm="1">
        <f t="array" aca="1" ref="C54" ca="1">IFERROR(_xlfn._xlws.FILTER(_xlfn.UNIQUE(OFFSET(Doors[[#All],[Search Function]],MATCH($D$30,Doors[[#All],[Door Type ]],0)-1,1,COUNTIF(Doors[[#All],[Door Type ]],$D$30),1)),
        ISNA(MATCH(_xlfn.UNIQUE(OFFSET(Doors[[#All],[Search Function]],MATCH($D$30,Doors[[#All],[Door Type ]],0)-1,1,COUNTIF(Doors[[#All],[Door Type ]],$D$30),1)),$C$42:$C$53, 0))),"")</f>
        <v/>
      </c>
      <c r="D54" s="292"/>
      <c r="E54" s="282"/>
      <c r="F54" s="293" t="str">
        <f>IF(ISBLANK(D54),"",'Cal. Sheet Door 3'!$L25)</f>
        <v/>
      </c>
    </row>
    <row r="55" spans="1:6" x14ac:dyDescent="0.35">
      <c r="A55" s="811"/>
      <c r="B55" s="290" t="str">
        <f>_xlfn.IFNA(IF(ISBLANK(C55),"",INDEX(Controller!F:F,MATCH(CONCATENATE('Door Table'!$A$3,'Door - Step 2'!$C55),Controller!$G:$G,0))),"Not Required")</f>
        <v/>
      </c>
      <c r="C55" s="291"/>
      <c r="D55" s="292"/>
      <c r="E55" s="282"/>
      <c r="F55" s="293" t="str">
        <f>IF(ISBLANK(D55),"",'Cal. Sheet Door 3'!$L26)</f>
        <v/>
      </c>
    </row>
    <row r="56" spans="1:6" x14ac:dyDescent="0.35">
      <c r="A56" s="811"/>
      <c r="B56" s="290" t="str">
        <f>_xlfn.IFNA(IF(ISBLANK(C56),"",INDEX(Controller!F:F,MATCH(CONCATENATE('Door Table'!$A$3,'Door - Step 2'!$C56),Controller!$G:$G,0))),"Not Required")</f>
        <v/>
      </c>
      <c r="C56" s="291"/>
      <c r="D56" s="292"/>
      <c r="E56" s="282"/>
      <c r="F56" s="293" t="str">
        <f>IF(ISBLANK(D56),"",'Cal. Sheet Door 3'!$L27)</f>
        <v/>
      </c>
    </row>
    <row r="57" spans="1:6" x14ac:dyDescent="0.35">
      <c r="A57" s="811"/>
      <c r="B57" s="290" t="str">
        <f>_xlfn.IFNA(IF(ISBLANK(C57),"",INDEX(Controller!F:F,MATCH(CONCATENATE('Door Table'!$A$3,'Door - Step 2'!$C57),Controller!$G:$G,0))),"Not Required")</f>
        <v/>
      </c>
      <c r="C57" s="291"/>
      <c r="D57" s="292"/>
      <c r="E57" s="282"/>
      <c r="F57" s="293" t="str">
        <f>IF(ISBLANK(D57),"",'Cal. Sheet Door 3'!$L28)</f>
        <v/>
      </c>
    </row>
    <row r="58" spans="1:6" x14ac:dyDescent="0.35">
      <c r="A58" s="811"/>
      <c r="B58" s="290" t="str">
        <f>_xlfn.IFNA(IF(ISBLANK(C58),"",INDEX(Controller!F:F,MATCH(CONCATENATE('Door Table'!$A$3,'Door - Step 2'!$C58),Controller!$G:$G,0))),"Not Required")</f>
        <v/>
      </c>
      <c r="C58" s="291"/>
      <c r="D58" s="292"/>
      <c r="E58" s="282"/>
      <c r="F58" s="293" t="str">
        <f>IF(ISBLANK(D58),"",'Cal. Sheet Door 3'!$L29)</f>
        <v/>
      </c>
    </row>
    <row r="59" spans="1:6" x14ac:dyDescent="0.35">
      <c r="A59" s="811"/>
      <c r="B59" s="290" t="str">
        <f>_xlfn.IFNA(IF(ISBLANK(C59),"",INDEX(Controller!F:F,MATCH(CONCATENATE('Door Table'!$A$3,'Door - Step 2'!$C59),Controller!$G:$G,0))),"Not Required")</f>
        <v/>
      </c>
      <c r="C59" s="291"/>
      <c r="D59" s="292"/>
      <c r="E59" s="282"/>
      <c r="F59" s="293" t="str">
        <f>IF(ISBLANK(D59),"",'Cal. Sheet Door 3'!$L30)</f>
        <v/>
      </c>
    </row>
    <row r="60" spans="1:6" ht="5.15" customHeight="1" x14ac:dyDescent="0.35">
      <c r="A60" s="811"/>
      <c r="B60" s="296"/>
      <c r="C60" s="297"/>
      <c r="D60" s="298"/>
      <c r="E60" s="299"/>
      <c r="F60" s="300"/>
    </row>
    <row r="61" spans="1:6" x14ac:dyDescent="0.35">
      <c r="A61" s="811"/>
      <c r="B61" s="290" t="s">
        <v>133</v>
      </c>
      <c r="C61" s="291" t="s">
        <v>134</v>
      </c>
      <c r="D61" s="292"/>
      <c r="E61" s="282"/>
      <c r="F61" s="293">
        <f>IF(ISBLANK(D34),"",'Cal. Sheet Door 3'!$L32)</f>
        <v>0</v>
      </c>
    </row>
    <row r="62" spans="1:6" x14ac:dyDescent="0.35">
      <c r="A62" s="811"/>
      <c r="B62" s="290" t="s">
        <v>135</v>
      </c>
      <c r="C62" s="291" t="s">
        <v>136</v>
      </c>
      <c r="D62" s="292"/>
      <c r="E62" s="282"/>
      <c r="F62" s="293">
        <f>IF(ISBLANK(D35),"",'Cal. Sheet Door 3'!$L33)</f>
        <v>0</v>
      </c>
    </row>
    <row r="63" spans="1:6" x14ac:dyDescent="0.35">
      <c r="A63" s="811"/>
      <c r="B63" s="290" t="s">
        <v>135</v>
      </c>
      <c r="C63" s="291" t="s">
        <v>81</v>
      </c>
      <c r="D63" s="292" t="str">
        <f>+IF(ISBLANK('Doors - Step 1'!G50),"",IF('Doors - Step 1'!G50="Bottom Sweep","Yes","No"))</f>
        <v/>
      </c>
      <c r="E63" s="282"/>
      <c r="F63" s="293" t="str">
        <f>+IF(D63="Yes",'Cal. Sheet Door 3'!V32,"")</f>
        <v/>
      </c>
    </row>
    <row r="64" spans="1:6" x14ac:dyDescent="0.35">
      <c r="A64" s="811"/>
      <c r="B64" s="290" t="s">
        <v>135</v>
      </c>
      <c r="C64" s="291" t="s">
        <v>66</v>
      </c>
      <c r="D64" s="292" t="str">
        <f>+IF(ISBLANK('Doors - Step 1'!G50),"",IF('Doors - Step 1'!G50="Weather Strip","Yes","No"))</f>
        <v/>
      </c>
      <c r="E64" s="282"/>
      <c r="F64" s="293" t="str">
        <f>+IF(D64="Yes",'Cal. Sheet Door 3'!V33,"")</f>
        <v/>
      </c>
    </row>
    <row r="65" spans="1:6" x14ac:dyDescent="0.35">
      <c r="A65" s="811"/>
      <c r="B65" s="497" t="s">
        <v>135</v>
      </c>
      <c r="C65" s="498" t="s">
        <v>137</v>
      </c>
      <c r="D65" s="292"/>
      <c r="E65" s="282"/>
      <c r="F65" s="293">
        <f>IF(ISBLANK($D$34),"",'Cal. Sheet Door 3'!$L36)</f>
        <v>0</v>
      </c>
    </row>
    <row r="66" spans="1:6" x14ac:dyDescent="0.35">
      <c r="A66" s="811"/>
      <c r="B66" s="290" t="s">
        <v>135</v>
      </c>
      <c r="C66" s="291" t="s">
        <v>139</v>
      </c>
      <c r="D66" s="325" t="str">
        <f>+IF('Doors - Step 1'!$C$44="Polyfoam Overlap Doors - Swing door",IF('Doors - Step 1'!$G$52="Package 3","Magnet Gasket","Not Required"),IF('Doors - Step 1'!$C$44&lt;&gt;"Polyfoam Overlap Doors - Swing door",IF(OR('Doors - Step 1'!$G$52='Door Table'!$E$184,'Doors - Step 1'!$G$52='Door Table'!$E$185),"Splin Gasket","Not Required")))</f>
        <v>Not Required</v>
      </c>
      <c r="E66" s="282"/>
      <c r="F66" s="293" t="str">
        <f>IF($D$66="Not Required","",'Cal. Sheet Door 3'!$L37)</f>
        <v/>
      </c>
    </row>
    <row r="67" spans="1:6" ht="5.15" customHeight="1" x14ac:dyDescent="0.35">
      <c r="A67" s="811"/>
      <c r="B67" s="296"/>
      <c r="C67" s="297"/>
      <c r="D67" s="298"/>
      <c r="E67" s="299"/>
      <c r="F67" s="300"/>
    </row>
    <row r="68" spans="1:6" ht="13" customHeight="1" x14ac:dyDescent="0.35">
      <c r="A68" s="811"/>
      <c r="B68" s="794" t="s">
        <v>140</v>
      </c>
      <c r="C68" s="301" t="s">
        <v>73</v>
      </c>
      <c r="D68" s="289"/>
      <c r="E68" s="302" t="s">
        <v>141</v>
      </c>
      <c r="F68" s="289" t="s">
        <v>124</v>
      </c>
    </row>
    <row r="69" spans="1:6" x14ac:dyDescent="0.35">
      <c r="A69" s="811"/>
      <c r="B69" s="794"/>
      <c r="C69" s="290" t="s">
        <v>142</v>
      </c>
      <c r="D69" s="325" t="str">
        <f>+IF($D$30&lt;&gt;"Polyfoam Overlap Doors - Swing door","SS tube","")</f>
        <v>SS tube</v>
      </c>
      <c r="E69" s="326"/>
      <c r="F69" s="293">
        <f>IF(ISBLANK(D69),"",'Cal. Sheet Door 3'!$L42)</f>
        <v>0</v>
      </c>
    </row>
    <row r="70" spans="1:6" x14ac:dyDescent="0.35">
      <c r="A70" s="811"/>
      <c r="B70" s="794"/>
      <c r="C70" s="290" t="s">
        <v>142</v>
      </c>
      <c r="D70" s="325" t="str">
        <f>+IF($D$30="Polyfoam Overlap Doors - Swing door","","Main Roller")</f>
        <v>Main Roller</v>
      </c>
      <c r="E70" s="326"/>
      <c r="F70" s="293">
        <f>IF(ISBLANK(D70),"",'Cal. Sheet Door 3'!$L43)</f>
        <v>0</v>
      </c>
    </row>
    <row r="71" spans="1:6" x14ac:dyDescent="0.35">
      <c r="A71" s="811"/>
      <c r="B71" s="794"/>
      <c r="C71" s="290" t="s">
        <v>142</v>
      </c>
      <c r="D71" s="325" t="str">
        <f>+IF($D$30="Polyfoam Overlap Doors - Swing door","","Bottom Stay Roller")</f>
        <v>Bottom Stay Roller</v>
      </c>
      <c r="E71" s="326"/>
      <c r="F71" s="293">
        <f>IF(ISBLANK(D71),"",'Cal. Sheet Door 3'!$L44)</f>
        <v>0</v>
      </c>
    </row>
    <row r="72" spans="1:6" x14ac:dyDescent="0.35">
      <c r="A72" s="811"/>
      <c r="B72" s="794"/>
      <c r="C72" s="290" t="s">
        <v>142</v>
      </c>
      <c r="D72" s="325" t="str">
        <f>+IF($D$30="Polyfoam Overlap Doors - Swing door","",IF($D$33="Motorized","Electric door bracket",IF($D$32="Wood","Wood Frame bracket","Aluminum Frame bracket")))</f>
        <v>Aluminum Frame bracket</v>
      </c>
      <c r="E72" s="326"/>
      <c r="F72" s="293">
        <f>IF(ISBLANK(D72),"",'Cal. Sheet Door 3'!$L45)</f>
        <v>0</v>
      </c>
    </row>
    <row r="73" spans="1:6" x14ac:dyDescent="0.35">
      <c r="A73" s="811"/>
      <c r="B73" s="794"/>
      <c r="C73" s="290" t="s">
        <v>142</v>
      </c>
      <c r="D73" s="325" t="b">
        <f>IF('Doors - Step 1'!$C$44&lt;&gt;"Polyfoam Overlap Doors - Swing door",IF(OR('Doors - Step 1'!$G$53='Door Table'!$E$182,'Doors - Step 1'!$G$53='Door Table'!$E$184),'Door Table'!$B183,IF(OR('Doors - Step 1'!$G$53='Door Table'!$E$183,'Doors - Step 1'!$G$53='Door Table'!$E$185),'Door Table'!$C183)),"Not Required")</f>
        <v>0</v>
      </c>
      <c r="E73" s="326"/>
      <c r="F73" s="293">
        <f>IF(ISBLANK(D73),"",'Cal. Sheet Door 3'!$L46)</f>
        <v>0</v>
      </c>
    </row>
    <row r="74" spans="1:6" x14ac:dyDescent="0.35">
      <c r="A74" s="811"/>
      <c r="B74" s="794"/>
      <c r="C74" s="290" t="s">
        <v>142</v>
      </c>
      <c r="D74" s="325" t="b">
        <f>IF('Doors - Step 1'!$C$44&lt;&gt;"Polyfoam Overlap Doors - Swing door",IF(OR('Doors - Step 1'!$G$53='Door Table'!$E$182,'Doors - Step 1'!$G$53='Door Table'!$E$184),'Door Table'!$B184,IF(OR('Doors - Step 1'!$G$53='Door Table'!$E$183,'Doors - Step 1'!$G$53='Door Table'!$E$185),'Door Table'!$C184)),"Not Required")</f>
        <v>0</v>
      </c>
      <c r="E74" s="326">
        <f>+IF('Doors - Step 1'!$C$28&lt;&gt;"Polyfoam Overlap Doors - Swing door",1,0)</f>
        <v>1</v>
      </c>
      <c r="F74" s="293">
        <f>IF(ISBLANK(D74),"",IF(ISBLANK(E74),"Please Specify Qty.",'Cal. Sheet Door 3'!$L47*E74))</f>
        <v>0</v>
      </c>
    </row>
    <row r="75" spans="1:6" x14ac:dyDescent="0.35">
      <c r="A75" s="811"/>
      <c r="B75" s="794"/>
      <c r="C75" s="290" t="s">
        <v>142</v>
      </c>
      <c r="D75" s="325" t="b">
        <f>IF('Doors - Step 1'!$C$44&lt;&gt;"Polyfoam Overlap Doors - Swing door",IF(OR('Doors - Step 1'!$G$53='Door Table'!$E$182,'Doors - Step 1'!$G$53='Door Table'!$E$184),'Door Table'!$B185,IF(OR('Doors - Step 1'!$G$53='Door Table'!$E$183,'Doors - Step 1'!$G$53='Door Table'!$E$185),'Door Table'!$C185)),"Not Required")</f>
        <v>0</v>
      </c>
      <c r="E75" s="326">
        <f>+IF('Doors - Step 1'!$C$28&lt;&gt;"Polyfoam Overlap Doors - Swing door",1,0)</f>
        <v>1</v>
      </c>
      <c r="F75" s="293">
        <f>IF(ISBLANK(D75),"",IF(ISBLANK(E75),"Please Specify Qty.",'Cal. Sheet Door 3'!$L48*E75))</f>
        <v>0</v>
      </c>
    </row>
    <row r="76" spans="1:6" x14ac:dyDescent="0.35">
      <c r="A76" s="811"/>
      <c r="B76" s="794"/>
      <c r="C76" s="290" t="s">
        <v>142</v>
      </c>
      <c r="D76" s="292" t="b">
        <f>IF('Doors - Step 1'!$C$44&lt;&gt;"Polyfoam Overlap Doors - Swing door",IF(OR('Doors - Step 1'!$G$53='Door Table'!$E$182,'Doors - Step 1'!$G$53='Door Table'!$E$184),'Door Table'!$B186,IF(OR('Doors - Step 1'!$G$53='Door Table'!$E$183,'Doors - Step 1'!$G$53='Door Table'!$E$185),'Door Table'!$C186)),"Not Required")</f>
        <v>0</v>
      </c>
      <c r="E76" s="68">
        <f>+IF('Doors - Step 1'!$C$28&lt;&gt;"Polyfoam Overlap Doors - Swing door",1,0)</f>
        <v>1</v>
      </c>
      <c r="F76" s="293">
        <f>IF(ISBLANK(D76),"",IF(ISBLANK(E76),"Please Specify Qty.",'Cal. Sheet Door 3'!$L49*E76))</f>
        <v>0</v>
      </c>
    </row>
    <row r="77" spans="1:6" x14ac:dyDescent="0.35">
      <c r="A77" s="811"/>
      <c r="B77" s="794" t="s">
        <v>144</v>
      </c>
      <c r="C77" s="290" t="s">
        <v>142</v>
      </c>
      <c r="D77" s="292"/>
      <c r="E77" s="68"/>
      <c r="F77" s="293" t="str">
        <f>IF(ISBLANK(D77),"",IF(ISBLANK(E77),"Please Specify Qty.",'Cal. Sheet Door 3'!$L50*E77))</f>
        <v/>
      </c>
    </row>
    <row r="78" spans="1:6" x14ac:dyDescent="0.35">
      <c r="A78" s="811"/>
      <c r="B78" s="794"/>
      <c r="C78" s="290" t="s">
        <v>142</v>
      </c>
      <c r="D78" s="292"/>
      <c r="E78" s="68"/>
      <c r="F78" s="293" t="str">
        <f>IF(ISBLANK(D78),"",IF(ISBLANK(E78),"Please Specify Qty.",'Cal. Sheet Door 3'!$L51*E78))</f>
        <v/>
      </c>
    </row>
    <row r="79" spans="1:6" x14ac:dyDescent="0.35">
      <c r="A79" s="811"/>
      <c r="B79" s="794"/>
      <c r="C79" s="290" t="s">
        <v>142</v>
      </c>
      <c r="D79" s="292"/>
      <c r="E79" s="68"/>
      <c r="F79" s="293" t="str">
        <f>IF(ISBLANK(D79),"",IF(ISBLANK(E79),"Please Specify Qty.",'Cal. Sheet Door 3'!$L52*E79))</f>
        <v/>
      </c>
    </row>
    <row r="80" spans="1:6" x14ac:dyDescent="0.35">
      <c r="A80" s="811"/>
      <c r="B80" s="794"/>
      <c r="C80" s="290" t="s">
        <v>142</v>
      </c>
      <c r="D80" s="292"/>
      <c r="E80" s="68"/>
      <c r="F80" s="293" t="str">
        <f>IF(ISBLANK(D80),"",IF(ISBLANK(E80),"Please Specify Qty.",'Cal. Sheet Door 3'!$L53*E80))</f>
        <v/>
      </c>
    </row>
    <row r="81" spans="1:6" ht="6" customHeight="1" x14ac:dyDescent="0.35">
      <c r="A81" s="296"/>
      <c r="B81" s="296"/>
      <c r="C81" s="296"/>
      <c r="D81" s="296"/>
      <c r="E81" s="296"/>
      <c r="F81" s="296"/>
    </row>
    <row r="82" spans="1:6" ht="15.65" customHeight="1" x14ac:dyDescent="0.35">
      <c r="A82" s="768" t="s">
        <v>145</v>
      </c>
      <c r="B82" s="769"/>
      <c r="C82" s="303" t="s">
        <v>73</v>
      </c>
      <c r="D82" s="302"/>
      <c r="E82" s="302"/>
      <c r="F82" s="289" t="s">
        <v>124</v>
      </c>
    </row>
    <row r="83" spans="1:6" x14ac:dyDescent="0.35">
      <c r="A83" s="770"/>
      <c r="B83" s="771"/>
      <c r="C83" s="290" t="s">
        <v>146</v>
      </c>
      <c r="D83" s="325" t="str">
        <f>+IF('Doors - Step 1'!$C$44="Polyfoam Overlap Doors - Swing door",'Door Table'!$B$176,"Not Required")</f>
        <v>Not Required</v>
      </c>
      <c r="E83" s="326">
        <f>+IF(D83="Not Required",0,IF('Doors - Step 1'!$C$44="Polyfoam Overlap Doors - Swing door",2,0))</f>
        <v>0</v>
      </c>
      <c r="F83" s="293" t="str">
        <f>IF(D83="Not Required","",IF(ISBLANK(E83),"Please Specify Qty.",'Cal. Sheet Door 3'!$L59*E83))</f>
        <v/>
      </c>
    </row>
    <row r="84" spans="1:6" x14ac:dyDescent="0.35">
      <c r="A84" s="770"/>
      <c r="B84" s="771"/>
      <c r="C84" s="304" t="s">
        <v>147</v>
      </c>
      <c r="D84" s="292"/>
      <c r="E84" s="68"/>
      <c r="F84" s="293" t="str">
        <f>IF(ISBLANK(D84),"",IF(ISBLANK(E84),"Please Specify Qty.",'Cal. Sheet Door 3'!$L60*E84))</f>
        <v/>
      </c>
    </row>
    <row r="85" spans="1:6" x14ac:dyDescent="0.35">
      <c r="A85" s="770"/>
      <c r="B85" s="771"/>
      <c r="C85" s="304" t="s">
        <v>148</v>
      </c>
      <c r="D85" s="292"/>
      <c r="E85" s="68"/>
      <c r="F85" s="293" t="str">
        <f>IF(ISBLANK(D85),"",IF(ISBLANK(E85),"Please Specify Qty.",'Cal. Sheet Door 3'!$L61*E85))</f>
        <v/>
      </c>
    </row>
    <row r="86" spans="1:6" x14ac:dyDescent="0.35">
      <c r="A86" s="770"/>
      <c r="B86" s="771"/>
      <c r="C86" s="304" t="s">
        <v>149</v>
      </c>
      <c r="D86" s="292"/>
      <c r="E86" s="68"/>
      <c r="F86" s="293" t="str">
        <f>IF(ISBLANK(D86),"",IF(ISBLANK(E86),"Please Specify Qty.",'Cal. Sheet Door 3'!$L62*E86))</f>
        <v/>
      </c>
    </row>
    <row r="87" spans="1:6" x14ac:dyDescent="0.35">
      <c r="A87" s="770"/>
      <c r="B87" s="771"/>
      <c r="C87" s="290" t="s">
        <v>150</v>
      </c>
      <c r="D87" s="325" t="str">
        <f>+IF('Doors - Step 1'!$C$44="Polyfoam Overlap Doors - Swing door",IF('Doors - Step 1'!$G$52="Package 1",'Door Table'!$B$178,IF('Doors - Step 1'!$G$52="Package 2",'Door Table'!$C$178,IF('Doors - Step 1'!$G$52="Package 3",'Door Table'!$D$178))),"Not Required")</f>
        <v>Not Required</v>
      </c>
      <c r="E87" s="326">
        <f>+IF(D87="Not Required",0,IF('Doors - Step 1'!$C$44="Polyfoam Overlap Doors - Swing door",1,0))</f>
        <v>0</v>
      </c>
      <c r="F87" s="293" t="str">
        <f>IF(D87="Not Required","",IF(ISBLANK(E87),"Please Specify Qty.",'Cal. Sheet Door 3'!$L63*E87))</f>
        <v/>
      </c>
    </row>
    <row r="88" spans="1:6" x14ac:dyDescent="0.35">
      <c r="A88" s="770"/>
      <c r="B88" s="771"/>
      <c r="C88" s="304" t="s">
        <v>151</v>
      </c>
      <c r="D88" s="292"/>
      <c r="E88" s="68"/>
      <c r="F88" s="293" t="str">
        <f>IF(ISBLANK(D88),"",IF(ISBLANK(E88),"Please Specify Qty.",'Cal. Sheet Door 3'!$L64*E88))</f>
        <v/>
      </c>
    </row>
    <row r="89" spans="1:6" x14ac:dyDescent="0.35">
      <c r="A89" s="770"/>
      <c r="B89" s="771"/>
      <c r="C89" s="304" t="s">
        <v>152</v>
      </c>
      <c r="D89" s="292"/>
      <c r="E89" s="68"/>
      <c r="F89" s="293" t="str">
        <f>IF(ISBLANK(D89),"",IF(ISBLANK(E89),"Please Specify Qty.",'Cal. Sheet Door 3'!$L65*E89))</f>
        <v/>
      </c>
    </row>
    <row r="90" spans="1:6" x14ac:dyDescent="0.35">
      <c r="A90" s="770"/>
      <c r="B90" s="771"/>
      <c r="C90" s="290" t="s">
        <v>153</v>
      </c>
      <c r="D90" s="292"/>
      <c r="E90" s="68"/>
      <c r="F90" s="293" t="str">
        <f>IF(ISBLANK(D90),"",IF(ISBLANK(E90),"Please Specify Qty.",'Cal. Sheet Door 3'!$L66*E90))</f>
        <v/>
      </c>
    </row>
    <row r="91" spans="1:6" x14ac:dyDescent="0.35">
      <c r="A91" s="770"/>
      <c r="B91" s="771"/>
      <c r="C91" s="290" t="s">
        <v>194</v>
      </c>
      <c r="D91" s="292"/>
      <c r="E91" s="68"/>
      <c r="F91" s="293" t="str">
        <f>IF(ISBLANK(D91),"",IF(ISBLANK(E91),"Please Specify Qty.",'Cal. Sheet Door 3'!$L67*E91))</f>
        <v/>
      </c>
    </row>
    <row r="92" spans="1:6" x14ac:dyDescent="0.35">
      <c r="A92" s="770"/>
      <c r="B92" s="771"/>
      <c r="C92" s="290" t="s">
        <v>155</v>
      </c>
      <c r="D92" s="325" t="str">
        <f>+IF('Doors - Step 1'!$C$44="Polyfoam Overlap Doors - Swing door",IF('Doors - Step 1'!$G$52="Package 1","Not Required",IF('Doors - Step 1'!$G$52="Package 2",'Door Table'!$C$177,IF('Doors - Step 1'!$G$52="Package 3",'Door Table'!$D$177))),"Not Required")</f>
        <v>Not Required</v>
      </c>
      <c r="E92" s="326">
        <f>+IF(D92="Not Required",0,IF('Doors - Step 1'!$C$44="Polyfoam Overlap Doors - Swing door",1,0))</f>
        <v>0</v>
      </c>
      <c r="F92" s="293" t="str">
        <f>IF(D92="Not Required","",IF(ISBLANK(E92),"Please Specify Qty.",'Cal. Sheet Door 3'!$L68*E92))</f>
        <v/>
      </c>
    </row>
    <row r="93" spans="1:6" x14ac:dyDescent="0.35">
      <c r="A93" s="770"/>
      <c r="B93" s="771"/>
      <c r="C93" s="290" t="s">
        <v>156</v>
      </c>
      <c r="D93" s="292"/>
      <c r="E93" s="68"/>
      <c r="F93" s="293" t="str">
        <f>IF(ISBLANK(D93),"",IF(ISBLANK(E93),"Please Specify Qty.",'Cal. Sheet Door 3'!$L69*E93))</f>
        <v/>
      </c>
    </row>
    <row r="94" spans="1:6" x14ac:dyDescent="0.35">
      <c r="A94" s="770"/>
      <c r="B94" s="771"/>
      <c r="C94" s="290"/>
      <c r="D94" s="292"/>
      <c r="E94" s="68"/>
      <c r="F94" s="293"/>
    </row>
    <row r="95" spans="1:6" x14ac:dyDescent="0.35">
      <c r="A95" s="770"/>
      <c r="B95" s="771"/>
      <c r="C95" s="290" t="s">
        <v>158</v>
      </c>
      <c r="D95" s="292"/>
      <c r="E95" s="68"/>
      <c r="F95" s="293" t="str">
        <f>IF(ISBLANK(D95),"",IF(ISBLANK(E95),"Please Specify Qty.",'Cal. Sheet Door 3'!$L70*E95))</f>
        <v/>
      </c>
    </row>
    <row r="96" spans="1:6" x14ac:dyDescent="0.35">
      <c r="A96" s="770"/>
      <c r="B96" s="771"/>
      <c r="C96" s="290"/>
      <c r="D96" s="292"/>
      <c r="E96" s="68"/>
      <c r="F96" s="293"/>
    </row>
    <row r="97" spans="1:6" x14ac:dyDescent="0.35">
      <c r="A97" s="770"/>
      <c r="B97" s="771"/>
      <c r="C97" s="290"/>
      <c r="D97" s="292"/>
      <c r="E97" s="68"/>
      <c r="F97" s="293"/>
    </row>
    <row r="98" spans="1:6" x14ac:dyDescent="0.35">
      <c r="A98" s="770"/>
      <c r="B98" s="771"/>
      <c r="C98" s="290"/>
      <c r="D98" s="292"/>
      <c r="E98" s="68"/>
      <c r="F98" s="293"/>
    </row>
    <row r="99" spans="1:6" x14ac:dyDescent="0.35">
      <c r="A99" s="770"/>
      <c r="B99" s="771"/>
      <c r="C99" s="290"/>
      <c r="D99" s="292"/>
      <c r="E99" s="68"/>
      <c r="F99" s="293"/>
    </row>
    <row r="100" spans="1:6" x14ac:dyDescent="0.35">
      <c r="A100" s="770"/>
      <c r="B100" s="771"/>
      <c r="C100" s="290"/>
      <c r="D100" s="292"/>
      <c r="E100" s="68"/>
      <c r="F100" s="293"/>
    </row>
    <row r="101" spans="1:6" x14ac:dyDescent="0.35">
      <c r="A101" s="770"/>
      <c r="B101" s="771"/>
      <c r="C101" s="290"/>
      <c r="D101" s="325"/>
      <c r="E101" s="68"/>
      <c r="F101" s="293"/>
    </row>
    <row r="102" spans="1:6" x14ac:dyDescent="0.35">
      <c r="A102" s="770"/>
      <c r="B102" s="771"/>
      <c r="C102" s="290"/>
      <c r="D102" s="292"/>
      <c r="E102" s="68"/>
      <c r="F102" s="293"/>
    </row>
    <row r="103" spans="1:6" x14ac:dyDescent="0.35">
      <c r="A103" s="770"/>
      <c r="B103" s="771"/>
      <c r="C103" s="290"/>
      <c r="D103" s="292"/>
      <c r="E103" s="68"/>
      <c r="F103" s="293"/>
    </row>
    <row r="104" spans="1:6" x14ac:dyDescent="0.35">
      <c r="A104" s="770"/>
      <c r="B104" s="771"/>
      <c r="C104" s="290"/>
      <c r="D104" s="292"/>
      <c r="E104" s="68"/>
      <c r="F104" s="293"/>
    </row>
    <row r="105" spans="1:6" x14ac:dyDescent="0.35">
      <c r="A105" s="770"/>
      <c r="B105" s="771"/>
      <c r="C105" s="290" t="s">
        <v>171</v>
      </c>
      <c r="D105" s="186"/>
      <c r="E105" s="493"/>
      <c r="F105" s="293" t="str">
        <f>IF(ISBLANK(D105),"",IF(E105="Linear Length","Specific the Linear Length in ft.",'Cal. Sheet Door 3'!$L71))</f>
        <v/>
      </c>
    </row>
    <row r="106" spans="1:6" x14ac:dyDescent="0.35">
      <c r="A106" s="772"/>
      <c r="B106" s="773"/>
      <c r="C106" s="290" t="s">
        <v>172</v>
      </c>
      <c r="D106" s="292"/>
      <c r="E106" s="68"/>
      <c r="F106" s="293" t="str">
        <f>IF(ISBLANK(D106),"",'Cal. Sheet Door 3'!$L72)</f>
        <v/>
      </c>
    </row>
    <row r="107" spans="1:6" ht="30" customHeight="1" x14ac:dyDescent="0.35">
      <c r="A107" s="778" t="s">
        <v>191</v>
      </c>
      <c r="B107" s="779"/>
      <c r="C107" s="273" t="s">
        <v>73</v>
      </c>
      <c r="D107" s="273" t="s">
        <v>42</v>
      </c>
      <c r="E107" s="272" t="s">
        <v>74</v>
      </c>
      <c r="F107" s="289" t="s">
        <v>124</v>
      </c>
    </row>
    <row r="108" spans="1:6" x14ac:dyDescent="0.35">
      <c r="A108" s="780"/>
      <c r="B108" s="781"/>
      <c r="C108" s="331" t="str">
        <f>+'Doors - Step 1'!F55</f>
        <v xml:space="preserve">Drafting Charges </v>
      </c>
      <c r="D108" s="331">
        <f>+'Doors - Step 1'!G55</f>
        <v>0</v>
      </c>
      <c r="E108" s="331">
        <f>+'Doors - Step 1'!H55</f>
        <v>0</v>
      </c>
      <c r="F108" s="293" t="str">
        <f>+'Doors - Step 1'!I55</f>
        <v/>
      </c>
    </row>
    <row r="109" spans="1:6" x14ac:dyDescent="0.35">
      <c r="A109" s="780"/>
      <c r="B109" s="781"/>
      <c r="C109" s="331"/>
      <c r="D109" s="331"/>
      <c r="E109" s="331"/>
      <c r="F109" s="293"/>
    </row>
    <row r="110" spans="1:6" x14ac:dyDescent="0.35">
      <c r="A110" s="782"/>
      <c r="B110" s="783"/>
      <c r="C110" s="331">
        <f>+'Doors - Step 1'!F57</f>
        <v>0</v>
      </c>
      <c r="D110" s="331">
        <f>+'Doors - Step 1'!G57</f>
        <v>0</v>
      </c>
      <c r="E110" s="331">
        <f>+'Doors - Step 1'!H57</f>
        <v>0</v>
      </c>
      <c r="F110" s="293" t="str">
        <f>+'Doors - Step 1'!I57</f>
        <v/>
      </c>
    </row>
    <row r="111" spans="1:6" x14ac:dyDescent="0.35">
      <c r="D111" s="246"/>
    </row>
    <row r="112" spans="1:6" x14ac:dyDescent="0.35">
      <c r="A112" s="774" t="s">
        <v>178</v>
      </c>
      <c r="B112" s="774"/>
      <c r="C112" s="790" t="s">
        <v>195</v>
      </c>
      <c r="D112" s="791"/>
      <c r="E112" s="305" t="s">
        <v>124</v>
      </c>
      <c r="F112" s="306">
        <f>+SUM(F42:F110)*$D$38</f>
        <v>0</v>
      </c>
    </row>
    <row r="113" spans="1:6" x14ac:dyDescent="0.35">
      <c r="A113" s="774"/>
      <c r="B113" s="774"/>
      <c r="C113" s="792"/>
      <c r="D113" s="793"/>
      <c r="E113" s="305" t="s">
        <v>45</v>
      </c>
      <c r="F113" s="307">
        <f>+'Doors - Step 1'!$K$45</f>
        <v>0</v>
      </c>
    </row>
    <row r="114" spans="1:6" x14ac:dyDescent="0.35">
      <c r="A114" s="774"/>
      <c r="B114" s="774"/>
      <c r="C114" s="792"/>
      <c r="D114" s="793"/>
      <c r="E114" s="305" t="s">
        <v>46</v>
      </c>
      <c r="F114" s="306">
        <f>+IF(ISBLANK(F113),"",(F112*(1+F113)))</f>
        <v>0</v>
      </c>
    </row>
    <row r="115" spans="1:6" x14ac:dyDescent="0.35">
      <c r="C115" s="263"/>
    </row>
    <row r="122" spans="1:6" x14ac:dyDescent="0.35">
      <c r="D122" s="246"/>
    </row>
    <row r="123" spans="1:6" x14ac:dyDescent="0.35">
      <c r="D123" s="246"/>
    </row>
    <row r="124" spans="1:6" x14ac:dyDescent="0.35">
      <c r="D124" s="246"/>
    </row>
    <row r="125" spans="1:6" x14ac:dyDescent="0.35">
      <c r="D125" s="246"/>
    </row>
    <row r="145" spans="3:6" x14ac:dyDescent="0.35">
      <c r="C145" s="281"/>
      <c r="D145" s="308"/>
      <c r="E145" s="308"/>
      <c r="F145" s="302"/>
    </row>
    <row r="146" spans="3:6" x14ac:dyDescent="0.35">
      <c r="C146" s="309"/>
      <c r="D146" s="310"/>
      <c r="E146" s="311"/>
      <c r="F146" s="312"/>
    </row>
    <row r="147" spans="3:6" x14ac:dyDescent="0.35">
      <c r="C147" s="309"/>
      <c r="D147" s="310"/>
      <c r="E147" s="311"/>
    </row>
    <row r="148" spans="3:6" x14ac:dyDescent="0.35">
      <c r="C148" s="291"/>
    </row>
  </sheetData>
  <mergeCells count="33">
    <mergeCell ref="S3:T3"/>
    <mergeCell ref="X3:Y3"/>
    <mergeCell ref="C5:D5"/>
    <mergeCell ref="F5:H5"/>
    <mergeCell ref="C6:C8"/>
    <mergeCell ref="E6:E8"/>
    <mergeCell ref="F6:H6"/>
    <mergeCell ref="F7:H7"/>
    <mergeCell ref="F8:H8"/>
    <mergeCell ref="F9:H9"/>
    <mergeCell ref="F10:H10"/>
    <mergeCell ref="F11:H11"/>
    <mergeCell ref="A15:B26"/>
    <mergeCell ref="D15:F15"/>
    <mergeCell ref="C16:F26"/>
    <mergeCell ref="G16:H26"/>
    <mergeCell ref="A2:B11"/>
    <mergeCell ref="J19:K19"/>
    <mergeCell ref="C29:F29"/>
    <mergeCell ref="A30:B38"/>
    <mergeCell ref="E33:F33"/>
    <mergeCell ref="E34:F34"/>
    <mergeCell ref="E35:F35"/>
    <mergeCell ref="A82:B106"/>
    <mergeCell ref="A107:B110"/>
    <mergeCell ref="A112:B114"/>
    <mergeCell ref="C112:D114"/>
    <mergeCell ref="B40:F40"/>
    <mergeCell ref="A41:A80"/>
    <mergeCell ref="F47:F49"/>
    <mergeCell ref="F50:F51"/>
    <mergeCell ref="B68:B76"/>
    <mergeCell ref="B77:B80"/>
  </mergeCells>
  <conditionalFormatting sqref="T4:T12">
    <cfRule type="containsText" dxfId="37" priority="4" operator="containsText" text="No">
      <formula>NOT(ISERROR(SEARCH("No",T4)))</formula>
    </cfRule>
    <cfRule type="containsText" dxfId="36" priority="5" operator="containsText" text="Yes">
      <formula>NOT(ISERROR(SEARCH("Yes",T4)))</formula>
    </cfRule>
  </conditionalFormatting>
  <conditionalFormatting sqref="T13">
    <cfRule type="cellIs" dxfId="35" priority="2" operator="lessThan">
      <formula>1</formula>
    </cfRule>
    <cfRule type="cellIs" dxfId="34" priority="3" operator="equal">
      <formula>1</formula>
    </cfRule>
  </conditionalFormatting>
  <conditionalFormatting sqref="B42:B59">
    <cfRule type="cellIs" dxfId="33" priority="1" operator="equal">
      <formula>"Not Required"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CAE476A1-D17E-455D-A1EA-576EF91E0625}">
          <x14:formula1>
            <xm:f>_xlfn.ANCHORARRAY('Door Table'!$D$134)</xm:f>
          </x14:formula1>
          <xm:sqref>D84:D85</xm:sqref>
        </x14:dataValidation>
        <x14:dataValidation type="list" allowBlank="1" showInputMessage="1" showErrorMessage="1" xr:uid="{23554E24-491D-4378-A097-9EC1D775310D}">
          <x14:formula1>
            <xm:f>_xlfn.ANCHORARRAY('Door Table'!$G$134)</xm:f>
          </x14:formula1>
          <xm:sqref>D86</xm:sqref>
        </x14:dataValidation>
        <x14:dataValidation type="list" allowBlank="1" showInputMessage="1" showErrorMessage="1" xr:uid="{8D61782F-A4D1-427B-A182-F9F2DC4AEEFC}">
          <x14:formula1>
            <xm:f>_xlfn.ANCHORARRAY('Door Table'!$I$134)</xm:f>
          </x14:formula1>
          <xm:sqref>D88</xm:sqref>
        </x14:dataValidation>
        <x14:dataValidation type="list" allowBlank="1" showInputMessage="1" showErrorMessage="1" xr:uid="{6A337BF1-1B69-4AF8-9604-75A3B03DB7A1}">
          <x14:formula1>
            <xm:f>_xlfn.ANCHORARRAY('Door Table'!$J$134)</xm:f>
          </x14:formula1>
          <xm:sqref>D89</xm:sqref>
        </x14:dataValidation>
        <x14:dataValidation type="list" allowBlank="1" showInputMessage="1" showErrorMessage="1" xr:uid="{55DE5C93-88E2-4347-8E68-6948A580925B}">
          <x14:formula1>
            <xm:f>_xlfn.ANCHORARRAY('Door Table'!$K$134)</xm:f>
          </x14:formula1>
          <xm:sqref>D90</xm:sqref>
        </x14:dataValidation>
        <x14:dataValidation type="list" allowBlank="1" showInputMessage="1" showErrorMessage="1" xr:uid="{B15EB2C4-D82D-4DC9-A598-5CE0B7D7E513}">
          <x14:formula1>
            <xm:f>_xlfn.ANCHORARRAY('Door Table'!$L$134)</xm:f>
          </x14:formula1>
          <xm:sqref>D91</xm:sqref>
        </x14:dataValidation>
        <x14:dataValidation type="list" allowBlank="1" showInputMessage="1" showErrorMessage="1" xr:uid="{8C4C7573-7DB7-4551-BCFE-EFE66FD79ACC}">
          <x14:formula1>
            <xm:f>_xlfn.ANCHORARRAY('Door Table'!$P$134)</xm:f>
          </x14:formula1>
          <xm:sqref>D93:D94</xm:sqref>
        </x14:dataValidation>
        <x14:dataValidation type="list" allowBlank="1" showInputMessage="1" showErrorMessage="1" xr:uid="{81CAFDC3-69DB-4B82-A62A-470823152A96}">
          <x14:formula1>
            <xm:f>_xlfn.ANCHORARRAY('Door Table'!$S$134)</xm:f>
          </x14:formula1>
          <xm:sqref>D95:D104</xm:sqref>
        </x14:dataValidation>
        <x14:dataValidation type="list" allowBlank="1" showInputMessage="1" showErrorMessage="1" xr:uid="{31190E45-739B-447D-860A-80E2922F7B48}">
          <x14:formula1>
            <xm:f>_xlfn.ANCHORARRAY('Door Table'!$V$134)</xm:f>
          </x14:formula1>
          <xm:sqref>D106</xm:sqref>
        </x14:dataValidation>
        <x14:dataValidation type="list" allowBlank="1" showInputMessage="1" showErrorMessage="1" xr:uid="{23655D10-C47D-4CFA-9B1F-C058EA7C4E5C}">
          <x14:formula1>
            <xm:f>'Door Table'!$AB$134:$AB$142</xm:f>
          </x14:formula1>
          <xm:sqref>D77:D80</xm:sqref>
        </x14:dataValidation>
        <x14:dataValidation type="list" allowBlank="1" showInputMessage="1" showErrorMessage="1" xr:uid="{9A22BC8C-9999-40BB-96F2-5E9B49EBC2FA}">
          <x14:formula1>
            <xm:f>_xlfn.ANCHORARRAY('Door Table'!$J$46)</xm:f>
          </x14:formula1>
          <xm:sqref>D47</xm:sqref>
        </x14:dataValidation>
        <x14:dataValidation type="list" allowBlank="1" showInputMessage="1" showErrorMessage="1" xr:uid="{DE95C494-CC52-4CDE-9860-937EF124FEA4}">
          <x14:formula1>
            <xm:f>_xlfn.ANCHORARRAY('Door Table'!$K$46)</xm:f>
          </x14:formula1>
          <xm:sqref>D48</xm:sqref>
        </x14:dataValidation>
        <x14:dataValidation type="list" allowBlank="1" showInputMessage="1" showErrorMessage="1" xr:uid="{B53CC9E5-E208-4BD2-84D6-E288B819E6F3}">
          <x14:formula1>
            <xm:f>_xlfn.ANCHORARRAY('Door Table'!$L$46)</xm:f>
          </x14:formula1>
          <xm:sqref>D49</xm:sqref>
        </x14:dataValidation>
        <x14:dataValidation type="list" allowBlank="1" showInputMessage="1" showErrorMessage="1" xr:uid="{889A3D3E-C3D7-4C75-AE74-45B6BB85E83B}">
          <x14:formula1>
            <xm:f>_xlfn.ANCHORARRAY('Door Table'!$M$46)</xm:f>
          </x14:formula1>
          <xm:sqref>D50</xm:sqref>
        </x14:dataValidation>
        <x14:dataValidation type="list" allowBlank="1" showInputMessage="1" showErrorMessage="1" xr:uid="{C9E21633-440F-4B0E-8EBF-E6767CD4145A}">
          <x14:formula1>
            <xm:f>_xlfn.ANCHORARRAY('Door Table'!$N$46)</xm:f>
          </x14:formula1>
          <xm:sqref>D51</xm:sqref>
        </x14:dataValidation>
        <x14:dataValidation type="list" allowBlank="1" showInputMessage="1" showErrorMessage="1" xr:uid="{FAA38F92-DB5D-471A-9354-BFB5CD8E6E25}">
          <x14:formula1>
            <xm:f>_xlfn.ANCHORARRAY('Door Table'!$O$46)</xm:f>
          </x14:formula1>
          <xm:sqref>D52</xm:sqref>
        </x14:dataValidation>
        <x14:dataValidation type="list" allowBlank="1" showInputMessage="1" showErrorMessage="1" xr:uid="{346FFC3F-3E9C-4C30-8A34-F51A88BA13FA}">
          <x14:formula1>
            <xm:f>_xlfn.ANCHORARRAY('Door Table'!$Q$46)</xm:f>
          </x14:formula1>
          <xm:sqref>D54</xm:sqref>
        </x14:dataValidation>
        <x14:dataValidation type="list" allowBlank="1" showInputMessage="1" showErrorMessage="1" xr:uid="{91897254-D8A7-4505-8DAF-CAF569D987E9}">
          <x14:formula1>
            <xm:f>_xlfn.ANCHORARRAY('Door Table'!$R$46)</xm:f>
          </x14:formula1>
          <xm:sqref>D55</xm:sqref>
        </x14:dataValidation>
        <x14:dataValidation type="list" allowBlank="1" showInputMessage="1" showErrorMessage="1" xr:uid="{BB7ECDB7-9312-4F6F-A6BF-9F2AC4C83A43}">
          <x14:formula1>
            <xm:f>_xlfn.ANCHORARRAY('Door Table'!$S$46)</xm:f>
          </x14:formula1>
          <xm:sqref>D56</xm:sqref>
        </x14:dataValidation>
        <x14:dataValidation type="list" allowBlank="1" showInputMessage="1" showErrorMessage="1" xr:uid="{E2E91DEF-D413-409F-8199-464AD5BB500D}">
          <x14:formula1>
            <xm:f>_xlfn.ANCHORARRAY('Door Table'!$T$46)</xm:f>
          </x14:formula1>
          <xm:sqref>D57</xm:sqref>
        </x14:dataValidation>
        <x14:dataValidation type="list" allowBlank="1" showInputMessage="1" showErrorMessage="1" xr:uid="{562FE74C-9A45-4974-A6EC-E5E5B8364DB1}">
          <x14:formula1>
            <xm:f>_xlfn.ANCHORARRAY('Door Table'!$U$46)</xm:f>
          </x14:formula1>
          <xm:sqref>D58</xm:sqref>
        </x14:dataValidation>
        <x14:dataValidation type="list" allowBlank="1" showInputMessage="1" showErrorMessage="1" xr:uid="{E2E30E5E-0517-4E99-AE21-A3AF9A737419}">
          <x14:formula1>
            <xm:f>_xlfn.ANCHORARRAY('Door Table'!$V$46)</xm:f>
          </x14:formula1>
          <xm:sqref>D59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C21F4-642F-45F9-9214-D430112CEA7D}">
  <sheetPr codeName="Sheet28">
    <tabColor rgb="FF92D050"/>
  </sheetPr>
  <dimension ref="A2:Y148"/>
  <sheetViews>
    <sheetView topLeftCell="A82" workbookViewId="0">
      <selection activeCell="E121" sqref="E121"/>
    </sheetView>
  </sheetViews>
  <sheetFormatPr defaultColWidth="8.58203125" defaultRowHeight="13" x14ac:dyDescent="0.35"/>
  <cols>
    <col min="1" max="2" width="12.33203125" style="263" customWidth="1"/>
    <col min="3" max="3" width="33.08203125" style="246" bestFit="1" customWidth="1"/>
    <col min="4" max="4" width="32.58203125" style="264" bestFit="1" customWidth="1"/>
    <col min="5" max="5" width="13.83203125" style="246" customWidth="1"/>
    <col min="6" max="6" width="15.33203125" style="246" customWidth="1"/>
    <col min="7" max="7" width="4.33203125" style="246" customWidth="1"/>
    <col min="8" max="8" width="30.08203125" style="247" bestFit="1" customWidth="1"/>
    <col min="9" max="9" width="32.58203125" style="247" bestFit="1" customWidth="1"/>
    <col min="10" max="10" width="12.08203125" style="246" customWidth="1"/>
    <col min="11" max="11" width="13.33203125" style="246" customWidth="1"/>
    <col min="12" max="12" width="3.58203125" style="246" customWidth="1"/>
    <col min="13" max="13" width="38.25" style="246" bestFit="1" customWidth="1"/>
    <col min="14" max="14" width="38.08203125" style="246" bestFit="1" customWidth="1"/>
    <col min="15" max="15" width="11.75" style="246" customWidth="1"/>
    <col min="16" max="16" width="15" style="246" customWidth="1"/>
    <col min="17" max="18" width="8.58203125" style="246"/>
    <col min="19" max="19" width="29.33203125" style="246" bestFit="1" customWidth="1"/>
    <col min="20" max="20" width="20.5" style="246" bestFit="1" customWidth="1"/>
    <col min="21" max="23" width="8.58203125" style="246"/>
    <col min="24" max="24" width="20.25" style="246" bestFit="1" customWidth="1"/>
    <col min="25" max="25" width="5.58203125" style="246" bestFit="1" customWidth="1"/>
    <col min="26" max="16384" width="8.58203125" style="246"/>
  </cols>
  <sheetData>
    <row r="2" spans="1:25" ht="15.65" customHeight="1" x14ac:dyDescent="0.35">
      <c r="A2" s="795" t="s">
        <v>28</v>
      </c>
      <c r="B2" s="796"/>
      <c r="C2" s="244" t="s">
        <v>29</v>
      </c>
      <c r="D2" s="245"/>
      <c r="E2" s="244" t="s">
        <v>31</v>
      </c>
      <c r="F2" s="245"/>
      <c r="J2" s="247"/>
      <c r="K2" s="247"/>
    </row>
    <row r="3" spans="1:25" ht="15.65" customHeight="1" x14ac:dyDescent="0.3">
      <c r="A3" s="797"/>
      <c r="B3" s="798"/>
      <c r="C3" s="248" t="s">
        <v>30</v>
      </c>
      <c r="D3" s="249"/>
      <c r="L3" s="250"/>
      <c r="S3" s="821"/>
      <c r="T3" s="821"/>
      <c r="X3" s="822"/>
      <c r="Y3" s="822"/>
    </row>
    <row r="4" spans="1:25" x14ac:dyDescent="0.3">
      <c r="A4" s="797"/>
      <c r="B4" s="798"/>
      <c r="C4" s="251"/>
      <c r="D4" s="251"/>
      <c r="E4" s="251"/>
      <c r="F4" s="322"/>
      <c r="G4" s="278"/>
      <c r="H4" s="323"/>
      <c r="I4" s="251"/>
      <c r="J4" s="251"/>
      <c r="L4" s="250"/>
      <c r="S4" s="232"/>
      <c r="T4" s="233"/>
      <c r="X4" s="240"/>
      <c r="Y4" s="252"/>
    </row>
    <row r="5" spans="1:25" x14ac:dyDescent="0.3">
      <c r="A5" s="797"/>
      <c r="B5" s="798"/>
      <c r="C5" s="823" t="s">
        <v>33</v>
      </c>
      <c r="D5" s="824"/>
      <c r="E5" s="253"/>
      <c r="F5" s="829" t="s">
        <v>95</v>
      </c>
      <c r="G5" s="829"/>
      <c r="H5" s="829"/>
      <c r="I5" s="254" t="s">
        <v>96</v>
      </c>
      <c r="J5" s="255" t="s">
        <v>97</v>
      </c>
      <c r="L5" s="250"/>
      <c r="S5" s="232"/>
      <c r="T5" s="234"/>
      <c r="X5" s="240"/>
      <c r="Y5" s="256"/>
    </row>
    <row r="6" spans="1:25" ht="16" x14ac:dyDescent="0.3">
      <c r="A6" s="797"/>
      <c r="B6" s="798"/>
      <c r="C6" s="825" t="s">
        <v>34</v>
      </c>
      <c r="D6" s="50"/>
      <c r="E6" s="828" t="s">
        <v>34</v>
      </c>
      <c r="F6" s="818"/>
      <c r="G6" s="818"/>
      <c r="H6" s="818"/>
      <c r="I6" s="257" t="s">
        <v>100</v>
      </c>
      <c r="J6" s="258"/>
      <c r="L6" s="250"/>
      <c r="S6" s="232"/>
      <c r="T6" s="234"/>
      <c r="X6" s="259"/>
      <c r="Y6" s="252"/>
    </row>
    <row r="7" spans="1:25" ht="16" x14ac:dyDescent="0.3">
      <c r="A7" s="797"/>
      <c r="B7" s="798"/>
      <c r="C7" s="826"/>
      <c r="D7" s="50"/>
      <c r="E7" s="828"/>
      <c r="F7" s="818"/>
      <c r="G7" s="818"/>
      <c r="H7" s="818"/>
      <c r="L7" s="250"/>
      <c r="S7" s="235"/>
      <c r="T7" s="234"/>
      <c r="X7" s="259"/>
      <c r="Y7" s="252"/>
    </row>
    <row r="8" spans="1:25" ht="16" x14ac:dyDescent="0.3">
      <c r="A8" s="797"/>
      <c r="B8" s="798"/>
      <c r="C8" s="827"/>
      <c r="D8" s="50"/>
      <c r="E8" s="828"/>
      <c r="F8" s="818"/>
      <c r="G8" s="818"/>
      <c r="H8" s="818"/>
      <c r="L8" s="250"/>
      <c r="S8" s="235"/>
      <c r="T8" s="234"/>
      <c r="X8" s="259"/>
      <c r="Y8" s="252"/>
    </row>
    <row r="9" spans="1:25" ht="16" x14ac:dyDescent="0.3">
      <c r="A9" s="797"/>
      <c r="B9" s="798"/>
      <c r="C9" s="7" t="s">
        <v>105</v>
      </c>
      <c r="D9" s="50"/>
      <c r="E9" s="8" t="s">
        <v>105</v>
      </c>
      <c r="F9" s="818"/>
      <c r="G9" s="818"/>
      <c r="H9" s="818"/>
      <c r="L9" s="250"/>
      <c r="S9" s="236"/>
      <c r="T9" s="234"/>
      <c r="X9" s="259"/>
      <c r="Y9" s="260"/>
    </row>
    <row r="10" spans="1:25" ht="16" x14ac:dyDescent="0.3">
      <c r="A10" s="797"/>
      <c r="B10" s="798"/>
      <c r="C10" s="7" t="s">
        <v>7</v>
      </c>
      <c r="D10" s="261"/>
      <c r="E10" s="8" t="s">
        <v>7</v>
      </c>
      <c r="F10" s="819"/>
      <c r="G10" s="819"/>
      <c r="H10" s="819"/>
      <c r="L10" s="250"/>
      <c r="S10" s="232"/>
      <c r="T10" s="234"/>
      <c r="X10" s="262"/>
      <c r="Y10" s="262"/>
    </row>
    <row r="11" spans="1:25" ht="16" x14ac:dyDescent="0.3">
      <c r="A11" s="799"/>
      <c r="B11" s="800"/>
      <c r="C11" s="7" t="s">
        <v>9</v>
      </c>
      <c r="D11" s="50"/>
      <c r="E11" s="8" t="s">
        <v>9</v>
      </c>
      <c r="F11" s="818"/>
      <c r="G11" s="818"/>
      <c r="H11" s="818"/>
      <c r="L11" s="250"/>
      <c r="S11" s="232"/>
      <c r="T11" s="234"/>
      <c r="X11" s="262"/>
      <c r="Y11" s="262"/>
    </row>
    <row r="12" spans="1:25" x14ac:dyDescent="0.3">
      <c r="G12" s="247"/>
      <c r="L12" s="250"/>
      <c r="S12" s="237"/>
      <c r="T12" s="234"/>
      <c r="X12" s="240"/>
      <c r="Y12" s="252"/>
    </row>
    <row r="13" spans="1:25" x14ac:dyDescent="0.3">
      <c r="C13" s="265" t="s">
        <v>111</v>
      </c>
      <c r="D13" s="266"/>
      <c r="L13" s="250"/>
      <c r="S13" s="238"/>
      <c r="T13" s="239"/>
      <c r="X13" s="240"/>
      <c r="Y13" s="260"/>
    </row>
    <row r="14" spans="1:25" x14ac:dyDescent="0.3">
      <c r="C14" s="267" t="s">
        <v>114</v>
      </c>
      <c r="D14" s="268"/>
      <c r="L14" s="250"/>
      <c r="M14" s="250"/>
      <c r="N14" s="269"/>
    </row>
    <row r="15" spans="1:25" ht="15.65" customHeight="1" x14ac:dyDescent="0.3">
      <c r="A15" s="812" t="s">
        <v>115</v>
      </c>
      <c r="B15" s="813"/>
      <c r="C15" s="270" t="s">
        <v>116</v>
      </c>
      <c r="D15" s="801"/>
      <c r="E15" s="801"/>
      <c r="F15" s="801"/>
      <c r="G15" s="313" t="s">
        <v>117</v>
      </c>
      <c r="H15" s="271"/>
      <c r="L15" s="250"/>
      <c r="M15" s="250"/>
      <c r="N15" s="269"/>
    </row>
    <row r="16" spans="1:25" x14ac:dyDescent="0.3">
      <c r="A16" s="814"/>
      <c r="B16" s="815"/>
      <c r="C16" s="802"/>
      <c r="D16" s="803"/>
      <c r="E16" s="803"/>
      <c r="F16" s="804"/>
      <c r="G16" s="802"/>
      <c r="H16" s="804"/>
      <c r="L16" s="250"/>
    </row>
    <row r="17" spans="1:13" x14ac:dyDescent="0.35">
      <c r="A17" s="814"/>
      <c r="B17" s="815"/>
      <c r="C17" s="805"/>
      <c r="D17" s="806"/>
      <c r="E17" s="806"/>
      <c r="F17" s="807"/>
      <c r="G17" s="805"/>
      <c r="H17" s="807"/>
    </row>
    <row r="18" spans="1:13" x14ac:dyDescent="0.35">
      <c r="A18" s="814"/>
      <c r="B18" s="815"/>
      <c r="C18" s="805"/>
      <c r="D18" s="806"/>
      <c r="E18" s="806"/>
      <c r="F18" s="807"/>
      <c r="G18" s="805"/>
      <c r="H18" s="807"/>
    </row>
    <row r="19" spans="1:13" x14ac:dyDescent="0.35">
      <c r="A19" s="814"/>
      <c r="B19" s="815"/>
      <c r="C19" s="805"/>
      <c r="D19" s="806"/>
      <c r="E19" s="806"/>
      <c r="F19" s="807"/>
      <c r="G19" s="805"/>
      <c r="H19" s="807"/>
      <c r="J19" s="767" t="s">
        <v>118</v>
      </c>
      <c r="K19" s="767"/>
    </row>
    <row r="20" spans="1:13" x14ac:dyDescent="0.35">
      <c r="A20" s="814"/>
      <c r="B20" s="815"/>
      <c r="C20" s="805"/>
      <c r="D20" s="806"/>
      <c r="E20" s="806"/>
      <c r="F20" s="807"/>
      <c r="G20" s="805"/>
      <c r="H20" s="807"/>
      <c r="J20" s="285" t="s">
        <v>120</v>
      </c>
      <c r="K20" s="5"/>
    </row>
    <row r="21" spans="1:13" x14ac:dyDescent="0.35">
      <c r="A21" s="814"/>
      <c r="B21" s="815"/>
      <c r="C21" s="805"/>
      <c r="D21" s="806"/>
      <c r="E21" s="806"/>
      <c r="F21" s="807"/>
      <c r="G21" s="805"/>
      <c r="H21" s="807"/>
      <c r="J21" s="285" t="s">
        <v>121</v>
      </c>
      <c r="K21" s="287">
        <f>+K20/'Calculation Sheet - BOM '!$L$2</f>
        <v>0</v>
      </c>
    </row>
    <row r="22" spans="1:13" x14ac:dyDescent="0.35">
      <c r="A22" s="814"/>
      <c r="B22" s="815"/>
      <c r="C22" s="805"/>
      <c r="D22" s="806"/>
      <c r="E22" s="806"/>
      <c r="F22" s="807"/>
      <c r="G22" s="805"/>
      <c r="H22" s="807"/>
    </row>
    <row r="23" spans="1:13" x14ac:dyDescent="0.35">
      <c r="A23" s="814"/>
      <c r="B23" s="815"/>
      <c r="C23" s="805"/>
      <c r="D23" s="806"/>
      <c r="E23" s="806"/>
      <c r="F23" s="807"/>
      <c r="G23" s="805"/>
      <c r="H23" s="807"/>
      <c r="J23" s="247"/>
      <c r="K23" s="247"/>
    </row>
    <row r="24" spans="1:13" x14ac:dyDescent="0.35">
      <c r="A24" s="814"/>
      <c r="B24" s="815"/>
      <c r="C24" s="805"/>
      <c r="D24" s="806"/>
      <c r="E24" s="806"/>
      <c r="F24" s="807"/>
      <c r="G24" s="805"/>
      <c r="H24" s="807"/>
      <c r="J24" s="247"/>
      <c r="K24" s="247"/>
      <c r="M24" s="274"/>
    </row>
    <row r="25" spans="1:13" x14ac:dyDescent="0.35">
      <c r="A25" s="814"/>
      <c r="B25" s="815"/>
      <c r="C25" s="805"/>
      <c r="D25" s="806"/>
      <c r="E25" s="806"/>
      <c r="F25" s="807"/>
      <c r="G25" s="805"/>
      <c r="H25" s="807"/>
    </row>
    <row r="26" spans="1:13" x14ac:dyDescent="0.35">
      <c r="A26" s="816"/>
      <c r="B26" s="817"/>
      <c r="C26" s="808"/>
      <c r="D26" s="775"/>
      <c r="E26" s="775"/>
      <c r="F26" s="809"/>
      <c r="G26" s="808"/>
      <c r="H26" s="809"/>
    </row>
    <row r="27" spans="1:13" x14ac:dyDescent="0.35">
      <c r="A27" s="275"/>
      <c r="B27" s="275"/>
      <c r="C27" s="276"/>
      <c r="D27" s="277"/>
      <c r="E27" s="278"/>
      <c r="F27" s="278"/>
      <c r="G27" s="278"/>
      <c r="H27" s="278"/>
    </row>
    <row r="28" spans="1:13" x14ac:dyDescent="0.35">
      <c r="A28" s="275"/>
      <c r="B28" s="275"/>
      <c r="C28" s="247"/>
      <c r="D28" s="247"/>
      <c r="E28" s="247"/>
      <c r="F28" s="247"/>
      <c r="G28" s="247"/>
    </row>
    <row r="29" spans="1:13" x14ac:dyDescent="0.35">
      <c r="A29" s="275"/>
      <c r="B29" s="275"/>
      <c r="C29" s="820" t="str">
        <f>+CONCATENATE("DOOR 3 - ",D30)</f>
        <v>DOOR 3 - 0</v>
      </c>
      <c r="D29" s="820"/>
      <c r="E29" s="820"/>
      <c r="F29" s="820"/>
    </row>
    <row r="30" spans="1:13" x14ac:dyDescent="0.35">
      <c r="A30" s="784" t="s">
        <v>119</v>
      </c>
      <c r="B30" s="785"/>
      <c r="C30" s="279" t="s">
        <v>37</v>
      </c>
      <c r="D30" s="280">
        <f>+'Doors - Step 1'!$C44</f>
        <v>0</v>
      </c>
    </row>
    <row r="31" spans="1:13" x14ac:dyDescent="0.35">
      <c r="A31" s="786"/>
      <c r="B31" s="787"/>
      <c r="C31" s="281" t="s">
        <v>47</v>
      </c>
      <c r="D31" s="280">
        <f>+'Doors - Step 1'!$C45</f>
        <v>0</v>
      </c>
    </row>
    <row r="32" spans="1:13" x14ac:dyDescent="0.35">
      <c r="A32" s="786"/>
      <c r="B32" s="787"/>
      <c r="C32" s="281" t="s">
        <v>52</v>
      </c>
      <c r="D32" s="280">
        <f>+'Doors - Step 1'!$C46</f>
        <v>0</v>
      </c>
    </row>
    <row r="33" spans="1:6" x14ac:dyDescent="0.35">
      <c r="A33" s="786"/>
      <c r="B33" s="787"/>
      <c r="C33" s="281" t="s">
        <v>56</v>
      </c>
      <c r="D33" s="280">
        <f>+'Doors - Step 1'!$C47</f>
        <v>0</v>
      </c>
      <c r="E33" s="748" t="str">
        <f>+IF(D33="Motorized","Please specify the voltage in Freezer Door in N45","")</f>
        <v/>
      </c>
      <c r="F33" s="749"/>
    </row>
    <row r="34" spans="1:6" x14ac:dyDescent="0.35">
      <c r="A34" s="786"/>
      <c r="B34" s="787"/>
      <c r="C34" s="283" t="s">
        <v>193</v>
      </c>
      <c r="D34" s="333">
        <f>+'Doors - Step 1'!$C48</f>
        <v>0</v>
      </c>
      <c r="E34" s="727" t="str">
        <f>+IF(D30="Polyfoam Overlap Doors - Swing Door",IF(D34&gt;72,"Length can't be greater than 72 inches",""),"")</f>
        <v/>
      </c>
      <c r="F34" s="728"/>
    </row>
    <row r="35" spans="1:6" x14ac:dyDescent="0.35">
      <c r="A35" s="786"/>
      <c r="B35" s="787"/>
      <c r="C35" s="283" t="s">
        <v>61</v>
      </c>
      <c r="D35" s="333">
        <f>+'Doors - Step 1'!$C49</f>
        <v>0</v>
      </c>
      <c r="E35" s="727" t="str">
        <f>+IF(D30="Polyfoam Overlap Doors - Swing Door",IF(D35&gt;84,"Height can't be greater than 84 inches",""),"")</f>
        <v/>
      </c>
      <c r="F35" s="728"/>
    </row>
    <row r="36" spans="1:6" x14ac:dyDescent="0.35">
      <c r="A36" s="786"/>
      <c r="B36" s="787"/>
      <c r="C36" s="283" t="s">
        <v>64</v>
      </c>
      <c r="D36" s="333">
        <f>+'Doors - Step 1'!$C50</f>
        <v>0</v>
      </c>
    </row>
    <row r="37" spans="1:6" x14ac:dyDescent="0.35">
      <c r="A37" s="786"/>
      <c r="B37" s="787"/>
      <c r="C37" s="283" t="s">
        <v>67</v>
      </c>
      <c r="D37" s="333">
        <f>+'Doors - Step 1'!$C51</f>
        <v>0</v>
      </c>
    </row>
    <row r="38" spans="1:6" x14ac:dyDescent="0.35">
      <c r="A38" s="788"/>
      <c r="B38" s="789"/>
      <c r="C38" s="284" t="s">
        <v>69</v>
      </c>
      <c r="D38" s="333">
        <f>+'Doors - Step 1'!$C52</f>
        <v>0</v>
      </c>
    </row>
    <row r="39" spans="1:6" x14ac:dyDescent="0.35">
      <c r="A39" s="246"/>
      <c r="B39" s="246"/>
      <c r="D39" s="286"/>
    </row>
    <row r="40" spans="1:6" x14ac:dyDescent="0.35">
      <c r="A40" s="246"/>
      <c r="B40" s="775"/>
      <c r="C40" s="775"/>
      <c r="D40" s="775"/>
      <c r="E40" s="775"/>
      <c r="F40" s="775"/>
    </row>
    <row r="41" spans="1:6" ht="42" customHeight="1" x14ac:dyDescent="0.35">
      <c r="A41" s="811" t="s">
        <v>122</v>
      </c>
      <c r="B41" s="288" t="s">
        <v>123</v>
      </c>
      <c r="C41" s="273" t="s">
        <v>41</v>
      </c>
      <c r="D41" s="273"/>
      <c r="E41" s="272" t="s">
        <v>43</v>
      </c>
      <c r="F41" s="289" t="s">
        <v>124</v>
      </c>
    </row>
    <row r="42" spans="1:6" ht="15.65" customHeight="1" x14ac:dyDescent="0.35">
      <c r="A42" s="811"/>
      <c r="B42" s="290" t="str">
        <f>_xlfn.IFNA(IF(ISBLANK(C42),"",INDEX(Controller!F:F,MATCH(CONCATENATE('Door Table'!$A$3,'Door - Step 2'!$C42),Controller!$G:$G,0))),"Not Required")</f>
        <v>Main</v>
      </c>
      <c r="C42" s="291" t="s">
        <v>50</v>
      </c>
      <c r="D42" s="292">
        <f>+'Doors - Step 1'!$G45</f>
        <v>0</v>
      </c>
      <c r="E42" s="282"/>
      <c r="F42" s="293">
        <f>IF(ISBLANK(D42),"",'Cal. Sheet Door 3'!L13)</f>
        <v>15</v>
      </c>
    </row>
    <row r="43" spans="1:6" x14ac:dyDescent="0.35">
      <c r="A43" s="811"/>
      <c r="B43" s="290" t="str">
        <f>_xlfn.IFNA(IF(ISBLANK(C43),"",INDEX(Controller!F:F,MATCH(CONCATENATE('Door Table'!$A$3,'Door - Step 2'!$C43),Controller!$G:$G,0))),"Not Required")</f>
        <v>Main</v>
      </c>
      <c r="C43" s="291" t="s">
        <v>54</v>
      </c>
      <c r="D43" s="292">
        <f>+'Doors - Step 1'!$G46</f>
        <v>0</v>
      </c>
      <c r="E43" s="282"/>
      <c r="F43" s="293">
        <f>IF(ISBLANK(D43),"",'Cal. Sheet Door 3'!$L14)</f>
        <v>0</v>
      </c>
    </row>
    <row r="44" spans="1:6" x14ac:dyDescent="0.35">
      <c r="A44" s="811"/>
      <c r="B44" s="290" t="str">
        <f>_xlfn.IFNA(IF(ISBLANK(C44),"",INDEX(Controller!F:F,MATCH(CONCATENATE('Door Table'!$A$3,'Door - Step 2'!$C44),Controller!$G:$G,0))),"Not Required")</f>
        <v>Option</v>
      </c>
      <c r="C44" s="291" t="s">
        <v>58</v>
      </c>
      <c r="D44" s="292">
        <f>+'Doors - Step 1'!$G47</f>
        <v>0</v>
      </c>
      <c r="E44" s="282"/>
      <c r="F44" s="293">
        <f>IF(ISBLANK(D44),"",'Cal. Sheet Door 3'!$L15)</f>
        <v>0</v>
      </c>
    </row>
    <row r="45" spans="1:6" x14ac:dyDescent="0.35">
      <c r="A45" s="811"/>
      <c r="B45" s="290" t="str">
        <f>_xlfn.IFNA(IF(ISBLANK(C45),"",INDEX(Controller!F:F,MATCH(CONCATENATE('Door Table'!$A$3,'Door - Step 2'!$C45),Controller!$G:$G,0))),"Not Required")</f>
        <v>Option</v>
      </c>
      <c r="C45" s="291" t="s">
        <v>60</v>
      </c>
      <c r="D45" s="292">
        <f>+'Doors - Step 1'!$G48</f>
        <v>0</v>
      </c>
      <c r="E45" s="282"/>
      <c r="F45" s="293">
        <f>IF(ISBLANK(D45),"",'Cal. Sheet Door 3'!$L16)</f>
        <v>0</v>
      </c>
    </row>
    <row r="46" spans="1:6" x14ac:dyDescent="0.35">
      <c r="A46" s="811"/>
      <c r="B46" s="290" t="str">
        <f>_xlfn.IFNA(IF(ISBLANK(C46),"",INDEX(Controller!F:F,MATCH(CONCATENATE('Door Table'!$A$3,'Door - Step 2'!$C46),Controller!$G:$G,0))),"Not Required")</f>
        <v>Option</v>
      </c>
      <c r="C46" s="291" t="s">
        <v>125</v>
      </c>
      <c r="D46" s="292">
        <f>+'Doors - Step 1'!$G49</f>
        <v>0</v>
      </c>
      <c r="E46" s="282"/>
      <c r="F46" s="293" t="str">
        <f>+IF(OR(ISBLANK(D46),($D$33="Manual"),(D46=0)),"",'Cost Sheet'!$V28)</f>
        <v/>
      </c>
    </row>
    <row r="47" spans="1:6" x14ac:dyDescent="0.35">
      <c r="A47" s="811"/>
      <c r="B47" s="290" t="str">
        <f>_xlfn.IFNA(IF(ISBLANK(C47),"",INDEX(Controller!F:F,MATCH(CONCATENATE('Door Table'!$A$3,'Door - Step 2'!$C47),Controller!$G:$G,0))),"Not Required")</f>
        <v>Option</v>
      </c>
      <c r="C47" s="291" t="s">
        <v>126</v>
      </c>
      <c r="D47" s="292"/>
      <c r="E47" s="282"/>
      <c r="F47" s="810" t="str">
        <f>IF(ISBLANK(D47),"",'Cal. Sheet Door 3'!$L18)</f>
        <v/>
      </c>
    </row>
    <row r="48" spans="1:6" x14ac:dyDescent="0.35">
      <c r="A48" s="811"/>
      <c r="B48" s="290" t="str">
        <f>_xlfn.IFNA(IF(ISBLANK(C48),"",INDEX(Controller!F:F,MATCH(CONCATENATE('Door Table'!$A$3,'Door - Step 2'!$C48),Controller!$G:$G,0))),"Not Required")</f>
        <v>Option</v>
      </c>
      <c r="C48" s="294" t="s">
        <v>127</v>
      </c>
      <c r="D48" s="292"/>
      <c r="E48" s="282"/>
      <c r="F48" s="810"/>
    </row>
    <row r="49" spans="1:6" x14ac:dyDescent="0.35">
      <c r="A49" s="811"/>
      <c r="B49" s="290" t="str">
        <f>_xlfn.IFNA(IF(ISBLANK(C49),"",INDEX(Controller!F:F,MATCH(CONCATENATE('Door Table'!$A$3,'Door - Step 2'!$C49),Controller!$G:$G,0))),"Not Required")</f>
        <v>Option</v>
      </c>
      <c r="C49" s="294" t="s">
        <v>128</v>
      </c>
      <c r="D49" s="292"/>
      <c r="E49" s="282"/>
      <c r="F49" s="810"/>
    </row>
    <row r="50" spans="1:6" x14ac:dyDescent="0.35">
      <c r="A50" s="811"/>
      <c r="B50" s="290" t="str">
        <f>_xlfn.IFNA(IF(ISBLANK(C50),"",INDEX(Controller!F:F,MATCH(CONCATENATE('Door Table'!$A$3,'Door - Step 2'!$C50),Controller!$G:$G,0))),"Not Required")</f>
        <v>Option</v>
      </c>
      <c r="C50" s="291" t="s">
        <v>129</v>
      </c>
      <c r="D50" s="292"/>
      <c r="E50" s="282"/>
      <c r="F50" s="776" t="str">
        <f>IF(ISBLANK(D50),"",SUM('Cal. Sheet Door 3'!$L21,'Cal. Sheet Door 3'!$L21))</f>
        <v/>
      </c>
    </row>
    <row r="51" spans="1:6" x14ac:dyDescent="0.35">
      <c r="A51" s="811"/>
      <c r="B51" s="290" t="str">
        <f>_xlfn.IFNA(IF(ISBLANK(C51),"",INDEX(Controller!F:F,MATCH(CONCATENATE('Door Table'!$A$3,'Door - Step 2'!$C51),Controller!$G:$G,0))),"Not Required")</f>
        <v>Option</v>
      </c>
      <c r="C51" s="294" t="s">
        <v>130</v>
      </c>
      <c r="D51" s="292"/>
      <c r="E51" s="282"/>
      <c r="F51" s="777"/>
    </row>
    <row r="52" spans="1:6" x14ac:dyDescent="0.35">
      <c r="A52" s="811"/>
      <c r="B52" s="290" t="str">
        <f>_xlfn.IFNA(IF(ISBLANK(C52),"",INDEX(Controller!F:F,MATCH(CONCATENATE('Door Table'!$A$3,'Door - Step 2'!$C52),Controller!$G:$G,0))),"Not Required")</f>
        <v>Not Required</v>
      </c>
      <c r="C52" s="291" t="s">
        <v>131</v>
      </c>
      <c r="D52" s="292"/>
      <c r="E52" s="282"/>
      <c r="F52" s="293" t="str">
        <f>IF(ISBLANK(D52),"",'Cal. Sheet Door 3'!$L23)</f>
        <v/>
      </c>
    </row>
    <row r="53" spans="1:6" x14ac:dyDescent="0.35">
      <c r="A53" s="811"/>
      <c r="B53" s="290" t="str">
        <f>_xlfn.IFNA(IF(ISBLANK(C53),"",INDEX(Controller!F:F,MATCH(CONCATENATE('Door Table'!$A$3,'Door - Step 2'!$C53),Controller!$G:$G,0))),"Not Required")</f>
        <v>Not Required</v>
      </c>
      <c r="C53" s="295" t="s">
        <v>132</v>
      </c>
      <c r="D53" s="292"/>
      <c r="E53" s="282"/>
      <c r="F53" s="293" t="str">
        <f>IF(ISBLANK(D53),"",'Cal. Sheet Door 3'!$L24)</f>
        <v/>
      </c>
    </row>
    <row r="54" spans="1:6" x14ac:dyDescent="0.35">
      <c r="A54" s="811"/>
      <c r="B54" s="290" t="str">
        <f ca="1">IFERROR(IF(ISBLANK(C54),"",INDEX(Controller!F:F,MATCH(CONCATENATE('Door Table'!$A$3,'Door - Step 2'!$C54),Controller!$G:$G,0))),"")</f>
        <v/>
      </c>
      <c r="C54" s="291" t="str" cm="1">
        <f t="array" aca="1" ref="C54" ca="1">IFERROR(_xlfn._xlws.FILTER(_xlfn.UNIQUE(OFFSET(Doors[[#All],[Search Function]],MATCH($D$30,Doors[[#All],[Door Type ]],0)-1,1,COUNTIF(Doors[[#All],[Door Type ]],$D$30),1)),
        ISNA(MATCH(_xlfn.UNIQUE(OFFSET(Doors[[#All],[Search Function]],MATCH($D$30,Doors[[#All],[Door Type ]],0)-1,1,COUNTIF(Doors[[#All],[Door Type ]],$D$30),1)),$C$42:$C$53, 0))),"")</f>
        <v/>
      </c>
      <c r="D54" s="292"/>
      <c r="E54" s="282"/>
      <c r="F54" s="293" t="str">
        <f>IF(ISBLANK(D54),"",'Cal. Sheet Door 3'!$L25)</f>
        <v/>
      </c>
    </row>
    <row r="55" spans="1:6" x14ac:dyDescent="0.35">
      <c r="A55" s="811"/>
      <c r="B55" s="290" t="str">
        <f>_xlfn.IFNA(IF(ISBLANK(C55),"",INDEX(Controller!F:F,MATCH(CONCATENATE('Door Table'!$A$3,'Door - Step 2'!$C55),Controller!$G:$G,0))),"Not Required")</f>
        <v/>
      </c>
      <c r="C55" s="291"/>
      <c r="D55" s="292"/>
      <c r="E55" s="282"/>
      <c r="F55" s="293" t="str">
        <f>IF(ISBLANK(D55),"",'Cal. Sheet Door 3'!$L26)</f>
        <v/>
      </c>
    </row>
    <row r="56" spans="1:6" x14ac:dyDescent="0.35">
      <c r="A56" s="811"/>
      <c r="B56" s="290" t="str">
        <f>_xlfn.IFNA(IF(ISBLANK(C56),"",INDEX(Controller!F:F,MATCH(CONCATENATE('Door Table'!$A$3,'Door - Step 2'!$C56),Controller!$G:$G,0))),"Not Required")</f>
        <v/>
      </c>
      <c r="C56" s="291"/>
      <c r="D56" s="292"/>
      <c r="E56" s="282"/>
      <c r="F56" s="293" t="str">
        <f>IF(ISBLANK(D56),"",'Cal. Sheet Door 3'!$L27)</f>
        <v/>
      </c>
    </row>
    <row r="57" spans="1:6" x14ac:dyDescent="0.35">
      <c r="A57" s="811"/>
      <c r="B57" s="290" t="str">
        <f>_xlfn.IFNA(IF(ISBLANK(C57),"",INDEX(Controller!F:F,MATCH(CONCATENATE('Door Table'!$A$3,'Door - Step 2'!$C57),Controller!$G:$G,0))),"Not Required")</f>
        <v/>
      </c>
      <c r="C57" s="291"/>
      <c r="D57" s="292"/>
      <c r="E57" s="282"/>
      <c r="F57" s="293" t="str">
        <f>IF(ISBLANK(D57),"",'Cal. Sheet Door 3'!$L28)</f>
        <v/>
      </c>
    </row>
    <row r="58" spans="1:6" x14ac:dyDescent="0.35">
      <c r="A58" s="811"/>
      <c r="B58" s="290" t="str">
        <f>_xlfn.IFNA(IF(ISBLANK(C58),"",INDEX(Controller!F:F,MATCH(CONCATENATE('Door Table'!$A$3,'Door - Step 2'!$C58),Controller!$G:$G,0))),"Not Required")</f>
        <v/>
      </c>
      <c r="C58" s="291"/>
      <c r="D58" s="292"/>
      <c r="E58" s="282"/>
      <c r="F58" s="293" t="str">
        <f>IF(ISBLANK(D58),"",'Cal. Sheet Door 3'!$L29)</f>
        <v/>
      </c>
    </row>
    <row r="59" spans="1:6" x14ac:dyDescent="0.35">
      <c r="A59" s="811"/>
      <c r="B59" s="290" t="str">
        <f>_xlfn.IFNA(IF(ISBLANK(C59),"",INDEX(Controller!F:F,MATCH(CONCATENATE('Door Table'!$A$3,'Door - Step 2'!$C59),Controller!$G:$G,0))),"Not Required")</f>
        <v/>
      </c>
      <c r="C59" s="291"/>
      <c r="D59" s="292"/>
      <c r="E59" s="282"/>
      <c r="F59" s="293" t="str">
        <f>IF(ISBLANK(D59),"",'Cal. Sheet Door 3'!$L30)</f>
        <v/>
      </c>
    </row>
    <row r="60" spans="1:6" ht="5.15" customHeight="1" x14ac:dyDescent="0.35">
      <c r="A60" s="811"/>
      <c r="B60" s="296"/>
      <c r="C60" s="297"/>
      <c r="D60" s="298"/>
      <c r="E60" s="299"/>
      <c r="F60" s="300"/>
    </row>
    <row r="61" spans="1:6" x14ac:dyDescent="0.35">
      <c r="A61" s="811"/>
      <c r="B61" s="290" t="s">
        <v>133</v>
      </c>
      <c r="C61" s="291" t="s">
        <v>134</v>
      </c>
      <c r="D61" s="292"/>
      <c r="E61" s="282"/>
      <c r="F61" s="293">
        <f>IF(ISBLANK(D34),"",'Cal. Sheet Door 3'!$L32)</f>
        <v>0</v>
      </c>
    </row>
    <row r="62" spans="1:6" x14ac:dyDescent="0.35">
      <c r="A62" s="811"/>
      <c r="B62" s="290" t="s">
        <v>135</v>
      </c>
      <c r="C62" s="291" t="s">
        <v>136</v>
      </c>
      <c r="D62" s="292"/>
      <c r="E62" s="282"/>
      <c r="F62" s="293">
        <f>IF(ISBLANK(D35),"",'Cal. Sheet Door 3'!$L33)</f>
        <v>0</v>
      </c>
    </row>
    <row r="63" spans="1:6" x14ac:dyDescent="0.35">
      <c r="A63" s="811"/>
      <c r="B63" s="290" t="s">
        <v>135</v>
      </c>
      <c r="C63" s="291" t="s">
        <v>81</v>
      </c>
      <c r="D63" s="292" t="str">
        <f>+IF(ISBLANK('Doors - Step 1'!G50),"",IF('Doors - Step 1'!G50="Bottom Sweep","Yes","No"))</f>
        <v/>
      </c>
      <c r="E63" s="282"/>
      <c r="F63" s="293" t="str">
        <f>+IF(D63="Yes",'Cal. Sheet Door 3'!V32,"")</f>
        <v/>
      </c>
    </row>
    <row r="64" spans="1:6" x14ac:dyDescent="0.35">
      <c r="A64" s="811"/>
      <c r="B64" s="290" t="s">
        <v>135</v>
      </c>
      <c r="C64" s="291" t="s">
        <v>66</v>
      </c>
      <c r="D64" s="292" t="str">
        <f>+IF(ISBLANK('Doors - Step 1'!G50),"",IF('Doors - Step 1'!G50="Weather Strip","Yes","No"))</f>
        <v/>
      </c>
      <c r="E64" s="282"/>
      <c r="F64" s="293" t="str">
        <f>+IF(D64="Yes",'Cal. Sheet Door 3'!V33,"")</f>
        <v/>
      </c>
    </row>
    <row r="65" spans="1:6" x14ac:dyDescent="0.35">
      <c r="A65" s="811"/>
      <c r="B65" s="497" t="s">
        <v>135</v>
      </c>
      <c r="C65" s="498" t="s">
        <v>137</v>
      </c>
      <c r="D65" s="292"/>
      <c r="E65" s="282"/>
      <c r="F65" s="293">
        <f>IF(ISBLANK($D$34),"",'Cal. Sheet Door 3'!$L36)</f>
        <v>0</v>
      </c>
    </row>
    <row r="66" spans="1:6" x14ac:dyDescent="0.35">
      <c r="A66" s="811"/>
      <c r="B66" s="290" t="s">
        <v>135</v>
      </c>
      <c r="C66" s="291" t="s">
        <v>139</v>
      </c>
      <c r="D66" s="325" t="str">
        <f>+IF('Doors - Step 1'!$C$44="Polyfoam Overlap Doors - Swing door",IF('Doors - Step 1'!$G$52="Package 3","Magnet Gasket","Not Required"),IF('Doors - Step 1'!$C$44&lt;&gt;"Polyfoam Overlap Doors - Swing door",IF(OR('Doors - Step 1'!$G$52='Door Table'!$E$184,'Doors - Step 1'!$G$52='Door Table'!$E$185),"Splin Gasket","Not Required")))</f>
        <v>Not Required</v>
      </c>
      <c r="E66" s="282"/>
      <c r="F66" s="293" t="str">
        <f>IF($D$66="Not Required","",'Cal. Sheet Door 3'!$L37)</f>
        <v/>
      </c>
    </row>
    <row r="67" spans="1:6" ht="5.15" customHeight="1" x14ac:dyDescent="0.35">
      <c r="A67" s="811"/>
      <c r="B67" s="296"/>
      <c r="C67" s="297"/>
      <c r="D67" s="298"/>
      <c r="E67" s="299"/>
      <c r="F67" s="300"/>
    </row>
    <row r="68" spans="1:6" ht="13" customHeight="1" x14ac:dyDescent="0.35">
      <c r="A68" s="811"/>
      <c r="B68" s="794" t="s">
        <v>140</v>
      </c>
      <c r="C68" s="301" t="s">
        <v>73</v>
      </c>
      <c r="D68" s="289"/>
      <c r="E68" s="302" t="s">
        <v>141</v>
      </c>
      <c r="F68" s="289" t="s">
        <v>124</v>
      </c>
    </row>
    <row r="69" spans="1:6" x14ac:dyDescent="0.35">
      <c r="A69" s="811"/>
      <c r="B69" s="794"/>
      <c r="C69" s="290" t="s">
        <v>142</v>
      </c>
      <c r="D69" s="325" t="str">
        <f>+IF($D$30&lt;&gt;"Polyfoam Overlap Doors - Swing door","SS tube","")</f>
        <v>SS tube</v>
      </c>
      <c r="E69" s="326"/>
      <c r="F69" s="293">
        <f>IF(ISBLANK(D69),"",'Cal. Sheet Door 3'!$L42)</f>
        <v>0</v>
      </c>
    </row>
    <row r="70" spans="1:6" x14ac:dyDescent="0.35">
      <c r="A70" s="811"/>
      <c r="B70" s="794"/>
      <c r="C70" s="290" t="s">
        <v>142</v>
      </c>
      <c r="D70" s="325" t="str">
        <f>+IF($D$30="Polyfoam Overlap Doors - Swing door","","Main Roller")</f>
        <v>Main Roller</v>
      </c>
      <c r="E70" s="326"/>
      <c r="F70" s="293">
        <f>IF(ISBLANK(D70),"",'Cal. Sheet Door 3'!$L43)</f>
        <v>0</v>
      </c>
    </row>
    <row r="71" spans="1:6" x14ac:dyDescent="0.35">
      <c r="A71" s="811"/>
      <c r="B71" s="794"/>
      <c r="C71" s="290" t="s">
        <v>142</v>
      </c>
      <c r="D71" s="325" t="str">
        <f>+IF($D$30="Polyfoam Overlap Doors - Swing door","","Bottom Stay Roller")</f>
        <v>Bottom Stay Roller</v>
      </c>
      <c r="E71" s="326"/>
      <c r="F71" s="293">
        <f>IF(ISBLANK(D71),"",'Cal. Sheet Door 3'!$L44)</f>
        <v>0</v>
      </c>
    </row>
    <row r="72" spans="1:6" x14ac:dyDescent="0.35">
      <c r="A72" s="811"/>
      <c r="B72" s="794"/>
      <c r="C72" s="290" t="s">
        <v>142</v>
      </c>
      <c r="D72" s="325" t="str">
        <f>+IF($D$30="Polyfoam Overlap Doors - Swing door","",IF($D$33="Motorized","Electric door bracket",IF($D$32="Wood","Wood Frame bracket","Aluminum Frame bracket")))</f>
        <v>Aluminum Frame bracket</v>
      </c>
      <c r="E72" s="326"/>
      <c r="F72" s="293">
        <f>IF(ISBLANK(D72),"",'Cal. Sheet Door 3'!$L45)</f>
        <v>0</v>
      </c>
    </row>
    <row r="73" spans="1:6" x14ac:dyDescent="0.35">
      <c r="A73" s="811"/>
      <c r="B73" s="794"/>
      <c r="C73" s="290" t="s">
        <v>142</v>
      </c>
      <c r="D73" s="325" t="b">
        <f>IF('Doors - Step 1'!$C$44&lt;&gt;"Polyfoam Overlap Doors - Swing door",IF(OR('Doors - Step 1'!$G$53='Door Table'!$E$182,'Doors - Step 1'!$G$53='Door Table'!$E$184),'Door Table'!$B183,IF(OR('Doors - Step 1'!$G$53='Door Table'!$E$183,'Doors - Step 1'!$G$53='Door Table'!$E$185),'Door Table'!$C183)),"Not Required")</f>
        <v>0</v>
      </c>
      <c r="E73" s="326"/>
      <c r="F73" s="293">
        <f>IF(ISBLANK(D73),"",'Cal. Sheet Door 3'!$L46)</f>
        <v>0</v>
      </c>
    </row>
    <row r="74" spans="1:6" x14ac:dyDescent="0.35">
      <c r="A74" s="811"/>
      <c r="B74" s="794"/>
      <c r="C74" s="290" t="s">
        <v>142</v>
      </c>
      <c r="D74" s="325" t="b">
        <f>IF('Doors - Step 1'!$C$44&lt;&gt;"Polyfoam Overlap Doors - Swing door",IF(OR('Doors - Step 1'!$G$53='Door Table'!$E$182,'Doors - Step 1'!$G$53='Door Table'!$E$184),'Door Table'!$B184,IF(OR('Doors - Step 1'!$G$53='Door Table'!$E$183,'Doors - Step 1'!$G$53='Door Table'!$E$185),'Door Table'!$C184)),"Not Required")</f>
        <v>0</v>
      </c>
      <c r="E74" s="326">
        <f>+IF('Doors - Step 1'!$C$28&lt;&gt;"Polyfoam Overlap Doors - Swing door",1,0)</f>
        <v>1</v>
      </c>
      <c r="F74" s="293">
        <f>IF(ISBLANK(D74),"",IF(ISBLANK(E74),"Please Specify Qty.",'Cal. Sheet Door 3'!$L47*E74))</f>
        <v>0</v>
      </c>
    </row>
    <row r="75" spans="1:6" x14ac:dyDescent="0.35">
      <c r="A75" s="811"/>
      <c r="B75" s="794"/>
      <c r="C75" s="290" t="s">
        <v>142</v>
      </c>
      <c r="D75" s="325" t="b">
        <f>IF('Doors - Step 1'!$C$44&lt;&gt;"Polyfoam Overlap Doors - Swing door",IF(OR('Doors - Step 1'!$G$53='Door Table'!$E$182,'Doors - Step 1'!$G$53='Door Table'!$E$184),'Door Table'!$B185,IF(OR('Doors - Step 1'!$G$53='Door Table'!$E$183,'Doors - Step 1'!$G$53='Door Table'!$E$185),'Door Table'!$C185)),"Not Required")</f>
        <v>0</v>
      </c>
      <c r="E75" s="326">
        <f>+IF('Doors - Step 1'!$C$28&lt;&gt;"Polyfoam Overlap Doors - Swing door",1,0)</f>
        <v>1</v>
      </c>
      <c r="F75" s="293">
        <f>IF(ISBLANK(D75),"",IF(ISBLANK(E75),"Please Specify Qty.",'Cal. Sheet Door 3'!$L48*E75))</f>
        <v>0</v>
      </c>
    </row>
    <row r="76" spans="1:6" x14ac:dyDescent="0.35">
      <c r="A76" s="811"/>
      <c r="B76" s="794"/>
      <c r="C76" s="290" t="s">
        <v>142</v>
      </c>
      <c r="D76" s="292" t="b">
        <f>IF('Doors - Step 1'!$C$44&lt;&gt;"Polyfoam Overlap Doors - Swing door",IF(OR('Doors - Step 1'!$G$53='Door Table'!$E$182,'Doors - Step 1'!$G$53='Door Table'!$E$184),'Door Table'!$B186,IF(OR('Doors - Step 1'!$G$53='Door Table'!$E$183,'Doors - Step 1'!$G$53='Door Table'!$E$185),'Door Table'!$C186)),"Not Required")</f>
        <v>0</v>
      </c>
      <c r="E76" s="68">
        <f>+IF('Doors - Step 1'!$C$28&lt;&gt;"Polyfoam Overlap Doors - Swing door",1,0)</f>
        <v>1</v>
      </c>
      <c r="F76" s="293">
        <f>IF(ISBLANK(D76),"",IF(ISBLANK(E76),"Please Specify Qty.",'Cal. Sheet Door 3'!$L49*E76))</f>
        <v>0</v>
      </c>
    </row>
    <row r="77" spans="1:6" x14ac:dyDescent="0.35">
      <c r="A77" s="811"/>
      <c r="B77" s="794" t="s">
        <v>144</v>
      </c>
      <c r="C77" s="290" t="s">
        <v>142</v>
      </c>
      <c r="D77" s="292"/>
      <c r="E77" s="68"/>
      <c r="F77" s="293" t="str">
        <f>IF(ISBLANK(D77),"",IF(ISBLANK(E77),"Please Specify Qty.",'Cal. Sheet Door 3'!$L50*E77))</f>
        <v/>
      </c>
    </row>
    <row r="78" spans="1:6" x14ac:dyDescent="0.35">
      <c r="A78" s="811"/>
      <c r="B78" s="794"/>
      <c r="C78" s="290" t="s">
        <v>142</v>
      </c>
      <c r="D78" s="292"/>
      <c r="E78" s="68"/>
      <c r="F78" s="293" t="str">
        <f>IF(ISBLANK(D78),"",IF(ISBLANK(E78),"Please Specify Qty.",'Cal. Sheet Door 3'!$L51*E78))</f>
        <v/>
      </c>
    </row>
    <row r="79" spans="1:6" x14ac:dyDescent="0.35">
      <c r="A79" s="811"/>
      <c r="B79" s="794"/>
      <c r="C79" s="290" t="s">
        <v>142</v>
      </c>
      <c r="D79" s="292"/>
      <c r="E79" s="68"/>
      <c r="F79" s="293" t="str">
        <f>IF(ISBLANK(D79),"",IF(ISBLANK(E79),"Please Specify Qty.",'Cal. Sheet Door 3'!$L52*E79))</f>
        <v/>
      </c>
    </row>
    <row r="80" spans="1:6" x14ac:dyDescent="0.35">
      <c r="A80" s="811"/>
      <c r="B80" s="794"/>
      <c r="C80" s="290" t="s">
        <v>142</v>
      </c>
      <c r="D80" s="292"/>
      <c r="E80" s="68"/>
      <c r="F80" s="293" t="str">
        <f>IF(ISBLANK(D80),"",IF(ISBLANK(E80),"Please Specify Qty.",'Cal. Sheet Door 3'!$L53*E80))</f>
        <v/>
      </c>
    </row>
    <row r="81" spans="1:6" ht="6" customHeight="1" x14ac:dyDescent="0.35">
      <c r="A81" s="296"/>
      <c r="B81" s="296"/>
      <c r="C81" s="296"/>
      <c r="D81" s="296"/>
      <c r="E81" s="296"/>
      <c r="F81" s="296"/>
    </row>
    <row r="82" spans="1:6" ht="15.65" customHeight="1" x14ac:dyDescent="0.35">
      <c r="A82" s="768" t="s">
        <v>145</v>
      </c>
      <c r="B82" s="769"/>
      <c r="C82" s="303" t="s">
        <v>73</v>
      </c>
      <c r="D82" s="302"/>
      <c r="E82" s="302"/>
      <c r="F82" s="289" t="s">
        <v>124</v>
      </c>
    </row>
    <row r="83" spans="1:6" x14ac:dyDescent="0.35">
      <c r="A83" s="770"/>
      <c r="B83" s="771"/>
      <c r="C83" s="290" t="s">
        <v>146</v>
      </c>
      <c r="D83" s="325" t="str">
        <f>+IF('Doors - Step 1'!$C$44="Polyfoam Overlap Doors - Swing door",'Door Table'!$B$176,"Not Required")</f>
        <v>Not Required</v>
      </c>
      <c r="E83" s="326">
        <f>+IF(D83="Not Required",0,IF('Doors - Step 1'!$C$44="Polyfoam Overlap Doors - Swing door",2,0))</f>
        <v>0</v>
      </c>
      <c r="F83" s="293" t="str">
        <f>IF(D83="Not Required","",IF(ISBLANK(E83),"Please Specify Qty.",'Cal. Sheet Door 3'!$L59*E83))</f>
        <v/>
      </c>
    </row>
    <row r="84" spans="1:6" x14ac:dyDescent="0.35">
      <c r="A84" s="770"/>
      <c r="B84" s="771"/>
      <c r="C84" s="304" t="s">
        <v>147</v>
      </c>
      <c r="D84" s="292"/>
      <c r="E84" s="68"/>
      <c r="F84" s="293" t="str">
        <f>IF(ISBLANK(D84),"",IF(ISBLANK(E84),"Please Specify Qty.",'Cal. Sheet Door 3'!$L60*E84))</f>
        <v/>
      </c>
    </row>
    <row r="85" spans="1:6" x14ac:dyDescent="0.35">
      <c r="A85" s="770"/>
      <c r="B85" s="771"/>
      <c r="C85" s="304" t="s">
        <v>148</v>
      </c>
      <c r="D85" s="292"/>
      <c r="E85" s="68"/>
      <c r="F85" s="293" t="str">
        <f>IF(ISBLANK(D85),"",IF(ISBLANK(E85),"Please Specify Qty.",'Cal. Sheet Door 3'!$L61*E85))</f>
        <v/>
      </c>
    </row>
    <row r="86" spans="1:6" x14ac:dyDescent="0.35">
      <c r="A86" s="770"/>
      <c r="B86" s="771"/>
      <c r="C86" s="304" t="s">
        <v>149</v>
      </c>
      <c r="D86" s="292"/>
      <c r="E86" s="68"/>
      <c r="F86" s="293" t="str">
        <f>IF(ISBLANK(D86),"",IF(ISBLANK(E86),"Please Specify Qty.",'Cal. Sheet Door 3'!$L62*E86))</f>
        <v/>
      </c>
    </row>
    <row r="87" spans="1:6" x14ac:dyDescent="0.35">
      <c r="A87" s="770"/>
      <c r="B87" s="771"/>
      <c r="C87" s="290" t="s">
        <v>150</v>
      </c>
      <c r="D87" s="325" t="str">
        <f>+IF('Doors - Step 1'!$C$44="Polyfoam Overlap Doors - Swing door",IF('Doors - Step 1'!$G$52="Package 1",'Door Table'!$B$178,IF('Doors - Step 1'!$G$52="Package 2",'Door Table'!$C$178,IF('Doors - Step 1'!$G$52="Package 3",'Door Table'!$D$178))),"Not Required")</f>
        <v>Not Required</v>
      </c>
      <c r="E87" s="326">
        <f>+IF(D87="Not Required",0,IF('Doors - Step 1'!$C$44="Polyfoam Overlap Doors - Swing door",1,0))</f>
        <v>0</v>
      </c>
      <c r="F87" s="293" t="str">
        <f>IF(D87="Not Required","",IF(ISBLANK(E87),"Please Specify Qty.",'Cal. Sheet Door 3'!$L63*E87))</f>
        <v/>
      </c>
    </row>
    <row r="88" spans="1:6" x14ac:dyDescent="0.35">
      <c r="A88" s="770"/>
      <c r="B88" s="771"/>
      <c r="C88" s="304" t="s">
        <v>151</v>
      </c>
      <c r="D88" s="292"/>
      <c r="E88" s="68"/>
      <c r="F88" s="293" t="str">
        <f>IF(ISBLANK(D88),"",IF(ISBLANK(E88),"Please Specify Qty.",'Cal. Sheet Door 3'!$L64*E88))</f>
        <v/>
      </c>
    </row>
    <row r="89" spans="1:6" x14ac:dyDescent="0.35">
      <c r="A89" s="770"/>
      <c r="B89" s="771"/>
      <c r="C89" s="304" t="s">
        <v>152</v>
      </c>
      <c r="D89" s="292"/>
      <c r="E89" s="68"/>
      <c r="F89" s="293" t="str">
        <f>IF(ISBLANK(D89),"",IF(ISBLANK(E89),"Please Specify Qty.",'Cal. Sheet Door 3'!$L65*E89))</f>
        <v/>
      </c>
    </row>
    <row r="90" spans="1:6" x14ac:dyDescent="0.35">
      <c r="A90" s="770"/>
      <c r="B90" s="771"/>
      <c r="C90" s="290" t="s">
        <v>153</v>
      </c>
      <c r="D90" s="292"/>
      <c r="E90" s="68"/>
      <c r="F90" s="293" t="str">
        <f>IF(ISBLANK(D90),"",IF(ISBLANK(E90),"Please Specify Qty.",'Cal. Sheet Door 3'!$L66*E90))</f>
        <v/>
      </c>
    </row>
    <row r="91" spans="1:6" x14ac:dyDescent="0.35">
      <c r="A91" s="770"/>
      <c r="B91" s="771"/>
      <c r="C91" s="290" t="s">
        <v>194</v>
      </c>
      <c r="D91" s="292"/>
      <c r="E91" s="68"/>
      <c r="F91" s="293" t="str">
        <f>IF(ISBLANK(D91),"",IF(ISBLANK(E91),"Please Specify Qty.",'Cal. Sheet Door 3'!$L67*E91))</f>
        <v/>
      </c>
    </row>
    <row r="92" spans="1:6" x14ac:dyDescent="0.35">
      <c r="A92" s="770"/>
      <c r="B92" s="771"/>
      <c r="C92" s="290" t="s">
        <v>155</v>
      </c>
      <c r="D92" s="325" t="str">
        <f>+IF('Doors - Step 1'!$C$44="Polyfoam Overlap Doors - Swing door",IF('Doors - Step 1'!$G$52="Package 1","Not Required",IF('Doors - Step 1'!$G$52="Package 2",'Door Table'!$C$177,IF('Doors - Step 1'!$G$52="Package 3",'Door Table'!$D$177))),"Not Required")</f>
        <v>Not Required</v>
      </c>
      <c r="E92" s="326">
        <f>+IF(D92="Not Required",0,IF('Doors - Step 1'!$C$44="Polyfoam Overlap Doors - Swing door",1,0))</f>
        <v>0</v>
      </c>
      <c r="F92" s="293" t="str">
        <f>IF(D92="Not Required","",IF(ISBLANK(E92),"Please Specify Qty.",'Cal. Sheet Door 3'!$L68*E92))</f>
        <v/>
      </c>
    </row>
    <row r="93" spans="1:6" x14ac:dyDescent="0.35">
      <c r="A93" s="770"/>
      <c r="B93" s="771"/>
      <c r="C93" s="290" t="s">
        <v>156</v>
      </c>
      <c r="D93" s="292"/>
      <c r="E93" s="68"/>
      <c r="F93" s="293" t="str">
        <f>IF(ISBLANK(D93),"",IF(ISBLANK(E93),"Please Specify Qty.",'Cal. Sheet Door 3'!$L69*E93))</f>
        <v/>
      </c>
    </row>
    <row r="94" spans="1:6" x14ac:dyDescent="0.35">
      <c r="A94" s="770"/>
      <c r="B94" s="771"/>
      <c r="C94" s="290"/>
      <c r="D94" s="292"/>
      <c r="E94" s="68"/>
      <c r="F94" s="293"/>
    </row>
    <row r="95" spans="1:6" x14ac:dyDescent="0.35">
      <c r="A95" s="770"/>
      <c r="B95" s="771"/>
      <c r="C95" s="290" t="s">
        <v>158</v>
      </c>
      <c r="D95" s="292"/>
      <c r="E95" s="68"/>
      <c r="F95" s="293" t="str">
        <f>IF(ISBLANK(D95),"",IF(ISBLANK(E95),"Please Specify Qty.",'Cal. Sheet Door 3'!$L70*E95))</f>
        <v/>
      </c>
    </row>
    <row r="96" spans="1:6" x14ac:dyDescent="0.35">
      <c r="A96" s="770"/>
      <c r="B96" s="771"/>
      <c r="C96" s="290"/>
      <c r="D96" s="292"/>
      <c r="E96" s="68"/>
      <c r="F96" s="293"/>
    </row>
    <row r="97" spans="1:6" x14ac:dyDescent="0.35">
      <c r="A97" s="770"/>
      <c r="B97" s="771"/>
      <c r="C97" s="290"/>
      <c r="D97" s="292"/>
      <c r="E97" s="68"/>
      <c r="F97" s="293"/>
    </row>
    <row r="98" spans="1:6" x14ac:dyDescent="0.35">
      <c r="A98" s="770"/>
      <c r="B98" s="771"/>
      <c r="C98" s="290"/>
      <c r="D98" s="292"/>
      <c r="E98" s="68"/>
      <c r="F98" s="293"/>
    </row>
    <row r="99" spans="1:6" x14ac:dyDescent="0.35">
      <c r="A99" s="770"/>
      <c r="B99" s="771"/>
      <c r="C99" s="290"/>
      <c r="D99" s="292"/>
      <c r="E99" s="68"/>
      <c r="F99" s="293"/>
    </row>
    <row r="100" spans="1:6" x14ac:dyDescent="0.35">
      <c r="A100" s="770"/>
      <c r="B100" s="771"/>
      <c r="C100" s="290"/>
      <c r="D100" s="292"/>
      <c r="E100" s="68"/>
      <c r="F100" s="293"/>
    </row>
    <row r="101" spans="1:6" x14ac:dyDescent="0.35">
      <c r="A101" s="770"/>
      <c r="B101" s="771"/>
      <c r="C101" s="290"/>
      <c r="D101" s="325"/>
      <c r="E101" s="68"/>
      <c r="F101" s="293"/>
    </row>
    <row r="102" spans="1:6" x14ac:dyDescent="0.35">
      <c r="A102" s="770"/>
      <c r="B102" s="771"/>
      <c r="C102" s="290"/>
      <c r="D102" s="292"/>
      <c r="E102" s="68"/>
      <c r="F102" s="293"/>
    </row>
    <row r="103" spans="1:6" x14ac:dyDescent="0.35">
      <c r="A103" s="770"/>
      <c r="B103" s="771"/>
      <c r="C103" s="290"/>
      <c r="D103" s="292"/>
      <c r="E103" s="68"/>
      <c r="F103" s="293"/>
    </row>
    <row r="104" spans="1:6" x14ac:dyDescent="0.35">
      <c r="A104" s="770"/>
      <c r="B104" s="771"/>
      <c r="C104" s="290"/>
      <c r="D104" s="292"/>
      <c r="E104" s="68"/>
      <c r="F104" s="293"/>
    </row>
    <row r="105" spans="1:6" x14ac:dyDescent="0.35">
      <c r="A105" s="770"/>
      <c r="B105" s="771"/>
      <c r="C105" s="290" t="s">
        <v>171</v>
      </c>
      <c r="D105" s="186"/>
      <c r="E105" s="493"/>
      <c r="F105" s="293" t="str">
        <f>IF(ISBLANK(D105),"",IF(E105="Linear Length","Specific the Linear Length in ft.",'Cal. Sheet Door 3'!$L71))</f>
        <v/>
      </c>
    </row>
    <row r="106" spans="1:6" x14ac:dyDescent="0.35">
      <c r="A106" s="772"/>
      <c r="B106" s="773"/>
      <c r="C106" s="290" t="s">
        <v>172</v>
      </c>
      <c r="D106" s="292"/>
      <c r="E106" s="68"/>
      <c r="F106" s="293" t="str">
        <f>IF(ISBLANK(D106),"",'Cal. Sheet Door 3'!$L72)</f>
        <v/>
      </c>
    </row>
    <row r="107" spans="1:6" ht="30" customHeight="1" x14ac:dyDescent="0.35">
      <c r="A107" s="778" t="s">
        <v>191</v>
      </c>
      <c r="B107" s="779"/>
      <c r="C107" s="273" t="s">
        <v>73</v>
      </c>
      <c r="D107" s="273" t="s">
        <v>42</v>
      </c>
      <c r="E107" s="272" t="s">
        <v>74</v>
      </c>
      <c r="F107" s="289" t="s">
        <v>124</v>
      </c>
    </row>
    <row r="108" spans="1:6" x14ac:dyDescent="0.35">
      <c r="A108" s="780"/>
      <c r="B108" s="781"/>
      <c r="C108" s="331" t="str">
        <f>+'Doors - Step 1'!F55</f>
        <v xml:space="preserve">Drafting Charges </v>
      </c>
      <c r="D108" s="331">
        <f>+'Doors - Step 1'!G55</f>
        <v>0</v>
      </c>
      <c r="E108" s="331">
        <f>+'Doors - Step 1'!H55</f>
        <v>0</v>
      </c>
      <c r="F108" s="293" t="str">
        <f>+'Doors - Step 1'!I55</f>
        <v/>
      </c>
    </row>
    <row r="109" spans="1:6" x14ac:dyDescent="0.35">
      <c r="A109" s="780"/>
      <c r="B109" s="781"/>
      <c r="C109" s="331"/>
      <c r="D109" s="331"/>
      <c r="E109" s="331"/>
      <c r="F109" s="293"/>
    </row>
    <row r="110" spans="1:6" x14ac:dyDescent="0.35">
      <c r="A110" s="782"/>
      <c r="B110" s="783"/>
      <c r="C110" s="331">
        <f>+'Doors - Step 1'!F57</f>
        <v>0</v>
      </c>
      <c r="D110" s="331">
        <f>+'Doors - Step 1'!G57</f>
        <v>0</v>
      </c>
      <c r="E110" s="331">
        <f>+'Doors - Step 1'!H57</f>
        <v>0</v>
      </c>
      <c r="F110" s="293" t="str">
        <f>+'Doors - Step 1'!I57</f>
        <v/>
      </c>
    </row>
    <row r="111" spans="1:6" x14ac:dyDescent="0.35">
      <c r="D111" s="246"/>
    </row>
    <row r="112" spans="1:6" x14ac:dyDescent="0.35">
      <c r="A112" s="774" t="s">
        <v>178</v>
      </c>
      <c r="B112" s="774"/>
      <c r="C112" s="790" t="s">
        <v>195</v>
      </c>
      <c r="D112" s="791"/>
      <c r="E112" s="305" t="s">
        <v>124</v>
      </c>
      <c r="F112" s="306">
        <f>+SUM(F42:F110)*$D$38</f>
        <v>0</v>
      </c>
    </row>
    <row r="113" spans="1:6" x14ac:dyDescent="0.35">
      <c r="A113" s="774"/>
      <c r="B113" s="774"/>
      <c r="C113" s="792"/>
      <c r="D113" s="793"/>
      <c r="E113" s="305" t="s">
        <v>45</v>
      </c>
      <c r="F113" s="307">
        <f>+'Doors - Step 1'!$K$45</f>
        <v>0</v>
      </c>
    </row>
    <row r="114" spans="1:6" x14ac:dyDescent="0.35">
      <c r="A114" s="774"/>
      <c r="B114" s="774"/>
      <c r="C114" s="792"/>
      <c r="D114" s="793"/>
      <c r="E114" s="305" t="s">
        <v>46</v>
      </c>
      <c r="F114" s="306">
        <f>+IF(ISBLANK(F113),"",(F112*(1+F113)))</f>
        <v>0</v>
      </c>
    </row>
    <row r="115" spans="1:6" x14ac:dyDescent="0.35">
      <c r="C115" s="263"/>
    </row>
    <row r="122" spans="1:6" x14ac:dyDescent="0.35">
      <c r="D122" s="246"/>
    </row>
    <row r="123" spans="1:6" x14ac:dyDescent="0.35">
      <c r="D123" s="246"/>
    </row>
    <row r="124" spans="1:6" x14ac:dyDescent="0.35">
      <c r="D124" s="246"/>
    </row>
    <row r="125" spans="1:6" x14ac:dyDescent="0.35">
      <c r="D125" s="246"/>
    </row>
    <row r="145" spans="3:6" x14ac:dyDescent="0.35">
      <c r="C145" s="281"/>
      <c r="D145" s="308"/>
      <c r="E145" s="308"/>
      <c r="F145" s="302"/>
    </row>
    <row r="146" spans="3:6" x14ac:dyDescent="0.35">
      <c r="C146" s="309"/>
      <c r="D146" s="310"/>
      <c r="E146" s="311"/>
      <c r="F146" s="312"/>
    </row>
    <row r="147" spans="3:6" x14ac:dyDescent="0.35">
      <c r="C147" s="309"/>
      <c r="D147" s="310"/>
      <c r="E147" s="311"/>
    </row>
    <row r="148" spans="3:6" x14ac:dyDescent="0.35">
      <c r="C148" s="291"/>
    </row>
  </sheetData>
  <mergeCells count="33">
    <mergeCell ref="S3:T3"/>
    <mergeCell ref="X3:Y3"/>
    <mergeCell ref="C5:D5"/>
    <mergeCell ref="F5:H5"/>
    <mergeCell ref="C6:C8"/>
    <mergeCell ref="E6:E8"/>
    <mergeCell ref="F6:H6"/>
    <mergeCell ref="F7:H7"/>
    <mergeCell ref="F8:H8"/>
    <mergeCell ref="F9:H9"/>
    <mergeCell ref="F10:H10"/>
    <mergeCell ref="F11:H11"/>
    <mergeCell ref="A15:B26"/>
    <mergeCell ref="D15:F15"/>
    <mergeCell ref="C16:F26"/>
    <mergeCell ref="G16:H26"/>
    <mergeCell ref="A2:B11"/>
    <mergeCell ref="J19:K19"/>
    <mergeCell ref="C29:F29"/>
    <mergeCell ref="A30:B38"/>
    <mergeCell ref="E33:F33"/>
    <mergeCell ref="E34:F34"/>
    <mergeCell ref="E35:F35"/>
    <mergeCell ref="A82:B106"/>
    <mergeCell ref="A107:B110"/>
    <mergeCell ref="A112:B114"/>
    <mergeCell ref="C112:D114"/>
    <mergeCell ref="B40:F40"/>
    <mergeCell ref="A41:A80"/>
    <mergeCell ref="F47:F49"/>
    <mergeCell ref="F50:F51"/>
    <mergeCell ref="B68:B76"/>
    <mergeCell ref="B77:B80"/>
  </mergeCells>
  <conditionalFormatting sqref="T4:T12">
    <cfRule type="containsText" dxfId="32" priority="4" operator="containsText" text="No">
      <formula>NOT(ISERROR(SEARCH("No",T4)))</formula>
    </cfRule>
    <cfRule type="containsText" dxfId="31" priority="5" operator="containsText" text="Yes">
      <formula>NOT(ISERROR(SEARCH("Yes",T4)))</formula>
    </cfRule>
  </conditionalFormatting>
  <conditionalFormatting sqref="T13">
    <cfRule type="cellIs" dxfId="30" priority="2" operator="lessThan">
      <formula>1</formula>
    </cfRule>
    <cfRule type="cellIs" dxfId="29" priority="3" operator="equal">
      <formula>1</formula>
    </cfRule>
  </conditionalFormatting>
  <conditionalFormatting sqref="B42:B59">
    <cfRule type="cellIs" dxfId="28" priority="1" operator="equal">
      <formula>"Not Required"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3562B1DB-FDB1-481F-A389-080FBDA2662A}">
          <x14:formula1>
            <xm:f>_xlfn.ANCHORARRAY('Door Table'!$V$46)</xm:f>
          </x14:formula1>
          <xm:sqref>D59</xm:sqref>
        </x14:dataValidation>
        <x14:dataValidation type="list" allowBlank="1" showInputMessage="1" showErrorMessage="1" xr:uid="{9B2E2262-542C-4314-BA55-67E201B738F1}">
          <x14:formula1>
            <xm:f>_xlfn.ANCHORARRAY('Door Table'!$U$46)</xm:f>
          </x14:formula1>
          <xm:sqref>D58</xm:sqref>
        </x14:dataValidation>
        <x14:dataValidation type="list" allowBlank="1" showInputMessage="1" showErrorMessage="1" xr:uid="{3E435E6D-A24C-43CD-BEEA-3AD87C01632F}">
          <x14:formula1>
            <xm:f>_xlfn.ANCHORARRAY('Door Table'!$T$46)</xm:f>
          </x14:formula1>
          <xm:sqref>D57</xm:sqref>
        </x14:dataValidation>
        <x14:dataValidation type="list" allowBlank="1" showInputMessage="1" showErrorMessage="1" xr:uid="{EC28E6BB-7621-4D9B-9619-70E3ECCDB4CC}">
          <x14:formula1>
            <xm:f>_xlfn.ANCHORARRAY('Door Table'!$S$46)</xm:f>
          </x14:formula1>
          <xm:sqref>D56</xm:sqref>
        </x14:dataValidation>
        <x14:dataValidation type="list" allowBlank="1" showInputMessage="1" showErrorMessage="1" xr:uid="{01044E9F-4E5B-425C-8304-74566320BBA5}">
          <x14:formula1>
            <xm:f>_xlfn.ANCHORARRAY('Door Table'!$R$46)</xm:f>
          </x14:formula1>
          <xm:sqref>D55</xm:sqref>
        </x14:dataValidation>
        <x14:dataValidation type="list" allowBlank="1" showInputMessage="1" showErrorMessage="1" xr:uid="{56ACF0C3-6907-4E80-9632-A6AC7F5BF577}">
          <x14:formula1>
            <xm:f>_xlfn.ANCHORARRAY('Door Table'!$Q$46)</xm:f>
          </x14:formula1>
          <xm:sqref>D54</xm:sqref>
        </x14:dataValidation>
        <x14:dataValidation type="list" allowBlank="1" showInputMessage="1" showErrorMessage="1" xr:uid="{196B564A-6613-4D94-A424-A089BB937153}">
          <x14:formula1>
            <xm:f>_xlfn.ANCHORARRAY('Door Table'!$O$46)</xm:f>
          </x14:formula1>
          <xm:sqref>D52</xm:sqref>
        </x14:dataValidation>
        <x14:dataValidation type="list" allowBlank="1" showInputMessage="1" showErrorMessage="1" xr:uid="{36252C04-CBF8-4664-8CEE-4FBCCF7F1C3D}">
          <x14:formula1>
            <xm:f>_xlfn.ANCHORARRAY('Door Table'!$N$46)</xm:f>
          </x14:formula1>
          <xm:sqref>D51</xm:sqref>
        </x14:dataValidation>
        <x14:dataValidation type="list" allowBlank="1" showInputMessage="1" showErrorMessage="1" xr:uid="{FE79D9C8-A936-4509-B7B7-22995D1B799D}">
          <x14:formula1>
            <xm:f>_xlfn.ANCHORARRAY('Door Table'!$M$46)</xm:f>
          </x14:formula1>
          <xm:sqref>D50</xm:sqref>
        </x14:dataValidation>
        <x14:dataValidation type="list" allowBlank="1" showInputMessage="1" showErrorMessage="1" xr:uid="{157ABC9B-CB3A-4AA2-A563-2E16E044E90D}">
          <x14:formula1>
            <xm:f>_xlfn.ANCHORARRAY('Door Table'!$L$46)</xm:f>
          </x14:formula1>
          <xm:sqref>D49</xm:sqref>
        </x14:dataValidation>
        <x14:dataValidation type="list" allowBlank="1" showInputMessage="1" showErrorMessage="1" xr:uid="{996F003E-8C61-4099-92F2-181488DFF6AC}">
          <x14:formula1>
            <xm:f>_xlfn.ANCHORARRAY('Door Table'!$K$46)</xm:f>
          </x14:formula1>
          <xm:sqref>D48</xm:sqref>
        </x14:dataValidation>
        <x14:dataValidation type="list" allowBlank="1" showInputMessage="1" showErrorMessage="1" xr:uid="{B8B8EADA-B6EE-4744-A0B7-A0B0F04A3226}">
          <x14:formula1>
            <xm:f>_xlfn.ANCHORARRAY('Door Table'!$J$46)</xm:f>
          </x14:formula1>
          <xm:sqref>D47</xm:sqref>
        </x14:dataValidation>
        <x14:dataValidation type="list" allowBlank="1" showInputMessage="1" showErrorMessage="1" xr:uid="{54238E22-FB4D-427D-B6F0-3DCF57E21C62}">
          <x14:formula1>
            <xm:f>'Door Table'!$AB$134:$AB$142</xm:f>
          </x14:formula1>
          <xm:sqref>D77:D80</xm:sqref>
        </x14:dataValidation>
        <x14:dataValidation type="list" allowBlank="1" showInputMessage="1" showErrorMessage="1" xr:uid="{F15744A5-D1FB-4ED1-BF7C-9F5B806A81E5}">
          <x14:formula1>
            <xm:f>_xlfn.ANCHORARRAY('Door Table'!$V$134)</xm:f>
          </x14:formula1>
          <xm:sqref>D106</xm:sqref>
        </x14:dataValidation>
        <x14:dataValidation type="list" allowBlank="1" showInputMessage="1" showErrorMessage="1" xr:uid="{2BC3FC77-E5BD-4343-BB29-80713D1DC6E7}">
          <x14:formula1>
            <xm:f>_xlfn.ANCHORARRAY('Door Table'!$S$134)</xm:f>
          </x14:formula1>
          <xm:sqref>D95:D104</xm:sqref>
        </x14:dataValidation>
        <x14:dataValidation type="list" allowBlank="1" showInputMessage="1" showErrorMessage="1" xr:uid="{74DB8E88-A298-49DD-BFC0-0D179FA3DFA6}">
          <x14:formula1>
            <xm:f>_xlfn.ANCHORARRAY('Door Table'!$P$134)</xm:f>
          </x14:formula1>
          <xm:sqref>D93:D94</xm:sqref>
        </x14:dataValidation>
        <x14:dataValidation type="list" allowBlank="1" showInputMessage="1" showErrorMessage="1" xr:uid="{44245256-5879-4CB2-B252-CA8DB5A5B9FD}">
          <x14:formula1>
            <xm:f>_xlfn.ANCHORARRAY('Door Table'!$L$134)</xm:f>
          </x14:formula1>
          <xm:sqref>D91</xm:sqref>
        </x14:dataValidation>
        <x14:dataValidation type="list" allowBlank="1" showInputMessage="1" showErrorMessage="1" xr:uid="{4EA4206F-7913-4D00-AE61-E20367DF0CF5}">
          <x14:formula1>
            <xm:f>_xlfn.ANCHORARRAY('Door Table'!$K$134)</xm:f>
          </x14:formula1>
          <xm:sqref>D90</xm:sqref>
        </x14:dataValidation>
        <x14:dataValidation type="list" allowBlank="1" showInputMessage="1" showErrorMessage="1" xr:uid="{C7F3FAFE-9EAF-4107-8FA7-2154323CC385}">
          <x14:formula1>
            <xm:f>_xlfn.ANCHORARRAY('Door Table'!$J$134)</xm:f>
          </x14:formula1>
          <xm:sqref>D89</xm:sqref>
        </x14:dataValidation>
        <x14:dataValidation type="list" allowBlank="1" showInputMessage="1" showErrorMessage="1" xr:uid="{8C7ED86E-B16F-489C-A5F3-165C4E1D1377}">
          <x14:formula1>
            <xm:f>_xlfn.ANCHORARRAY('Door Table'!$I$134)</xm:f>
          </x14:formula1>
          <xm:sqref>D88</xm:sqref>
        </x14:dataValidation>
        <x14:dataValidation type="list" allowBlank="1" showInputMessage="1" showErrorMessage="1" xr:uid="{95ECCE4E-896B-4D5F-95E5-36C3288F883E}">
          <x14:formula1>
            <xm:f>_xlfn.ANCHORARRAY('Door Table'!$G$134)</xm:f>
          </x14:formula1>
          <xm:sqref>D86</xm:sqref>
        </x14:dataValidation>
        <x14:dataValidation type="list" allowBlank="1" showInputMessage="1" showErrorMessage="1" xr:uid="{15AFDAF7-E654-42BA-BDF4-EB73E9186B4E}">
          <x14:formula1>
            <xm:f>_xlfn.ANCHORARRAY('Door Table'!$D$134)</xm:f>
          </x14:formula1>
          <xm:sqref>D84:D85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53A17-5901-4B53-AAB1-717F4D7D6025}">
  <sheetPr codeName="Sheet29">
    <tabColor rgb="FF92D050"/>
  </sheetPr>
  <dimension ref="A2:Y148"/>
  <sheetViews>
    <sheetView topLeftCell="A87" workbookViewId="0">
      <selection activeCell="E121" sqref="E121"/>
    </sheetView>
  </sheetViews>
  <sheetFormatPr defaultColWidth="8.58203125" defaultRowHeight="13" x14ac:dyDescent="0.35"/>
  <cols>
    <col min="1" max="2" width="12.33203125" style="263" customWidth="1"/>
    <col min="3" max="3" width="33.08203125" style="246" bestFit="1" customWidth="1"/>
    <col min="4" max="4" width="32.58203125" style="264" bestFit="1" customWidth="1"/>
    <col min="5" max="5" width="13.83203125" style="246" customWidth="1"/>
    <col min="6" max="6" width="15.33203125" style="246" customWidth="1"/>
    <col min="7" max="7" width="4.33203125" style="246" customWidth="1"/>
    <col min="8" max="8" width="30.08203125" style="247" bestFit="1" customWidth="1"/>
    <col min="9" max="9" width="32.58203125" style="247" bestFit="1" customWidth="1"/>
    <col min="10" max="10" width="12.08203125" style="246" customWidth="1"/>
    <col min="11" max="11" width="13.33203125" style="246" customWidth="1"/>
    <col min="12" max="12" width="3.58203125" style="246" customWidth="1"/>
    <col min="13" max="13" width="38.25" style="246" bestFit="1" customWidth="1"/>
    <col min="14" max="14" width="38.08203125" style="246" bestFit="1" customWidth="1"/>
    <col min="15" max="15" width="11.75" style="246" customWidth="1"/>
    <col min="16" max="16" width="15" style="246" customWidth="1"/>
    <col min="17" max="18" width="8.58203125" style="246"/>
    <col min="19" max="19" width="29.33203125" style="246" bestFit="1" customWidth="1"/>
    <col min="20" max="20" width="20.5" style="246" bestFit="1" customWidth="1"/>
    <col min="21" max="23" width="8.58203125" style="246"/>
    <col min="24" max="24" width="20.25" style="246" bestFit="1" customWidth="1"/>
    <col min="25" max="25" width="5.58203125" style="246" bestFit="1" customWidth="1"/>
    <col min="26" max="16384" width="8.58203125" style="246"/>
  </cols>
  <sheetData>
    <row r="2" spans="1:25" ht="15.65" customHeight="1" x14ac:dyDescent="0.35">
      <c r="A2" s="795" t="s">
        <v>28</v>
      </c>
      <c r="B2" s="796"/>
      <c r="C2" s="244" t="s">
        <v>29</v>
      </c>
      <c r="D2" s="245"/>
      <c r="E2" s="244" t="s">
        <v>31</v>
      </c>
      <c r="F2" s="245"/>
      <c r="J2" s="247"/>
      <c r="K2" s="247"/>
    </row>
    <row r="3" spans="1:25" ht="15.65" customHeight="1" x14ac:dyDescent="0.3">
      <c r="A3" s="797"/>
      <c r="B3" s="798"/>
      <c r="C3" s="248" t="s">
        <v>30</v>
      </c>
      <c r="D3" s="249"/>
      <c r="L3" s="250"/>
      <c r="S3" s="821"/>
      <c r="T3" s="821"/>
      <c r="X3" s="822"/>
      <c r="Y3" s="822"/>
    </row>
    <row r="4" spans="1:25" x14ac:dyDescent="0.3">
      <c r="A4" s="797"/>
      <c r="B4" s="798"/>
      <c r="C4" s="251"/>
      <c r="D4" s="251"/>
      <c r="E4" s="251"/>
      <c r="F4" s="322"/>
      <c r="G4" s="278"/>
      <c r="H4" s="323"/>
      <c r="I4" s="251"/>
      <c r="J4" s="251"/>
      <c r="L4" s="250"/>
      <c r="S4" s="232"/>
      <c r="T4" s="233"/>
      <c r="X4" s="240"/>
      <c r="Y4" s="252"/>
    </row>
    <row r="5" spans="1:25" x14ac:dyDescent="0.3">
      <c r="A5" s="797"/>
      <c r="B5" s="798"/>
      <c r="C5" s="823" t="s">
        <v>33</v>
      </c>
      <c r="D5" s="824"/>
      <c r="E5" s="253"/>
      <c r="F5" s="829" t="s">
        <v>95</v>
      </c>
      <c r="G5" s="829"/>
      <c r="H5" s="829"/>
      <c r="I5" s="254" t="s">
        <v>96</v>
      </c>
      <c r="J5" s="255" t="s">
        <v>97</v>
      </c>
      <c r="L5" s="250"/>
      <c r="S5" s="232"/>
      <c r="T5" s="234"/>
      <c r="X5" s="240"/>
      <c r="Y5" s="256"/>
    </row>
    <row r="6" spans="1:25" ht="16" x14ac:dyDescent="0.3">
      <c r="A6" s="797"/>
      <c r="B6" s="798"/>
      <c r="C6" s="825" t="s">
        <v>34</v>
      </c>
      <c r="D6" s="50"/>
      <c r="E6" s="828" t="s">
        <v>34</v>
      </c>
      <c r="F6" s="818"/>
      <c r="G6" s="818"/>
      <c r="H6" s="818"/>
      <c r="I6" s="257" t="s">
        <v>100</v>
      </c>
      <c r="J6" s="258"/>
      <c r="L6" s="250"/>
      <c r="S6" s="232"/>
      <c r="T6" s="234"/>
      <c r="X6" s="259"/>
      <c r="Y6" s="252"/>
    </row>
    <row r="7" spans="1:25" ht="16" x14ac:dyDescent="0.3">
      <c r="A7" s="797"/>
      <c r="B7" s="798"/>
      <c r="C7" s="826"/>
      <c r="D7" s="50"/>
      <c r="E7" s="828"/>
      <c r="F7" s="818"/>
      <c r="G7" s="818"/>
      <c r="H7" s="818"/>
      <c r="L7" s="250"/>
      <c r="S7" s="235"/>
      <c r="T7" s="234"/>
      <c r="X7" s="259"/>
      <c r="Y7" s="252"/>
    </row>
    <row r="8" spans="1:25" ht="16" x14ac:dyDescent="0.3">
      <c r="A8" s="797"/>
      <c r="B8" s="798"/>
      <c r="C8" s="827"/>
      <c r="D8" s="50"/>
      <c r="E8" s="828"/>
      <c r="F8" s="818"/>
      <c r="G8" s="818"/>
      <c r="H8" s="818"/>
      <c r="L8" s="250"/>
      <c r="S8" s="235"/>
      <c r="T8" s="234"/>
      <c r="X8" s="259"/>
      <c r="Y8" s="252"/>
    </row>
    <row r="9" spans="1:25" ht="16" x14ac:dyDescent="0.3">
      <c r="A9" s="797"/>
      <c r="B9" s="798"/>
      <c r="C9" s="7" t="s">
        <v>105</v>
      </c>
      <c r="D9" s="50"/>
      <c r="E9" s="8" t="s">
        <v>105</v>
      </c>
      <c r="F9" s="818"/>
      <c r="G9" s="818"/>
      <c r="H9" s="818"/>
      <c r="L9" s="250"/>
      <c r="S9" s="236"/>
      <c r="T9" s="234"/>
      <c r="X9" s="259"/>
      <c r="Y9" s="260"/>
    </row>
    <row r="10" spans="1:25" ht="16" x14ac:dyDescent="0.3">
      <c r="A10" s="797"/>
      <c r="B10" s="798"/>
      <c r="C10" s="7" t="s">
        <v>7</v>
      </c>
      <c r="D10" s="261"/>
      <c r="E10" s="8" t="s">
        <v>7</v>
      </c>
      <c r="F10" s="819"/>
      <c r="G10" s="819"/>
      <c r="H10" s="819"/>
      <c r="L10" s="250"/>
      <c r="S10" s="232"/>
      <c r="T10" s="234"/>
      <c r="X10" s="262"/>
      <c r="Y10" s="262"/>
    </row>
    <row r="11" spans="1:25" ht="16" x14ac:dyDescent="0.3">
      <c r="A11" s="799"/>
      <c r="B11" s="800"/>
      <c r="C11" s="7" t="s">
        <v>9</v>
      </c>
      <c r="D11" s="50"/>
      <c r="E11" s="8" t="s">
        <v>9</v>
      </c>
      <c r="F11" s="818"/>
      <c r="G11" s="818"/>
      <c r="H11" s="818"/>
      <c r="L11" s="250"/>
      <c r="S11" s="232"/>
      <c r="T11" s="234"/>
      <c r="X11" s="262"/>
      <c r="Y11" s="262"/>
    </row>
    <row r="12" spans="1:25" x14ac:dyDescent="0.3">
      <c r="G12" s="247"/>
      <c r="L12" s="250"/>
      <c r="S12" s="237"/>
      <c r="T12" s="234"/>
      <c r="X12" s="240"/>
      <c r="Y12" s="252"/>
    </row>
    <row r="13" spans="1:25" x14ac:dyDescent="0.3">
      <c r="C13" s="265" t="s">
        <v>111</v>
      </c>
      <c r="D13" s="266"/>
      <c r="L13" s="250"/>
      <c r="S13" s="238"/>
      <c r="T13" s="239"/>
      <c r="X13" s="240"/>
      <c r="Y13" s="260"/>
    </row>
    <row r="14" spans="1:25" x14ac:dyDescent="0.3">
      <c r="C14" s="267" t="s">
        <v>114</v>
      </c>
      <c r="D14" s="268"/>
      <c r="L14" s="250"/>
      <c r="M14" s="250"/>
      <c r="N14" s="269"/>
    </row>
    <row r="15" spans="1:25" ht="15.65" customHeight="1" x14ac:dyDescent="0.3">
      <c r="A15" s="812" t="s">
        <v>115</v>
      </c>
      <c r="B15" s="813"/>
      <c r="C15" s="270" t="s">
        <v>116</v>
      </c>
      <c r="D15" s="801"/>
      <c r="E15" s="801"/>
      <c r="F15" s="801"/>
      <c r="G15" s="313" t="s">
        <v>117</v>
      </c>
      <c r="H15" s="271"/>
      <c r="L15" s="250"/>
      <c r="M15" s="250"/>
      <c r="N15" s="269"/>
    </row>
    <row r="16" spans="1:25" x14ac:dyDescent="0.3">
      <c r="A16" s="814"/>
      <c r="B16" s="815"/>
      <c r="C16" s="802"/>
      <c r="D16" s="803"/>
      <c r="E16" s="803"/>
      <c r="F16" s="804"/>
      <c r="G16" s="802"/>
      <c r="H16" s="804"/>
      <c r="L16" s="250"/>
    </row>
    <row r="17" spans="1:13" x14ac:dyDescent="0.35">
      <c r="A17" s="814"/>
      <c r="B17" s="815"/>
      <c r="C17" s="805"/>
      <c r="D17" s="806"/>
      <c r="E17" s="806"/>
      <c r="F17" s="807"/>
      <c r="G17" s="805"/>
      <c r="H17" s="807"/>
    </row>
    <row r="18" spans="1:13" x14ac:dyDescent="0.35">
      <c r="A18" s="814"/>
      <c r="B18" s="815"/>
      <c r="C18" s="805"/>
      <c r="D18" s="806"/>
      <c r="E18" s="806"/>
      <c r="F18" s="807"/>
      <c r="G18" s="805"/>
      <c r="H18" s="807"/>
    </row>
    <row r="19" spans="1:13" x14ac:dyDescent="0.35">
      <c r="A19" s="814"/>
      <c r="B19" s="815"/>
      <c r="C19" s="805"/>
      <c r="D19" s="806"/>
      <c r="E19" s="806"/>
      <c r="F19" s="807"/>
      <c r="G19" s="805"/>
      <c r="H19" s="807"/>
      <c r="J19" s="767" t="s">
        <v>118</v>
      </c>
      <c r="K19" s="767"/>
    </row>
    <row r="20" spans="1:13" x14ac:dyDescent="0.35">
      <c r="A20" s="814"/>
      <c r="B20" s="815"/>
      <c r="C20" s="805"/>
      <c r="D20" s="806"/>
      <c r="E20" s="806"/>
      <c r="F20" s="807"/>
      <c r="G20" s="805"/>
      <c r="H20" s="807"/>
      <c r="J20" s="285" t="s">
        <v>120</v>
      </c>
      <c r="K20" s="5"/>
    </row>
    <row r="21" spans="1:13" x14ac:dyDescent="0.35">
      <c r="A21" s="814"/>
      <c r="B21" s="815"/>
      <c r="C21" s="805"/>
      <c r="D21" s="806"/>
      <c r="E21" s="806"/>
      <c r="F21" s="807"/>
      <c r="G21" s="805"/>
      <c r="H21" s="807"/>
      <c r="J21" s="285" t="s">
        <v>121</v>
      </c>
      <c r="K21" s="287">
        <f>+K20/'Calculation Sheet - BOM '!$L$2</f>
        <v>0</v>
      </c>
    </row>
    <row r="22" spans="1:13" x14ac:dyDescent="0.35">
      <c r="A22" s="814"/>
      <c r="B22" s="815"/>
      <c r="C22" s="805"/>
      <c r="D22" s="806"/>
      <c r="E22" s="806"/>
      <c r="F22" s="807"/>
      <c r="G22" s="805"/>
      <c r="H22" s="807"/>
    </row>
    <row r="23" spans="1:13" x14ac:dyDescent="0.35">
      <c r="A23" s="814"/>
      <c r="B23" s="815"/>
      <c r="C23" s="805"/>
      <c r="D23" s="806"/>
      <c r="E23" s="806"/>
      <c r="F23" s="807"/>
      <c r="G23" s="805"/>
      <c r="H23" s="807"/>
      <c r="J23" s="247"/>
      <c r="K23" s="247"/>
    </row>
    <row r="24" spans="1:13" x14ac:dyDescent="0.35">
      <c r="A24" s="814"/>
      <c r="B24" s="815"/>
      <c r="C24" s="805"/>
      <c r="D24" s="806"/>
      <c r="E24" s="806"/>
      <c r="F24" s="807"/>
      <c r="G24" s="805"/>
      <c r="H24" s="807"/>
      <c r="J24" s="247"/>
      <c r="K24" s="247"/>
      <c r="M24" s="274"/>
    </row>
    <row r="25" spans="1:13" x14ac:dyDescent="0.35">
      <c r="A25" s="814"/>
      <c r="B25" s="815"/>
      <c r="C25" s="805"/>
      <c r="D25" s="806"/>
      <c r="E25" s="806"/>
      <c r="F25" s="807"/>
      <c r="G25" s="805"/>
      <c r="H25" s="807"/>
    </row>
    <row r="26" spans="1:13" x14ac:dyDescent="0.35">
      <c r="A26" s="816"/>
      <c r="B26" s="817"/>
      <c r="C26" s="808"/>
      <c r="D26" s="775"/>
      <c r="E26" s="775"/>
      <c r="F26" s="809"/>
      <c r="G26" s="808"/>
      <c r="H26" s="809"/>
    </row>
    <row r="27" spans="1:13" x14ac:dyDescent="0.35">
      <c r="A27" s="275"/>
      <c r="B27" s="275"/>
      <c r="C27" s="276"/>
      <c r="D27" s="277"/>
      <c r="E27" s="278"/>
      <c r="F27" s="278"/>
      <c r="G27" s="278"/>
      <c r="H27" s="278"/>
    </row>
    <row r="28" spans="1:13" x14ac:dyDescent="0.35">
      <c r="A28" s="275"/>
      <c r="B28" s="275"/>
      <c r="C28" s="247"/>
      <c r="D28" s="247"/>
      <c r="E28" s="247"/>
      <c r="F28" s="247"/>
      <c r="G28" s="247"/>
    </row>
    <row r="29" spans="1:13" x14ac:dyDescent="0.35">
      <c r="A29" s="275"/>
      <c r="B29" s="275"/>
      <c r="C29" s="820" t="str">
        <f>+CONCATENATE("DOOR 3 - ",D30)</f>
        <v>DOOR 3 - 0</v>
      </c>
      <c r="D29" s="820"/>
      <c r="E29" s="820"/>
      <c r="F29" s="820"/>
    </row>
    <row r="30" spans="1:13" x14ac:dyDescent="0.35">
      <c r="A30" s="784" t="s">
        <v>119</v>
      </c>
      <c r="B30" s="785"/>
      <c r="C30" s="279" t="s">
        <v>37</v>
      </c>
      <c r="D30" s="280">
        <f>+'Doors - Step 1'!$C44</f>
        <v>0</v>
      </c>
    </row>
    <row r="31" spans="1:13" x14ac:dyDescent="0.35">
      <c r="A31" s="786"/>
      <c r="B31" s="787"/>
      <c r="C31" s="281" t="s">
        <v>47</v>
      </c>
      <c r="D31" s="280">
        <f>+'Doors - Step 1'!$C45</f>
        <v>0</v>
      </c>
    </row>
    <row r="32" spans="1:13" x14ac:dyDescent="0.35">
      <c r="A32" s="786"/>
      <c r="B32" s="787"/>
      <c r="C32" s="281" t="s">
        <v>52</v>
      </c>
      <c r="D32" s="280">
        <f>+'Doors - Step 1'!$C46</f>
        <v>0</v>
      </c>
    </row>
    <row r="33" spans="1:6" x14ac:dyDescent="0.35">
      <c r="A33" s="786"/>
      <c r="B33" s="787"/>
      <c r="C33" s="281" t="s">
        <v>56</v>
      </c>
      <c r="D33" s="280">
        <f>+'Doors - Step 1'!$C47</f>
        <v>0</v>
      </c>
      <c r="E33" s="748" t="str">
        <f>+IF(D33="Motorized","Please specify the voltage in Freezer Door in N45","")</f>
        <v/>
      </c>
      <c r="F33" s="749"/>
    </row>
    <row r="34" spans="1:6" x14ac:dyDescent="0.35">
      <c r="A34" s="786"/>
      <c r="B34" s="787"/>
      <c r="C34" s="283" t="s">
        <v>193</v>
      </c>
      <c r="D34" s="333">
        <f>+'Doors - Step 1'!$C48</f>
        <v>0</v>
      </c>
      <c r="E34" s="727" t="str">
        <f>+IF(D30="Polyfoam Overlap Doors - Swing Door",IF(D34&gt;72,"Length can't be greater than 72 inches",""),"")</f>
        <v/>
      </c>
      <c r="F34" s="728"/>
    </row>
    <row r="35" spans="1:6" x14ac:dyDescent="0.35">
      <c r="A35" s="786"/>
      <c r="B35" s="787"/>
      <c r="C35" s="283" t="s">
        <v>61</v>
      </c>
      <c r="D35" s="333">
        <f>+'Doors - Step 1'!$C49</f>
        <v>0</v>
      </c>
      <c r="E35" s="727" t="str">
        <f>+IF(D30="Polyfoam Overlap Doors - Swing Door",IF(D35&gt;84,"Height can't be greater than 84 inches",""),"")</f>
        <v/>
      </c>
      <c r="F35" s="728"/>
    </row>
    <row r="36" spans="1:6" x14ac:dyDescent="0.35">
      <c r="A36" s="786"/>
      <c r="B36" s="787"/>
      <c r="C36" s="283" t="s">
        <v>64</v>
      </c>
      <c r="D36" s="333">
        <f>+'Doors - Step 1'!$C50</f>
        <v>0</v>
      </c>
    </row>
    <row r="37" spans="1:6" x14ac:dyDescent="0.35">
      <c r="A37" s="786"/>
      <c r="B37" s="787"/>
      <c r="C37" s="283" t="s">
        <v>67</v>
      </c>
      <c r="D37" s="333">
        <f>+'Doors - Step 1'!$C51</f>
        <v>0</v>
      </c>
    </row>
    <row r="38" spans="1:6" x14ac:dyDescent="0.35">
      <c r="A38" s="788"/>
      <c r="B38" s="789"/>
      <c r="C38" s="284" t="s">
        <v>69</v>
      </c>
      <c r="D38" s="333">
        <f>+'Doors - Step 1'!$C52</f>
        <v>0</v>
      </c>
    </row>
    <row r="39" spans="1:6" x14ac:dyDescent="0.35">
      <c r="A39" s="246"/>
      <c r="B39" s="246"/>
      <c r="D39" s="286"/>
    </row>
    <row r="40" spans="1:6" x14ac:dyDescent="0.35">
      <c r="A40" s="246"/>
      <c r="B40" s="775"/>
      <c r="C40" s="775"/>
      <c r="D40" s="775"/>
      <c r="E40" s="775"/>
      <c r="F40" s="775"/>
    </row>
    <row r="41" spans="1:6" ht="42" customHeight="1" x14ac:dyDescent="0.35">
      <c r="A41" s="811" t="s">
        <v>122</v>
      </c>
      <c r="B41" s="288" t="s">
        <v>123</v>
      </c>
      <c r="C41" s="273" t="s">
        <v>41</v>
      </c>
      <c r="D41" s="273"/>
      <c r="E41" s="272" t="s">
        <v>43</v>
      </c>
      <c r="F41" s="289" t="s">
        <v>124</v>
      </c>
    </row>
    <row r="42" spans="1:6" ht="15.65" customHeight="1" x14ac:dyDescent="0.35">
      <c r="A42" s="811"/>
      <c r="B42" s="290" t="str">
        <f>_xlfn.IFNA(IF(ISBLANK(C42),"",INDEX(Controller!F:F,MATCH(CONCATENATE('Door Table'!$A$3,'Door - Step 2'!$C42),Controller!$G:$G,0))),"Not Required")</f>
        <v>Main</v>
      </c>
      <c r="C42" s="291" t="s">
        <v>50</v>
      </c>
      <c r="D42" s="292">
        <f>+'Doors - Step 1'!$G45</f>
        <v>0</v>
      </c>
      <c r="E42" s="282"/>
      <c r="F42" s="293">
        <f>IF(ISBLANK(D42),"",'Cal. Sheet Door 3'!L13)</f>
        <v>15</v>
      </c>
    </row>
    <row r="43" spans="1:6" x14ac:dyDescent="0.35">
      <c r="A43" s="811"/>
      <c r="B43" s="290" t="str">
        <f>_xlfn.IFNA(IF(ISBLANK(C43),"",INDEX(Controller!F:F,MATCH(CONCATENATE('Door Table'!$A$3,'Door - Step 2'!$C43),Controller!$G:$G,0))),"Not Required")</f>
        <v>Main</v>
      </c>
      <c r="C43" s="291" t="s">
        <v>54</v>
      </c>
      <c r="D43" s="292">
        <f>+'Doors - Step 1'!$G46</f>
        <v>0</v>
      </c>
      <c r="E43" s="282"/>
      <c r="F43" s="293">
        <f>IF(ISBLANK(D43),"",'Cal. Sheet Door 3'!$L14)</f>
        <v>0</v>
      </c>
    </row>
    <row r="44" spans="1:6" x14ac:dyDescent="0.35">
      <c r="A44" s="811"/>
      <c r="B44" s="290" t="str">
        <f>_xlfn.IFNA(IF(ISBLANK(C44),"",INDEX(Controller!F:F,MATCH(CONCATENATE('Door Table'!$A$3,'Door - Step 2'!$C44),Controller!$G:$G,0))),"Not Required")</f>
        <v>Option</v>
      </c>
      <c r="C44" s="291" t="s">
        <v>58</v>
      </c>
      <c r="D44" s="292">
        <f>+'Doors - Step 1'!$G47</f>
        <v>0</v>
      </c>
      <c r="E44" s="282"/>
      <c r="F44" s="293">
        <f>IF(ISBLANK(D44),"",'Cal. Sheet Door 3'!$L15)</f>
        <v>0</v>
      </c>
    </row>
    <row r="45" spans="1:6" x14ac:dyDescent="0.35">
      <c r="A45" s="811"/>
      <c r="B45" s="290" t="str">
        <f>_xlfn.IFNA(IF(ISBLANK(C45),"",INDEX(Controller!F:F,MATCH(CONCATENATE('Door Table'!$A$3,'Door - Step 2'!$C45),Controller!$G:$G,0))),"Not Required")</f>
        <v>Option</v>
      </c>
      <c r="C45" s="291" t="s">
        <v>60</v>
      </c>
      <c r="D45" s="292">
        <f>+'Doors - Step 1'!$G48</f>
        <v>0</v>
      </c>
      <c r="E45" s="282"/>
      <c r="F45" s="293">
        <f>IF(ISBLANK(D45),"",'Cal. Sheet Door 3'!$L16)</f>
        <v>0</v>
      </c>
    </row>
    <row r="46" spans="1:6" x14ac:dyDescent="0.35">
      <c r="A46" s="811"/>
      <c r="B46" s="290" t="str">
        <f>_xlfn.IFNA(IF(ISBLANK(C46),"",INDEX(Controller!F:F,MATCH(CONCATENATE('Door Table'!$A$3,'Door - Step 2'!$C46),Controller!$G:$G,0))),"Not Required")</f>
        <v>Option</v>
      </c>
      <c r="C46" s="291" t="s">
        <v>125</v>
      </c>
      <c r="D46" s="292">
        <f>+'Doors - Step 1'!$G49</f>
        <v>0</v>
      </c>
      <c r="E46" s="282"/>
      <c r="F46" s="293" t="str">
        <f>+IF(OR(ISBLANK(D46),($D$33="Manual"),(D46=0)),"",'Cost Sheet'!$V28)</f>
        <v/>
      </c>
    </row>
    <row r="47" spans="1:6" x14ac:dyDescent="0.35">
      <c r="A47" s="811"/>
      <c r="B47" s="290" t="str">
        <f>_xlfn.IFNA(IF(ISBLANK(C47),"",INDEX(Controller!F:F,MATCH(CONCATENATE('Door Table'!$A$3,'Door - Step 2'!$C47),Controller!$G:$G,0))),"Not Required")</f>
        <v>Option</v>
      </c>
      <c r="C47" s="291" t="s">
        <v>126</v>
      </c>
      <c r="D47" s="292"/>
      <c r="E47" s="282"/>
      <c r="F47" s="810" t="str">
        <f>IF(ISBLANK(D47),"",'Cal. Sheet Door 3'!$L18)</f>
        <v/>
      </c>
    </row>
    <row r="48" spans="1:6" x14ac:dyDescent="0.35">
      <c r="A48" s="811"/>
      <c r="B48" s="290" t="str">
        <f>_xlfn.IFNA(IF(ISBLANK(C48),"",INDEX(Controller!F:F,MATCH(CONCATENATE('Door Table'!$A$3,'Door - Step 2'!$C48),Controller!$G:$G,0))),"Not Required")</f>
        <v>Option</v>
      </c>
      <c r="C48" s="294" t="s">
        <v>127</v>
      </c>
      <c r="D48" s="292"/>
      <c r="E48" s="282"/>
      <c r="F48" s="810"/>
    </row>
    <row r="49" spans="1:6" x14ac:dyDescent="0.35">
      <c r="A49" s="811"/>
      <c r="B49" s="290" t="str">
        <f>_xlfn.IFNA(IF(ISBLANK(C49),"",INDEX(Controller!F:F,MATCH(CONCATENATE('Door Table'!$A$3,'Door - Step 2'!$C49),Controller!$G:$G,0))),"Not Required")</f>
        <v>Option</v>
      </c>
      <c r="C49" s="294" t="s">
        <v>128</v>
      </c>
      <c r="D49" s="292"/>
      <c r="E49" s="282"/>
      <c r="F49" s="810"/>
    </row>
    <row r="50" spans="1:6" x14ac:dyDescent="0.35">
      <c r="A50" s="811"/>
      <c r="B50" s="290" t="str">
        <f>_xlfn.IFNA(IF(ISBLANK(C50),"",INDEX(Controller!F:F,MATCH(CONCATENATE('Door Table'!$A$3,'Door - Step 2'!$C50),Controller!$G:$G,0))),"Not Required")</f>
        <v>Option</v>
      </c>
      <c r="C50" s="291" t="s">
        <v>129</v>
      </c>
      <c r="D50" s="292"/>
      <c r="E50" s="282"/>
      <c r="F50" s="776" t="str">
        <f>IF(ISBLANK(D50),"",SUM('Cal. Sheet Door 3'!$L21,'Cal. Sheet Door 3'!$L21))</f>
        <v/>
      </c>
    </row>
    <row r="51" spans="1:6" x14ac:dyDescent="0.35">
      <c r="A51" s="811"/>
      <c r="B51" s="290" t="str">
        <f>_xlfn.IFNA(IF(ISBLANK(C51),"",INDEX(Controller!F:F,MATCH(CONCATENATE('Door Table'!$A$3,'Door - Step 2'!$C51),Controller!$G:$G,0))),"Not Required")</f>
        <v>Option</v>
      </c>
      <c r="C51" s="294" t="s">
        <v>130</v>
      </c>
      <c r="D51" s="292"/>
      <c r="E51" s="282"/>
      <c r="F51" s="777"/>
    </row>
    <row r="52" spans="1:6" x14ac:dyDescent="0.35">
      <c r="A52" s="811"/>
      <c r="B52" s="290" t="str">
        <f>_xlfn.IFNA(IF(ISBLANK(C52),"",INDEX(Controller!F:F,MATCH(CONCATENATE('Door Table'!$A$3,'Door - Step 2'!$C52),Controller!$G:$G,0))),"Not Required")</f>
        <v>Not Required</v>
      </c>
      <c r="C52" s="291" t="s">
        <v>131</v>
      </c>
      <c r="D52" s="292"/>
      <c r="E52" s="282"/>
      <c r="F52" s="293" t="str">
        <f>IF(ISBLANK(D52),"",'Cal. Sheet Door 3'!$L23)</f>
        <v/>
      </c>
    </row>
    <row r="53" spans="1:6" x14ac:dyDescent="0.35">
      <c r="A53" s="811"/>
      <c r="B53" s="290" t="str">
        <f>_xlfn.IFNA(IF(ISBLANK(C53),"",INDEX(Controller!F:F,MATCH(CONCATENATE('Door Table'!$A$3,'Door - Step 2'!$C53),Controller!$G:$G,0))),"Not Required")</f>
        <v>Not Required</v>
      </c>
      <c r="C53" s="295" t="s">
        <v>132</v>
      </c>
      <c r="D53" s="292"/>
      <c r="E53" s="282"/>
      <c r="F53" s="293" t="str">
        <f>IF(ISBLANK(D53),"",'Cal. Sheet Door 3'!$L24)</f>
        <v/>
      </c>
    </row>
    <row r="54" spans="1:6" x14ac:dyDescent="0.35">
      <c r="A54" s="811"/>
      <c r="B54" s="290" t="str">
        <f ca="1">IFERROR(IF(ISBLANK(C54),"",INDEX(Controller!F:F,MATCH(CONCATENATE('Door Table'!$A$3,'Door - Step 2'!$C54),Controller!$G:$G,0))),"")</f>
        <v/>
      </c>
      <c r="C54" s="291" t="str" cm="1">
        <f t="array" aca="1" ref="C54" ca="1">IFERROR(_xlfn._xlws.FILTER(_xlfn.UNIQUE(OFFSET(Doors[[#All],[Search Function]],MATCH($D$30,Doors[[#All],[Door Type ]],0)-1,1,COUNTIF(Doors[[#All],[Door Type ]],$D$30),1)),
        ISNA(MATCH(_xlfn.UNIQUE(OFFSET(Doors[[#All],[Search Function]],MATCH($D$30,Doors[[#All],[Door Type ]],0)-1,1,COUNTIF(Doors[[#All],[Door Type ]],$D$30),1)),$C$42:$C$53, 0))),"")</f>
        <v/>
      </c>
      <c r="D54" s="292"/>
      <c r="E54" s="282"/>
      <c r="F54" s="293" t="str">
        <f>IF(ISBLANK(D54),"",'Cal. Sheet Door 3'!$L25)</f>
        <v/>
      </c>
    </row>
    <row r="55" spans="1:6" x14ac:dyDescent="0.35">
      <c r="A55" s="811"/>
      <c r="B55" s="290" t="str">
        <f>_xlfn.IFNA(IF(ISBLANK(C55),"",INDEX(Controller!F:F,MATCH(CONCATENATE('Door Table'!$A$3,'Door - Step 2'!$C55),Controller!$G:$G,0))),"Not Required")</f>
        <v/>
      </c>
      <c r="C55" s="291"/>
      <c r="D55" s="292"/>
      <c r="E55" s="282"/>
      <c r="F55" s="293" t="str">
        <f>IF(ISBLANK(D55),"",'Cal. Sheet Door 3'!$L26)</f>
        <v/>
      </c>
    </row>
    <row r="56" spans="1:6" x14ac:dyDescent="0.35">
      <c r="A56" s="811"/>
      <c r="B56" s="290" t="str">
        <f>_xlfn.IFNA(IF(ISBLANK(C56),"",INDEX(Controller!F:F,MATCH(CONCATENATE('Door Table'!$A$3,'Door - Step 2'!$C56),Controller!$G:$G,0))),"Not Required")</f>
        <v/>
      </c>
      <c r="C56" s="291"/>
      <c r="D56" s="292"/>
      <c r="E56" s="282"/>
      <c r="F56" s="293" t="str">
        <f>IF(ISBLANK(D56),"",'Cal. Sheet Door 3'!$L27)</f>
        <v/>
      </c>
    </row>
    <row r="57" spans="1:6" x14ac:dyDescent="0.35">
      <c r="A57" s="811"/>
      <c r="B57" s="290" t="str">
        <f>_xlfn.IFNA(IF(ISBLANK(C57),"",INDEX(Controller!F:F,MATCH(CONCATENATE('Door Table'!$A$3,'Door - Step 2'!$C57),Controller!$G:$G,0))),"Not Required")</f>
        <v/>
      </c>
      <c r="C57" s="291"/>
      <c r="D57" s="292"/>
      <c r="E57" s="282"/>
      <c r="F57" s="293" t="str">
        <f>IF(ISBLANK(D57),"",'Cal. Sheet Door 3'!$L28)</f>
        <v/>
      </c>
    </row>
    <row r="58" spans="1:6" x14ac:dyDescent="0.35">
      <c r="A58" s="811"/>
      <c r="B58" s="290" t="str">
        <f>_xlfn.IFNA(IF(ISBLANK(C58),"",INDEX(Controller!F:F,MATCH(CONCATENATE('Door Table'!$A$3,'Door - Step 2'!$C58),Controller!$G:$G,0))),"Not Required")</f>
        <v/>
      </c>
      <c r="C58" s="291"/>
      <c r="D58" s="292"/>
      <c r="E58" s="282"/>
      <c r="F58" s="293" t="str">
        <f>IF(ISBLANK(D58),"",'Cal. Sheet Door 3'!$L29)</f>
        <v/>
      </c>
    </row>
    <row r="59" spans="1:6" x14ac:dyDescent="0.35">
      <c r="A59" s="811"/>
      <c r="B59" s="290" t="str">
        <f>_xlfn.IFNA(IF(ISBLANK(C59),"",INDEX(Controller!F:F,MATCH(CONCATENATE('Door Table'!$A$3,'Door - Step 2'!$C59),Controller!$G:$G,0))),"Not Required")</f>
        <v/>
      </c>
      <c r="C59" s="291"/>
      <c r="D59" s="292"/>
      <c r="E59" s="282"/>
      <c r="F59" s="293" t="str">
        <f>IF(ISBLANK(D59),"",'Cal. Sheet Door 3'!$L30)</f>
        <v/>
      </c>
    </row>
    <row r="60" spans="1:6" ht="5.15" customHeight="1" x14ac:dyDescent="0.35">
      <c r="A60" s="811"/>
      <c r="B60" s="296"/>
      <c r="C60" s="297"/>
      <c r="D60" s="298"/>
      <c r="E60" s="299"/>
      <c r="F60" s="300"/>
    </row>
    <row r="61" spans="1:6" x14ac:dyDescent="0.35">
      <c r="A61" s="811"/>
      <c r="B61" s="290" t="s">
        <v>133</v>
      </c>
      <c r="C61" s="291" t="s">
        <v>134</v>
      </c>
      <c r="D61" s="292"/>
      <c r="E61" s="282"/>
      <c r="F61" s="293">
        <f>IF(ISBLANK(D34),"",'Cal. Sheet Door 3'!$L32)</f>
        <v>0</v>
      </c>
    </row>
    <row r="62" spans="1:6" x14ac:dyDescent="0.35">
      <c r="A62" s="811"/>
      <c r="B62" s="290" t="s">
        <v>135</v>
      </c>
      <c r="C62" s="291" t="s">
        <v>136</v>
      </c>
      <c r="D62" s="292"/>
      <c r="E62" s="282"/>
      <c r="F62" s="293">
        <f>IF(ISBLANK(D35),"",'Cal. Sheet Door 3'!$L33)</f>
        <v>0</v>
      </c>
    </row>
    <row r="63" spans="1:6" x14ac:dyDescent="0.35">
      <c r="A63" s="811"/>
      <c r="B63" s="290" t="s">
        <v>135</v>
      </c>
      <c r="C63" s="291" t="s">
        <v>81</v>
      </c>
      <c r="D63" s="292" t="str">
        <f>+IF(ISBLANK('Doors - Step 1'!G50),"",IF('Doors - Step 1'!G50="Bottom Sweep","Yes","No"))</f>
        <v/>
      </c>
      <c r="E63" s="282"/>
      <c r="F63" s="293" t="str">
        <f>+IF(D63="Yes",'Cal. Sheet Door 3'!V32,"")</f>
        <v/>
      </c>
    </row>
    <row r="64" spans="1:6" x14ac:dyDescent="0.35">
      <c r="A64" s="811"/>
      <c r="B64" s="290" t="s">
        <v>135</v>
      </c>
      <c r="C64" s="291" t="s">
        <v>66</v>
      </c>
      <c r="D64" s="292" t="str">
        <f>+IF(ISBLANK('Doors - Step 1'!G50),"",IF('Doors - Step 1'!G50="Weather Strip","Yes","No"))</f>
        <v/>
      </c>
      <c r="E64" s="282"/>
      <c r="F64" s="293" t="str">
        <f>+IF(D64="Yes",'Cal. Sheet Door 3'!V33,"")</f>
        <v/>
      </c>
    </row>
    <row r="65" spans="1:6" x14ac:dyDescent="0.35">
      <c r="A65" s="811"/>
      <c r="B65" s="497" t="s">
        <v>135</v>
      </c>
      <c r="C65" s="498" t="s">
        <v>137</v>
      </c>
      <c r="D65" s="292"/>
      <c r="E65" s="282"/>
      <c r="F65" s="293">
        <f>IF(ISBLANK($D$34),"",'Cal. Sheet Door 3'!$L36)</f>
        <v>0</v>
      </c>
    </row>
    <row r="66" spans="1:6" x14ac:dyDescent="0.35">
      <c r="A66" s="811"/>
      <c r="B66" s="290" t="s">
        <v>135</v>
      </c>
      <c r="C66" s="291" t="s">
        <v>139</v>
      </c>
      <c r="D66" s="325" t="str">
        <f>+IF('Doors - Step 1'!$C$44="Polyfoam Overlap Doors - Swing door",IF('Doors - Step 1'!$G$52="Package 3","Magnet Gasket","Not Required"),IF('Doors - Step 1'!$C$44&lt;&gt;"Polyfoam Overlap Doors - Swing door",IF(OR('Doors - Step 1'!$G$52='Door Table'!$E$184,'Doors - Step 1'!$G$52='Door Table'!$E$185),"Splin Gasket","Not Required")))</f>
        <v>Not Required</v>
      </c>
      <c r="E66" s="282"/>
      <c r="F66" s="293" t="str">
        <f>IF($D$66="Not Required","",'Cal. Sheet Door 3'!$L37)</f>
        <v/>
      </c>
    </row>
    <row r="67" spans="1:6" ht="5.15" customHeight="1" x14ac:dyDescent="0.35">
      <c r="A67" s="811"/>
      <c r="B67" s="296"/>
      <c r="C67" s="297"/>
      <c r="D67" s="298"/>
      <c r="E67" s="299"/>
      <c r="F67" s="300"/>
    </row>
    <row r="68" spans="1:6" ht="13" customHeight="1" x14ac:dyDescent="0.35">
      <c r="A68" s="811"/>
      <c r="B68" s="794" t="s">
        <v>140</v>
      </c>
      <c r="C68" s="301" t="s">
        <v>73</v>
      </c>
      <c r="D68" s="289"/>
      <c r="E68" s="302" t="s">
        <v>141</v>
      </c>
      <c r="F68" s="289" t="s">
        <v>124</v>
      </c>
    </row>
    <row r="69" spans="1:6" x14ac:dyDescent="0.35">
      <c r="A69" s="811"/>
      <c r="B69" s="794"/>
      <c r="C69" s="290" t="s">
        <v>142</v>
      </c>
      <c r="D69" s="325" t="str">
        <f>+IF($D$30&lt;&gt;"Polyfoam Overlap Doors - Swing door","SS tube","")</f>
        <v>SS tube</v>
      </c>
      <c r="E69" s="326"/>
      <c r="F69" s="293">
        <f>IF(ISBLANK(D69),"",'Cal. Sheet Door 3'!$L42)</f>
        <v>0</v>
      </c>
    </row>
    <row r="70" spans="1:6" x14ac:dyDescent="0.35">
      <c r="A70" s="811"/>
      <c r="B70" s="794"/>
      <c r="C70" s="290" t="s">
        <v>142</v>
      </c>
      <c r="D70" s="325" t="str">
        <f>+IF($D$30="Polyfoam Overlap Doors - Swing door","","Main Roller")</f>
        <v>Main Roller</v>
      </c>
      <c r="E70" s="326"/>
      <c r="F70" s="293">
        <f>IF(ISBLANK(D70),"",'Cal. Sheet Door 3'!$L43)</f>
        <v>0</v>
      </c>
    </row>
    <row r="71" spans="1:6" x14ac:dyDescent="0.35">
      <c r="A71" s="811"/>
      <c r="B71" s="794"/>
      <c r="C71" s="290" t="s">
        <v>142</v>
      </c>
      <c r="D71" s="325" t="str">
        <f>+IF($D$30="Polyfoam Overlap Doors - Swing door","","Bottom Stay Roller")</f>
        <v>Bottom Stay Roller</v>
      </c>
      <c r="E71" s="326"/>
      <c r="F71" s="293">
        <f>IF(ISBLANK(D71),"",'Cal. Sheet Door 3'!$L44)</f>
        <v>0</v>
      </c>
    </row>
    <row r="72" spans="1:6" x14ac:dyDescent="0.35">
      <c r="A72" s="811"/>
      <c r="B72" s="794"/>
      <c r="C72" s="290" t="s">
        <v>142</v>
      </c>
      <c r="D72" s="325" t="str">
        <f>+IF($D$30="Polyfoam Overlap Doors - Swing door","",IF($D$33="Motorized","Electric door bracket",IF($D$32="Wood","Wood Frame bracket","Aluminum Frame bracket")))</f>
        <v>Aluminum Frame bracket</v>
      </c>
      <c r="E72" s="326"/>
      <c r="F72" s="293">
        <f>IF(ISBLANK(D72),"",'Cal. Sheet Door 3'!$L45)</f>
        <v>0</v>
      </c>
    </row>
    <row r="73" spans="1:6" x14ac:dyDescent="0.35">
      <c r="A73" s="811"/>
      <c r="B73" s="794"/>
      <c r="C73" s="290" t="s">
        <v>142</v>
      </c>
      <c r="D73" s="325" t="b">
        <f>IF('Doors - Step 1'!$C$44&lt;&gt;"Polyfoam Overlap Doors - Swing door",IF(OR('Doors - Step 1'!$G$53='Door Table'!$E$182,'Doors - Step 1'!$G$53='Door Table'!$E$184),'Door Table'!$B183,IF(OR('Doors - Step 1'!$G$53='Door Table'!$E$183,'Doors - Step 1'!$G$53='Door Table'!$E$185),'Door Table'!$C183)),"Not Required")</f>
        <v>0</v>
      </c>
      <c r="E73" s="326"/>
      <c r="F73" s="293">
        <f>IF(ISBLANK(D73),"",'Cal. Sheet Door 3'!$L46)</f>
        <v>0</v>
      </c>
    </row>
    <row r="74" spans="1:6" x14ac:dyDescent="0.35">
      <c r="A74" s="811"/>
      <c r="B74" s="794"/>
      <c r="C74" s="290" t="s">
        <v>142</v>
      </c>
      <c r="D74" s="325" t="b">
        <f>IF('Doors - Step 1'!$C$44&lt;&gt;"Polyfoam Overlap Doors - Swing door",IF(OR('Doors - Step 1'!$G$53='Door Table'!$E$182,'Doors - Step 1'!$G$53='Door Table'!$E$184),'Door Table'!$B184,IF(OR('Doors - Step 1'!$G$53='Door Table'!$E$183,'Doors - Step 1'!$G$53='Door Table'!$E$185),'Door Table'!$C184)),"Not Required")</f>
        <v>0</v>
      </c>
      <c r="E74" s="326">
        <f>+IF('Doors - Step 1'!$C$28&lt;&gt;"Polyfoam Overlap Doors - Swing door",1,0)</f>
        <v>1</v>
      </c>
      <c r="F74" s="293">
        <f>IF(ISBLANK(D74),"",IF(ISBLANK(E74),"Please Specify Qty.",'Cal. Sheet Door 3'!$L47*E74))</f>
        <v>0</v>
      </c>
    </row>
    <row r="75" spans="1:6" x14ac:dyDescent="0.35">
      <c r="A75" s="811"/>
      <c r="B75" s="794"/>
      <c r="C75" s="290" t="s">
        <v>142</v>
      </c>
      <c r="D75" s="325" t="b">
        <f>IF('Doors - Step 1'!$C$44&lt;&gt;"Polyfoam Overlap Doors - Swing door",IF(OR('Doors - Step 1'!$G$53='Door Table'!$E$182,'Doors - Step 1'!$G$53='Door Table'!$E$184),'Door Table'!$B185,IF(OR('Doors - Step 1'!$G$53='Door Table'!$E$183,'Doors - Step 1'!$G$53='Door Table'!$E$185),'Door Table'!$C185)),"Not Required")</f>
        <v>0</v>
      </c>
      <c r="E75" s="326">
        <f>+IF('Doors - Step 1'!$C$28&lt;&gt;"Polyfoam Overlap Doors - Swing door",1,0)</f>
        <v>1</v>
      </c>
      <c r="F75" s="293">
        <f>IF(ISBLANK(D75),"",IF(ISBLANK(E75),"Please Specify Qty.",'Cal. Sheet Door 3'!$L48*E75))</f>
        <v>0</v>
      </c>
    </row>
    <row r="76" spans="1:6" x14ac:dyDescent="0.35">
      <c r="A76" s="811"/>
      <c r="B76" s="794"/>
      <c r="C76" s="290" t="s">
        <v>142</v>
      </c>
      <c r="D76" s="292" t="b">
        <f>IF('Doors - Step 1'!$C$44&lt;&gt;"Polyfoam Overlap Doors - Swing door",IF(OR('Doors - Step 1'!$G$53='Door Table'!$E$182,'Doors - Step 1'!$G$53='Door Table'!$E$184),'Door Table'!$B186,IF(OR('Doors - Step 1'!$G$53='Door Table'!$E$183,'Doors - Step 1'!$G$53='Door Table'!$E$185),'Door Table'!$C186)),"Not Required")</f>
        <v>0</v>
      </c>
      <c r="E76" s="68">
        <f>+IF('Doors - Step 1'!$C$28&lt;&gt;"Polyfoam Overlap Doors - Swing door",1,0)</f>
        <v>1</v>
      </c>
      <c r="F76" s="293">
        <f>IF(ISBLANK(D76),"",IF(ISBLANK(E76),"Please Specify Qty.",'Cal. Sheet Door 3'!$L49*E76))</f>
        <v>0</v>
      </c>
    </row>
    <row r="77" spans="1:6" x14ac:dyDescent="0.35">
      <c r="A77" s="811"/>
      <c r="B77" s="794" t="s">
        <v>144</v>
      </c>
      <c r="C77" s="290" t="s">
        <v>142</v>
      </c>
      <c r="D77" s="292"/>
      <c r="E77" s="68"/>
      <c r="F77" s="293" t="str">
        <f>IF(ISBLANK(D77),"",IF(ISBLANK(E77),"Please Specify Qty.",'Cal. Sheet Door 3'!$L50*E77))</f>
        <v/>
      </c>
    </row>
    <row r="78" spans="1:6" x14ac:dyDescent="0.35">
      <c r="A78" s="811"/>
      <c r="B78" s="794"/>
      <c r="C78" s="290" t="s">
        <v>142</v>
      </c>
      <c r="D78" s="292"/>
      <c r="E78" s="68"/>
      <c r="F78" s="293" t="str">
        <f>IF(ISBLANK(D78),"",IF(ISBLANK(E78),"Please Specify Qty.",'Cal. Sheet Door 3'!$L51*E78))</f>
        <v/>
      </c>
    </row>
    <row r="79" spans="1:6" x14ac:dyDescent="0.35">
      <c r="A79" s="811"/>
      <c r="B79" s="794"/>
      <c r="C79" s="290" t="s">
        <v>142</v>
      </c>
      <c r="D79" s="292"/>
      <c r="E79" s="68"/>
      <c r="F79" s="293" t="str">
        <f>IF(ISBLANK(D79),"",IF(ISBLANK(E79),"Please Specify Qty.",'Cal. Sheet Door 3'!$L52*E79))</f>
        <v/>
      </c>
    </row>
    <row r="80" spans="1:6" x14ac:dyDescent="0.35">
      <c r="A80" s="811"/>
      <c r="B80" s="794"/>
      <c r="C80" s="290" t="s">
        <v>142</v>
      </c>
      <c r="D80" s="292"/>
      <c r="E80" s="68"/>
      <c r="F80" s="293" t="str">
        <f>IF(ISBLANK(D80),"",IF(ISBLANK(E80),"Please Specify Qty.",'Cal. Sheet Door 3'!$L53*E80))</f>
        <v/>
      </c>
    </row>
    <row r="81" spans="1:6" ht="6" customHeight="1" x14ac:dyDescent="0.35">
      <c r="A81" s="296"/>
      <c r="B81" s="296"/>
      <c r="C81" s="296"/>
      <c r="D81" s="296"/>
      <c r="E81" s="296"/>
      <c r="F81" s="296"/>
    </row>
    <row r="82" spans="1:6" ht="15.65" customHeight="1" x14ac:dyDescent="0.35">
      <c r="A82" s="768" t="s">
        <v>145</v>
      </c>
      <c r="B82" s="769"/>
      <c r="C82" s="303" t="s">
        <v>73</v>
      </c>
      <c r="D82" s="302"/>
      <c r="E82" s="302"/>
      <c r="F82" s="289" t="s">
        <v>124</v>
      </c>
    </row>
    <row r="83" spans="1:6" x14ac:dyDescent="0.35">
      <c r="A83" s="770"/>
      <c r="B83" s="771"/>
      <c r="C83" s="290" t="s">
        <v>146</v>
      </c>
      <c r="D83" s="325" t="str">
        <f>+IF('Doors - Step 1'!$C$44="Polyfoam Overlap Doors - Swing door",'Door Table'!$B$176,"Not Required")</f>
        <v>Not Required</v>
      </c>
      <c r="E83" s="326">
        <f>+IF(D83="Not Required",0,IF('Doors - Step 1'!$C$44="Polyfoam Overlap Doors - Swing door",2,0))</f>
        <v>0</v>
      </c>
      <c r="F83" s="293" t="str">
        <f>IF(D83="Not Required","",IF(ISBLANK(E83),"Please Specify Qty.",'Cal. Sheet Door 3'!$L59*E83))</f>
        <v/>
      </c>
    </row>
    <row r="84" spans="1:6" x14ac:dyDescent="0.35">
      <c r="A84" s="770"/>
      <c r="B84" s="771"/>
      <c r="C84" s="304" t="s">
        <v>147</v>
      </c>
      <c r="D84" s="292"/>
      <c r="E84" s="68"/>
      <c r="F84" s="293" t="str">
        <f>IF(ISBLANK(D84),"",IF(ISBLANK(E84),"Please Specify Qty.",'Cal. Sheet Door 3'!$L60*E84))</f>
        <v/>
      </c>
    </row>
    <row r="85" spans="1:6" x14ac:dyDescent="0.35">
      <c r="A85" s="770"/>
      <c r="B85" s="771"/>
      <c r="C85" s="304" t="s">
        <v>148</v>
      </c>
      <c r="D85" s="292"/>
      <c r="E85" s="68"/>
      <c r="F85" s="293" t="str">
        <f>IF(ISBLANK(D85),"",IF(ISBLANK(E85),"Please Specify Qty.",'Cal. Sheet Door 3'!$L61*E85))</f>
        <v/>
      </c>
    </row>
    <row r="86" spans="1:6" x14ac:dyDescent="0.35">
      <c r="A86" s="770"/>
      <c r="B86" s="771"/>
      <c r="C86" s="304" t="s">
        <v>149</v>
      </c>
      <c r="D86" s="292"/>
      <c r="E86" s="68"/>
      <c r="F86" s="293" t="str">
        <f>IF(ISBLANK(D86),"",IF(ISBLANK(E86),"Please Specify Qty.",'Cal. Sheet Door 3'!$L62*E86))</f>
        <v/>
      </c>
    </row>
    <row r="87" spans="1:6" x14ac:dyDescent="0.35">
      <c r="A87" s="770"/>
      <c r="B87" s="771"/>
      <c r="C87" s="290" t="s">
        <v>150</v>
      </c>
      <c r="D87" s="325" t="str">
        <f>+IF('Doors - Step 1'!$C$44="Polyfoam Overlap Doors - Swing door",IF('Doors - Step 1'!$G$52="Package 1",'Door Table'!$B$178,IF('Doors - Step 1'!$G$52="Package 2",'Door Table'!$C$178,IF('Doors - Step 1'!$G$52="Package 3",'Door Table'!$D$178))),"Not Required")</f>
        <v>Not Required</v>
      </c>
      <c r="E87" s="326">
        <f>+IF(D87="Not Required",0,IF('Doors - Step 1'!$C$44="Polyfoam Overlap Doors - Swing door",1,0))</f>
        <v>0</v>
      </c>
      <c r="F87" s="293" t="str">
        <f>IF(D87="Not Required","",IF(ISBLANK(E87),"Please Specify Qty.",'Cal. Sheet Door 3'!$L63*E87))</f>
        <v/>
      </c>
    </row>
    <row r="88" spans="1:6" x14ac:dyDescent="0.35">
      <c r="A88" s="770"/>
      <c r="B88" s="771"/>
      <c r="C88" s="304" t="s">
        <v>151</v>
      </c>
      <c r="D88" s="292"/>
      <c r="E88" s="68"/>
      <c r="F88" s="293" t="str">
        <f>IF(ISBLANK(D88),"",IF(ISBLANK(E88),"Please Specify Qty.",'Cal. Sheet Door 3'!$L64*E88))</f>
        <v/>
      </c>
    </row>
    <row r="89" spans="1:6" x14ac:dyDescent="0.35">
      <c r="A89" s="770"/>
      <c r="B89" s="771"/>
      <c r="C89" s="304" t="s">
        <v>152</v>
      </c>
      <c r="D89" s="292"/>
      <c r="E89" s="68"/>
      <c r="F89" s="293" t="str">
        <f>IF(ISBLANK(D89),"",IF(ISBLANK(E89),"Please Specify Qty.",'Cal. Sheet Door 3'!$L65*E89))</f>
        <v/>
      </c>
    </row>
    <row r="90" spans="1:6" x14ac:dyDescent="0.35">
      <c r="A90" s="770"/>
      <c r="B90" s="771"/>
      <c r="C90" s="290" t="s">
        <v>153</v>
      </c>
      <c r="D90" s="292"/>
      <c r="E90" s="68"/>
      <c r="F90" s="293" t="str">
        <f>IF(ISBLANK(D90),"",IF(ISBLANK(E90),"Please Specify Qty.",'Cal. Sheet Door 3'!$L66*E90))</f>
        <v/>
      </c>
    </row>
    <row r="91" spans="1:6" x14ac:dyDescent="0.35">
      <c r="A91" s="770"/>
      <c r="B91" s="771"/>
      <c r="C91" s="290" t="s">
        <v>194</v>
      </c>
      <c r="D91" s="292"/>
      <c r="E91" s="68"/>
      <c r="F91" s="293" t="str">
        <f>IF(ISBLANK(D91),"",IF(ISBLANK(E91),"Please Specify Qty.",'Cal. Sheet Door 3'!$L67*E91))</f>
        <v/>
      </c>
    </row>
    <row r="92" spans="1:6" x14ac:dyDescent="0.35">
      <c r="A92" s="770"/>
      <c r="B92" s="771"/>
      <c r="C92" s="290" t="s">
        <v>155</v>
      </c>
      <c r="D92" s="325" t="str">
        <f>+IF('Doors - Step 1'!$C$44="Polyfoam Overlap Doors - Swing door",IF('Doors - Step 1'!$G$52="Package 1","Not Required",IF('Doors - Step 1'!$G$52="Package 2",'Door Table'!$C$177,IF('Doors - Step 1'!$G$52="Package 3",'Door Table'!$D$177))),"Not Required")</f>
        <v>Not Required</v>
      </c>
      <c r="E92" s="326">
        <f>+IF(D92="Not Required",0,IF('Doors - Step 1'!$C$44="Polyfoam Overlap Doors - Swing door",1,0))</f>
        <v>0</v>
      </c>
      <c r="F92" s="293" t="str">
        <f>IF(D92="Not Required","",IF(ISBLANK(E92),"Please Specify Qty.",'Cal. Sheet Door 3'!$L68*E92))</f>
        <v/>
      </c>
    </row>
    <row r="93" spans="1:6" x14ac:dyDescent="0.35">
      <c r="A93" s="770"/>
      <c r="B93" s="771"/>
      <c r="C93" s="290" t="s">
        <v>156</v>
      </c>
      <c r="D93" s="292"/>
      <c r="E93" s="68"/>
      <c r="F93" s="293" t="str">
        <f>IF(ISBLANK(D93),"",IF(ISBLANK(E93),"Please Specify Qty.",'Cal. Sheet Door 3'!$L69*E93))</f>
        <v/>
      </c>
    </row>
    <row r="94" spans="1:6" x14ac:dyDescent="0.35">
      <c r="A94" s="770"/>
      <c r="B94" s="771"/>
      <c r="C94" s="290"/>
      <c r="D94" s="292"/>
      <c r="E94" s="68"/>
      <c r="F94" s="293"/>
    </row>
    <row r="95" spans="1:6" x14ac:dyDescent="0.35">
      <c r="A95" s="770"/>
      <c r="B95" s="771"/>
      <c r="C95" s="290" t="s">
        <v>158</v>
      </c>
      <c r="D95" s="292"/>
      <c r="E95" s="68"/>
      <c r="F95" s="293" t="str">
        <f>IF(ISBLANK(D95),"",IF(ISBLANK(E95),"Please Specify Qty.",'Cal. Sheet Door 3'!$L70*E95))</f>
        <v/>
      </c>
    </row>
    <row r="96" spans="1:6" x14ac:dyDescent="0.35">
      <c r="A96" s="770"/>
      <c r="B96" s="771"/>
      <c r="C96" s="290"/>
      <c r="D96" s="292"/>
      <c r="E96" s="68"/>
      <c r="F96" s="293"/>
    </row>
    <row r="97" spans="1:6" x14ac:dyDescent="0.35">
      <c r="A97" s="770"/>
      <c r="B97" s="771"/>
      <c r="C97" s="290"/>
      <c r="D97" s="292"/>
      <c r="E97" s="68"/>
      <c r="F97" s="293"/>
    </row>
    <row r="98" spans="1:6" x14ac:dyDescent="0.35">
      <c r="A98" s="770"/>
      <c r="B98" s="771"/>
      <c r="C98" s="290"/>
      <c r="D98" s="292"/>
      <c r="E98" s="68"/>
      <c r="F98" s="293"/>
    </row>
    <row r="99" spans="1:6" x14ac:dyDescent="0.35">
      <c r="A99" s="770"/>
      <c r="B99" s="771"/>
      <c r="C99" s="290"/>
      <c r="D99" s="292"/>
      <c r="E99" s="68"/>
      <c r="F99" s="293"/>
    </row>
    <row r="100" spans="1:6" x14ac:dyDescent="0.35">
      <c r="A100" s="770"/>
      <c r="B100" s="771"/>
      <c r="C100" s="290"/>
      <c r="D100" s="292"/>
      <c r="E100" s="68"/>
      <c r="F100" s="293"/>
    </row>
    <row r="101" spans="1:6" x14ac:dyDescent="0.35">
      <c r="A101" s="770"/>
      <c r="B101" s="771"/>
      <c r="C101" s="290"/>
      <c r="D101" s="325"/>
      <c r="E101" s="68"/>
      <c r="F101" s="293"/>
    </row>
    <row r="102" spans="1:6" x14ac:dyDescent="0.35">
      <c r="A102" s="770"/>
      <c r="B102" s="771"/>
      <c r="C102" s="290"/>
      <c r="D102" s="292"/>
      <c r="E102" s="68"/>
      <c r="F102" s="293"/>
    </row>
    <row r="103" spans="1:6" x14ac:dyDescent="0.35">
      <c r="A103" s="770"/>
      <c r="B103" s="771"/>
      <c r="C103" s="290"/>
      <c r="D103" s="292"/>
      <c r="E103" s="68"/>
      <c r="F103" s="293"/>
    </row>
    <row r="104" spans="1:6" x14ac:dyDescent="0.35">
      <c r="A104" s="770"/>
      <c r="B104" s="771"/>
      <c r="C104" s="290"/>
      <c r="D104" s="292"/>
      <c r="E104" s="68"/>
      <c r="F104" s="293"/>
    </row>
    <row r="105" spans="1:6" x14ac:dyDescent="0.35">
      <c r="A105" s="770"/>
      <c r="B105" s="771"/>
      <c r="C105" s="290" t="s">
        <v>171</v>
      </c>
      <c r="D105" s="186"/>
      <c r="E105" s="493"/>
      <c r="F105" s="293" t="str">
        <f>IF(ISBLANK(D105),"",IF(E105="Linear Length","Specific the Linear Length in ft.",'Cal. Sheet Door 3'!$L71))</f>
        <v/>
      </c>
    </row>
    <row r="106" spans="1:6" x14ac:dyDescent="0.35">
      <c r="A106" s="772"/>
      <c r="B106" s="773"/>
      <c r="C106" s="290" t="s">
        <v>172</v>
      </c>
      <c r="D106" s="292"/>
      <c r="E106" s="68"/>
      <c r="F106" s="293" t="str">
        <f>IF(ISBLANK(D106),"",'Cal. Sheet Door 3'!$L72)</f>
        <v/>
      </c>
    </row>
    <row r="107" spans="1:6" ht="30" customHeight="1" x14ac:dyDescent="0.35">
      <c r="A107" s="778" t="s">
        <v>191</v>
      </c>
      <c r="B107" s="779"/>
      <c r="C107" s="273" t="s">
        <v>73</v>
      </c>
      <c r="D107" s="273" t="s">
        <v>42</v>
      </c>
      <c r="E107" s="272" t="s">
        <v>74</v>
      </c>
      <c r="F107" s="289" t="s">
        <v>124</v>
      </c>
    </row>
    <row r="108" spans="1:6" x14ac:dyDescent="0.35">
      <c r="A108" s="780"/>
      <c r="B108" s="781"/>
      <c r="C108" s="331" t="str">
        <f>+'Doors - Step 1'!F55</f>
        <v xml:space="preserve">Drafting Charges </v>
      </c>
      <c r="D108" s="331">
        <f>+'Doors - Step 1'!G55</f>
        <v>0</v>
      </c>
      <c r="E108" s="331">
        <f>+'Doors - Step 1'!H55</f>
        <v>0</v>
      </c>
      <c r="F108" s="293" t="str">
        <f>+'Doors - Step 1'!I55</f>
        <v/>
      </c>
    </row>
    <row r="109" spans="1:6" x14ac:dyDescent="0.35">
      <c r="A109" s="780"/>
      <c r="B109" s="781"/>
      <c r="C109" s="331"/>
      <c r="D109" s="331"/>
      <c r="E109" s="331"/>
      <c r="F109" s="293"/>
    </row>
    <row r="110" spans="1:6" x14ac:dyDescent="0.35">
      <c r="A110" s="782"/>
      <c r="B110" s="783"/>
      <c r="C110" s="331">
        <f>+'Doors - Step 1'!F57</f>
        <v>0</v>
      </c>
      <c r="D110" s="331">
        <f>+'Doors - Step 1'!G57</f>
        <v>0</v>
      </c>
      <c r="E110" s="331">
        <f>+'Doors - Step 1'!H57</f>
        <v>0</v>
      </c>
      <c r="F110" s="293" t="str">
        <f>+'Doors - Step 1'!I57</f>
        <v/>
      </c>
    </row>
    <row r="111" spans="1:6" x14ac:dyDescent="0.35">
      <c r="D111" s="246"/>
    </row>
    <row r="112" spans="1:6" x14ac:dyDescent="0.35">
      <c r="A112" s="774" t="s">
        <v>178</v>
      </c>
      <c r="B112" s="774"/>
      <c r="C112" s="790" t="s">
        <v>195</v>
      </c>
      <c r="D112" s="791"/>
      <c r="E112" s="305" t="s">
        <v>124</v>
      </c>
      <c r="F112" s="306">
        <f>+SUM(F42:F110)*$D$38</f>
        <v>0</v>
      </c>
    </row>
    <row r="113" spans="1:6" x14ac:dyDescent="0.35">
      <c r="A113" s="774"/>
      <c r="B113" s="774"/>
      <c r="C113" s="792"/>
      <c r="D113" s="793"/>
      <c r="E113" s="305" t="s">
        <v>45</v>
      </c>
      <c r="F113" s="307">
        <f>+'Doors - Step 1'!$K$45</f>
        <v>0</v>
      </c>
    </row>
    <row r="114" spans="1:6" x14ac:dyDescent="0.35">
      <c r="A114" s="774"/>
      <c r="B114" s="774"/>
      <c r="C114" s="792"/>
      <c r="D114" s="793"/>
      <c r="E114" s="305" t="s">
        <v>46</v>
      </c>
      <c r="F114" s="306">
        <f>+IF(ISBLANK(F113),"",(F112*(1+F113)))</f>
        <v>0</v>
      </c>
    </row>
    <row r="115" spans="1:6" x14ac:dyDescent="0.35">
      <c r="C115" s="263"/>
    </row>
    <row r="122" spans="1:6" x14ac:dyDescent="0.35">
      <c r="D122" s="246"/>
    </row>
    <row r="123" spans="1:6" x14ac:dyDescent="0.35">
      <c r="D123" s="246"/>
    </row>
    <row r="124" spans="1:6" x14ac:dyDescent="0.35">
      <c r="D124" s="246"/>
    </row>
    <row r="125" spans="1:6" x14ac:dyDescent="0.35">
      <c r="D125" s="246"/>
    </row>
    <row r="145" spans="3:6" x14ac:dyDescent="0.35">
      <c r="C145" s="281"/>
      <c r="D145" s="308"/>
      <c r="E145" s="308"/>
      <c r="F145" s="302"/>
    </row>
    <row r="146" spans="3:6" x14ac:dyDescent="0.35">
      <c r="C146" s="309"/>
      <c r="D146" s="310"/>
      <c r="E146" s="311"/>
      <c r="F146" s="312"/>
    </row>
    <row r="147" spans="3:6" x14ac:dyDescent="0.35">
      <c r="C147" s="309"/>
      <c r="D147" s="310"/>
      <c r="E147" s="311"/>
    </row>
    <row r="148" spans="3:6" x14ac:dyDescent="0.35">
      <c r="C148" s="291"/>
    </row>
  </sheetData>
  <mergeCells count="33">
    <mergeCell ref="S3:T3"/>
    <mergeCell ref="X3:Y3"/>
    <mergeCell ref="C5:D5"/>
    <mergeCell ref="F5:H5"/>
    <mergeCell ref="C6:C8"/>
    <mergeCell ref="E6:E8"/>
    <mergeCell ref="F6:H6"/>
    <mergeCell ref="F7:H7"/>
    <mergeCell ref="F8:H8"/>
    <mergeCell ref="F9:H9"/>
    <mergeCell ref="F10:H10"/>
    <mergeCell ref="F11:H11"/>
    <mergeCell ref="A15:B26"/>
    <mergeCell ref="D15:F15"/>
    <mergeCell ref="C16:F26"/>
    <mergeCell ref="G16:H26"/>
    <mergeCell ref="A2:B11"/>
    <mergeCell ref="J19:K19"/>
    <mergeCell ref="C29:F29"/>
    <mergeCell ref="A30:B38"/>
    <mergeCell ref="E33:F33"/>
    <mergeCell ref="E34:F34"/>
    <mergeCell ref="E35:F35"/>
    <mergeCell ref="A82:B106"/>
    <mergeCell ref="A107:B110"/>
    <mergeCell ref="A112:B114"/>
    <mergeCell ref="C112:D114"/>
    <mergeCell ref="B40:F40"/>
    <mergeCell ref="A41:A80"/>
    <mergeCell ref="F47:F49"/>
    <mergeCell ref="F50:F51"/>
    <mergeCell ref="B68:B76"/>
    <mergeCell ref="B77:B80"/>
  </mergeCells>
  <conditionalFormatting sqref="T4:T12">
    <cfRule type="containsText" dxfId="27" priority="4" operator="containsText" text="No">
      <formula>NOT(ISERROR(SEARCH("No",T4)))</formula>
    </cfRule>
    <cfRule type="containsText" dxfId="26" priority="5" operator="containsText" text="Yes">
      <formula>NOT(ISERROR(SEARCH("Yes",T4)))</formula>
    </cfRule>
  </conditionalFormatting>
  <conditionalFormatting sqref="T13">
    <cfRule type="cellIs" dxfId="25" priority="2" operator="lessThan">
      <formula>1</formula>
    </cfRule>
    <cfRule type="cellIs" dxfId="24" priority="3" operator="equal">
      <formula>1</formula>
    </cfRule>
  </conditionalFormatting>
  <conditionalFormatting sqref="B42:B59">
    <cfRule type="cellIs" dxfId="23" priority="1" operator="equal">
      <formula>"Not Required"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278110EC-9303-4B48-8824-EF62DC083260}">
          <x14:formula1>
            <xm:f>_xlfn.ANCHORARRAY('Door Table'!$D$134)</xm:f>
          </x14:formula1>
          <xm:sqref>D84:D85</xm:sqref>
        </x14:dataValidation>
        <x14:dataValidation type="list" allowBlank="1" showInputMessage="1" showErrorMessage="1" xr:uid="{1E43D53C-165A-4B41-A716-A2594F76C21C}">
          <x14:formula1>
            <xm:f>_xlfn.ANCHORARRAY('Door Table'!$G$134)</xm:f>
          </x14:formula1>
          <xm:sqref>D86</xm:sqref>
        </x14:dataValidation>
        <x14:dataValidation type="list" allowBlank="1" showInputMessage="1" showErrorMessage="1" xr:uid="{F16A979E-AB64-4B74-BB61-0208673B4A6E}">
          <x14:formula1>
            <xm:f>_xlfn.ANCHORARRAY('Door Table'!$I$134)</xm:f>
          </x14:formula1>
          <xm:sqref>D88</xm:sqref>
        </x14:dataValidation>
        <x14:dataValidation type="list" allowBlank="1" showInputMessage="1" showErrorMessage="1" xr:uid="{11B9832F-B8B1-4F76-842E-6F62A1CEAD3D}">
          <x14:formula1>
            <xm:f>_xlfn.ANCHORARRAY('Door Table'!$J$134)</xm:f>
          </x14:formula1>
          <xm:sqref>D89</xm:sqref>
        </x14:dataValidation>
        <x14:dataValidation type="list" allowBlank="1" showInputMessage="1" showErrorMessage="1" xr:uid="{470B8100-F4D0-4452-A31E-48D5AC8FBA49}">
          <x14:formula1>
            <xm:f>_xlfn.ANCHORARRAY('Door Table'!$K$134)</xm:f>
          </x14:formula1>
          <xm:sqref>D90</xm:sqref>
        </x14:dataValidation>
        <x14:dataValidation type="list" allowBlank="1" showInputMessage="1" showErrorMessage="1" xr:uid="{212D210C-5677-4BB3-9BAE-3C5AED347571}">
          <x14:formula1>
            <xm:f>_xlfn.ANCHORARRAY('Door Table'!$L$134)</xm:f>
          </x14:formula1>
          <xm:sqref>D91</xm:sqref>
        </x14:dataValidation>
        <x14:dataValidation type="list" allowBlank="1" showInputMessage="1" showErrorMessage="1" xr:uid="{D75F0CC1-2C84-4BD7-A3F3-2C57CBE22048}">
          <x14:formula1>
            <xm:f>_xlfn.ANCHORARRAY('Door Table'!$P$134)</xm:f>
          </x14:formula1>
          <xm:sqref>D93:D94</xm:sqref>
        </x14:dataValidation>
        <x14:dataValidation type="list" allowBlank="1" showInputMessage="1" showErrorMessage="1" xr:uid="{D0A71207-DD60-419A-8A28-75C14D9D70CC}">
          <x14:formula1>
            <xm:f>_xlfn.ANCHORARRAY('Door Table'!$S$134)</xm:f>
          </x14:formula1>
          <xm:sqref>D95:D104</xm:sqref>
        </x14:dataValidation>
        <x14:dataValidation type="list" allowBlank="1" showInputMessage="1" showErrorMessage="1" xr:uid="{E597C242-EE1B-4888-B8F9-4A8EF1D61917}">
          <x14:formula1>
            <xm:f>_xlfn.ANCHORARRAY('Door Table'!$V$134)</xm:f>
          </x14:formula1>
          <xm:sqref>D106</xm:sqref>
        </x14:dataValidation>
        <x14:dataValidation type="list" allowBlank="1" showInputMessage="1" showErrorMessage="1" xr:uid="{44F23334-C9CD-48B4-891C-98CFB547FDBB}">
          <x14:formula1>
            <xm:f>'Door Table'!$AB$134:$AB$142</xm:f>
          </x14:formula1>
          <xm:sqref>D77:D80</xm:sqref>
        </x14:dataValidation>
        <x14:dataValidation type="list" allowBlank="1" showInputMessage="1" showErrorMessage="1" xr:uid="{81AC459A-1A92-4A47-BB57-6E545FCAEB1F}">
          <x14:formula1>
            <xm:f>_xlfn.ANCHORARRAY('Door Table'!$J$46)</xm:f>
          </x14:formula1>
          <xm:sqref>D47</xm:sqref>
        </x14:dataValidation>
        <x14:dataValidation type="list" allowBlank="1" showInputMessage="1" showErrorMessage="1" xr:uid="{E8F3F16C-94EE-42DA-8430-5A9B1B60EF53}">
          <x14:formula1>
            <xm:f>_xlfn.ANCHORARRAY('Door Table'!$K$46)</xm:f>
          </x14:formula1>
          <xm:sqref>D48</xm:sqref>
        </x14:dataValidation>
        <x14:dataValidation type="list" allowBlank="1" showInputMessage="1" showErrorMessage="1" xr:uid="{C2171EE7-5CD4-495D-AE9C-87609A21F15F}">
          <x14:formula1>
            <xm:f>_xlfn.ANCHORARRAY('Door Table'!$L$46)</xm:f>
          </x14:formula1>
          <xm:sqref>D49</xm:sqref>
        </x14:dataValidation>
        <x14:dataValidation type="list" allowBlank="1" showInputMessage="1" showErrorMessage="1" xr:uid="{4526F2D7-4C29-43B8-9A24-6CBFBDB79057}">
          <x14:formula1>
            <xm:f>_xlfn.ANCHORARRAY('Door Table'!$M$46)</xm:f>
          </x14:formula1>
          <xm:sqref>D50</xm:sqref>
        </x14:dataValidation>
        <x14:dataValidation type="list" allowBlank="1" showInputMessage="1" showErrorMessage="1" xr:uid="{39A78364-18D5-4CA5-B59E-1166B3FBC842}">
          <x14:formula1>
            <xm:f>_xlfn.ANCHORARRAY('Door Table'!$N$46)</xm:f>
          </x14:formula1>
          <xm:sqref>D51</xm:sqref>
        </x14:dataValidation>
        <x14:dataValidation type="list" allowBlank="1" showInputMessage="1" showErrorMessage="1" xr:uid="{7F56F02B-6058-43C6-8DE9-63670AF563B7}">
          <x14:formula1>
            <xm:f>_xlfn.ANCHORARRAY('Door Table'!$O$46)</xm:f>
          </x14:formula1>
          <xm:sqref>D52</xm:sqref>
        </x14:dataValidation>
        <x14:dataValidation type="list" allowBlank="1" showInputMessage="1" showErrorMessage="1" xr:uid="{9576DB6A-0A80-4524-A47E-B3B07B61F4BF}">
          <x14:formula1>
            <xm:f>_xlfn.ANCHORARRAY('Door Table'!$Q$46)</xm:f>
          </x14:formula1>
          <xm:sqref>D54</xm:sqref>
        </x14:dataValidation>
        <x14:dataValidation type="list" allowBlank="1" showInputMessage="1" showErrorMessage="1" xr:uid="{D40DF9F6-72C4-43B8-969E-5DAE86979D81}">
          <x14:formula1>
            <xm:f>_xlfn.ANCHORARRAY('Door Table'!$R$46)</xm:f>
          </x14:formula1>
          <xm:sqref>D55</xm:sqref>
        </x14:dataValidation>
        <x14:dataValidation type="list" allowBlank="1" showInputMessage="1" showErrorMessage="1" xr:uid="{90E9A3BC-830A-4AFD-A704-A3C488AD5735}">
          <x14:formula1>
            <xm:f>_xlfn.ANCHORARRAY('Door Table'!$S$46)</xm:f>
          </x14:formula1>
          <xm:sqref>D56</xm:sqref>
        </x14:dataValidation>
        <x14:dataValidation type="list" allowBlank="1" showInputMessage="1" showErrorMessage="1" xr:uid="{FBC2AC09-39E8-4BD4-AE2A-FD012FAC666C}">
          <x14:formula1>
            <xm:f>_xlfn.ANCHORARRAY('Door Table'!$T$46)</xm:f>
          </x14:formula1>
          <xm:sqref>D57</xm:sqref>
        </x14:dataValidation>
        <x14:dataValidation type="list" allowBlank="1" showInputMessage="1" showErrorMessage="1" xr:uid="{44268869-7246-4F6D-AE6E-397F170818F9}">
          <x14:formula1>
            <xm:f>_xlfn.ANCHORARRAY('Door Table'!$U$46)</xm:f>
          </x14:formula1>
          <xm:sqref>D58</xm:sqref>
        </x14:dataValidation>
        <x14:dataValidation type="list" allowBlank="1" showInputMessage="1" showErrorMessage="1" xr:uid="{0EC10D04-2530-4030-8681-C7448DCEA3EC}">
          <x14:formula1>
            <xm:f>_xlfn.ANCHORARRAY('Door Table'!$V$46)</xm:f>
          </x14:formula1>
          <xm:sqref>D59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55039-EF10-437C-ABDF-C5FE44C90E08}">
  <sheetPr codeName="Sheet30">
    <tabColor rgb="FF00B0F0"/>
  </sheetPr>
  <dimension ref="B2:N60"/>
  <sheetViews>
    <sheetView showGridLines="0" topLeftCell="A5" zoomScaleNormal="100" workbookViewId="0">
      <selection activeCell="C15" sqref="C15:C18"/>
    </sheetView>
  </sheetViews>
  <sheetFormatPr defaultRowHeight="15.5" x14ac:dyDescent="0.35"/>
  <cols>
    <col min="2" max="2" width="15.08203125" bestFit="1" customWidth="1"/>
    <col min="3" max="3" width="33.08203125" customWidth="1"/>
    <col min="4" max="4" width="28" bestFit="1" customWidth="1"/>
    <col min="5" max="5" width="28" customWidth="1"/>
    <col min="6" max="6" width="13.83203125" bestFit="1" customWidth="1"/>
    <col min="7" max="7" width="11.58203125" bestFit="1" customWidth="1"/>
    <col min="8" max="8" width="15.9140625" bestFit="1" customWidth="1"/>
    <col min="9" max="9" width="16.58203125" bestFit="1" customWidth="1"/>
    <col min="10" max="10" width="10.58203125" bestFit="1" customWidth="1"/>
    <col min="11" max="11" width="13.83203125" bestFit="1" customWidth="1"/>
    <col min="12" max="12" width="9.75" bestFit="1" customWidth="1"/>
    <col min="13" max="13" width="26.75" bestFit="1" customWidth="1"/>
    <col min="14" max="14" width="13.75" bestFit="1" customWidth="1"/>
  </cols>
  <sheetData>
    <row r="2" spans="2:14" x14ac:dyDescent="0.35">
      <c r="B2" s="429" t="s">
        <v>29</v>
      </c>
      <c r="C2" s="434"/>
      <c r="D2" s="430" t="s">
        <v>30</v>
      </c>
      <c r="E2" s="430"/>
      <c r="F2" s="431"/>
      <c r="G2" s="324"/>
      <c r="H2" s="324"/>
      <c r="I2" s="324"/>
    </row>
    <row r="3" spans="2:14" x14ac:dyDescent="0.35">
      <c r="B3" s="429" t="s">
        <v>31</v>
      </c>
      <c r="C3" s="435"/>
      <c r="D3" s="429" t="s">
        <v>32</v>
      </c>
      <c r="E3" s="429"/>
      <c r="F3" s="759"/>
      <c r="G3" s="759"/>
      <c r="H3" s="759"/>
      <c r="I3" s="759"/>
    </row>
    <row r="4" spans="2:14" x14ac:dyDescent="0.35">
      <c r="B4" s="432"/>
      <c r="C4" s="432"/>
      <c r="D4" s="432"/>
      <c r="E4" s="558"/>
      <c r="F4" s="246"/>
      <c r="G4" s="246"/>
      <c r="H4" s="246"/>
      <c r="I4" s="246"/>
    </row>
    <row r="5" spans="2:14" x14ac:dyDescent="0.35">
      <c r="B5" s="750" t="s">
        <v>33</v>
      </c>
      <c r="C5" s="751"/>
      <c r="D5" s="752"/>
      <c r="E5" s="76"/>
      <c r="F5" s="246"/>
      <c r="G5" s="246"/>
      <c r="H5" s="246"/>
      <c r="I5" s="246"/>
    </row>
    <row r="6" spans="2:14" ht="17.5" x14ac:dyDescent="0.35">
      <c r="B6" s="433" t="s">
        <v>34</v>
      </c>
      <c r="C6" s="753"/>
      <c r="D6" s="754"/>
      <c r="E6" s="559"/>
      <c r="F6" s="246"/>
      <c r="G6" s="246"/>
      <c r="H6" s="246"/>
      <c r="I6" s="246"/>
    </row>
    <row r="7" spans="2:14" ht="17.5" x14ac:dyDescent="0.35">
      <c r="B7" s="755" t="s">
        <v>35</v>
      </c>
      <c r="C7" s="753"/>
      <c r="D7" s="754"/>
      <c r="E7" s="559"/>
      <c r="F7" s="246"/>
      <c r="G7" s="246"/>
      <c r="H7" s="246"/>
      <c r="I7" s="246"/>
    </row>
    <row r="8" spans="2:14" ht="17.5" x14ac:dyDescent="0.35">
      <c r="B8" s="755"/>
      <c r="C8" s="753"/>
      <c r="D8" s="754"/>
      <c r="E8" s="559"/>
      <c r="F8" s="246"/>
      <c r="G8" s="246"/>
      <c r="H8" s="246"/>
      <c r="I8" s="246"/>
    </row>
    <row r="10" spans="2:14" x14ac:dyDescent="0.35">
      <c r="B10" s="564" t="s">
        <v>1004</v>
      </c>
      <c r="C10" s="565" t="s">
        <v>48</v>
      </c>
    </row>
    <row r="12" spans="2:14" ht="16" thickBot="1" x14ac:dyDescent="0.4">
      <c r="B12" s="391"/>
      <c r="C12" s="392"/>
      <c r="D12" s="392"/>
      <c r="E12" s="392"/>
      <c r="F12" s="392"/>
      <c r="G12" s="392"/>
      <c r="H12" s="392"/>
      <c r="I12" s="392"/>
      <c r="J12" s="392"/>
      <c r="K12" s="393"/>
      <c r="L12" s="392"/>
      <c r="M12" s="392"/>
      <c r="N12" s="394"/>
    </row>
    <row r="13" spans="2:14" x14ac:dyDescent="0.35">
      <c r="B13" s="756" t="str">
        <f>+CONCATENATE("ROOM 1 - ",C10)</f>
        <v>ROOM 1 - Freezer</v>
      </c>
      <c r="C13" s="757"/>
      <c r="D13" s="757"/>
      <c r="E13" s="757"/>
      <c r="F13" s="757"/>
      <c r="G13" s="757"/>
      <c r="H13" s="757"/>
      <c r="I13" s="757"/>
      <c r="J13" s="757"/>
      <c r="K13" s="757"/>
      <c r="L13" s="831" t="s">
        <v>196</v>
      </c>
      <c r="M13" s="832"/>
      <c r="N13" s="833"/>
    </row>
    <row r="14" spans="2:14" x14ac:dyDescent="0.35">
      <c r="B14" s="395" t="s">
        <v>197</v>
      </c>
      <c r="C14" s="396" t="s">
        <v>198</v>
      </c>
      <c r="D14" s="396" t="s">
        <v>997</v>
      </c>
      <c r="E14" s="396" t="s">
        <v>998</v>
      </c>
      <c r="F14" s="396" t="s">
        <v>199</v>
      </c>
      <c r="G14" s="396" t="s">
        <v>200</v>
      </c>
      <c r="H14" s="396" t="s">
        <v>201</v>
      </c>
      <c r="I14" s="396" t="s">
        <v>202</v>
      </c>
      <c r="J14" s="289" t="s">
        <v>203</v>
      </c>
      <c r="K14" s="289" t="s">
        <v>44</v>
      </c>
      <c r="L14" s="379" t="s">
        <v>44</v>
      </c>
      <c r="M14" s="380" t="s">
        <v>45</v>
      </c>
      <c r="N14" s="381" t="s">
        <v>46</v>
      </c>
    </row>
    <row r="15" spans="2:14" x14ac:dyDescent="0.35">
      <c r="B15" s="397" t="s">
        <v>204</v>
      </c>
      <c r="C15" s="291" t="s">
        <v>205</v>
      </c>
      <c r="D15" s="863" t="s">
        <v>370</v>
      </c>
      <c r="E15" s="863" t="s">
        <v>370</v>
      </c>
      <c r="F15" s="415">
        <v>6.75</v>
      </c>
      <c r="G15" s="415">
        <v>8</v>
      </c>
      <c r="H15" s="857">
        <v>8</v>
      </c>
      <c r="I15" s="860">
        <v>3</v>
      </c>
      <c r="J15" s="854">
        <f>+IF(ISBLANK(D15),"",(SUMPRODUCT(F15:F18,G15:G18)))</f>
        <v>222.56</v>
      </c>
      <c r="K15" s="776">
        <f>IF(ISBLANK(F15),"",'Quotation Structure - Room'!$G$39)</f>
        <v>1538.0451077940861</v>
      </c>
      <c r="L15" s="763" t="str">
        <f>_xlfn.IFNA('Quotation Structure - Room'!$F$66,"")</f>
        <v/>
      </c>
      <c r="M15" s="766"/>
      <c r="N15" s="745" t="str">
        <f>+IF(ISBLANK(M15),"",(L15*(1+M15)))</f>
        <v/>
      </c>
    </row>
    <row r="16" spans="2:14" x14ac:dyDescent="0.35">
      <c r="B16" s="397" t="s">
        <v>204</v>
      </c>
      <c r="C16" s="291" t="s">
        <v>206</v>
      </c>
      <c r="D16" s="864"/>
      <c r="E16" s="864"/>
      <c r="F16" s="415">
        <v>6.75</v>
      </c>
      <c r="G16" s="415">
        <v>8</v>
      </c>
      <c r="H16" s="858"/>
      <c r="I16" s="861"/>
      <c r="J16" s="855"/>
      <c r="K16" s="830"/>
      <c r="L16" s="764"/>
      <c r="M16" s="766"/>
      <c r="N16" s="746"/>
    </row>
    <row r="17" spans="2:14" x14ac:dyDescent="0.35">
      <c r="B17" s="397" t="s">
        <v>204</v>
      </c>
      <c r="C17" s="291" t="s">
        <v>207</v>
      </c>
      <c r="D17" s="864"/>
      <c r="E17" s="864"/>
      <c r="F17" s="415">
        <v>7.16</v>
      </c>
      <c r="G17" s="415">
        <v>8</v>
      </c>
      <c r="H17" s="858"/>
      <c r="I17" s="861"/>
      <c r="J17" s="855"/>
      <c r="K17" s="830"/>
      <c r="L17" s="765"/>
      <c r="M17" s="766"/>
      <c r="N17" s="747"/>
    </row>
    <row r="18" spans="2:14" x14ac:dyDescent="0.35">
      <c r="B18" s="397" t="s">
        <v>204</v>
      </c>
      <c r="C18" s="291" t="s">
        <v>208</v>
      </c>
      <c r="D18" s="865"/>
      <c r="E18" s="865"/>
      <c r="F18" s="415">
        <v>7.16</v>
      </c>
      <c r="G18" s="415">
        <v>8</v>
      </c>
      <c r="H18" s="859"/>
      <c r="I18" s="862"/>
      <c r="J18" s="856"/>
      <c r="K18" s="777"/>
      <c r="L18" s="324"/>
      <c r="M18" s="324"/>
      <c r="N18" s="385"/>
    </row>
    <row r="19" spans="2:14" x14ac:dyDescent="0.35">
      <c r="B19" s="395" t="s">
        <v>209</v>
      </c>
      <c r="C19" s="396" t="s">
        <v>210</v>
      </c>
      <c r="D19" s="396" t="s">
        <v>135</v>
      </c>
      <c r="E19" s="396"/>
      <c r="F19" s="396" t="s">
        <v>199</v>
      </c>
      <c r="G19" s="396" t="s">
        <v>211</v>
      </c>
      <c r="H19" s="396" t="s">
        <v>201</v>
      </c>
      <c r="I19" s="396" t="s">
        <v>202</v>
      </c>
      <c r="J19" s="289" t="s">
        <v>203</v>
      </c>
      <c r="K19" s="289" t="s">
        <v>44</v>
      </c>
      <c r="L19" s="324"/>
      <c r="M19" s="324"/>
      <c r="N19" s="385"/>
    </row>
    <row r="20" spans="2:14" x14ac:dyDescent="0.35">
      <c r="B20" s="397" t="s">
        <v>212</v>
      </c>
      <c r="C20" s="291" t="s">
        <v>213</v>
      </c>
      <c r="D20" s="398" t="s">
        <v>370</v>
      </c>
      <c r="E20" s="398" t="s">
        <v>370</v>
      </c>
      <c r="F20" s="68">
        <v>8.25</v>
      </c>
      <c r="G20" s="68">
        <v>9.5</v>
      </c>
      <c r="H20" s="842">
        <v>8</v>
      </c>
      <c r="I20" s="5">
        <v>3</v>
      </c>
      <c r="J20" s="408">
        <f>IF(ISBLANK(F20),"",F20*G20)</f>
        <v>78.375</v>
      </c>
      <c r="K20" s="409">
        <f>IF(ISBLANK(F20),"",'Quotation Structure - Room'!$G$40)</f>
        <v>554.06797053990613</v>
      </c>
      <c r="L20" s="246"/>
      <c r="M20" s="246"/>
      <c r="N20" s="399"/>
    </row>
    <row r="21" spans="2:14" x14ac:dyDescent="0.35">
      <c r="B21" s="397" t="s">
        <v>214</v>
      </c>
      <c r="C21" s="291" t="s">
        <v>241</v>
      </c>
      <c r="D21" s="387" t="s">
        <v>518</v>
      </c>
      <c r="E21" s="387" t="s">
        <v>518</v>
      </c>
      <c r="F21" s="68"/>
      <c r="G21" s="68"/>
      <c r="H21" s="843"/>
      <c r="I21" s="5"/>
      <c r="J21" s="408" t="str">
        <f>IF(ISBLANK(F21),"",F21*G21)</f>
        <v/>
      </c>
      <c r="K21" s="409" t="str">
        <f>IF(ISBLANK(F21),"",'Quotation Structure - Room'!$G$41)</f>
        <v/>
      </c>
      <c r="L21" s="324"/>
      <c r="M21" s="324"/>
      <c r="N21" s="385"/>
    </row>
    <row r="22" spans="2:14" x14ac:dyDescent="0.35">
      <c r="B22" s="866" t="s">
        <v>73</v>
      </c>
      <c r="C22" s="867"/>
      <c r="D22" s="868"/>
      <c r="E22" s="289" t="s">
        <v>1018</v>
      </c>
      <c r="F22" s="289" t="s">
        <v>124</v>
      </c>
      <c r="G22" s="834" t="s">
        <v>73</v>
      </c>
      <c r="H22" s="834"/>
      <c r="I22" s="835"/>
      <c r="J22" s="289" t="s">
        <v>141</v>
      </c>
      <c r="K22" s="289" t="s">
        <v>44</v>
      </c>
      <c r="L22" s="848" t="s">
        <v>215</v>
      </c>
      <c r="M22" s="849"/>
      <c r="N22" s="850"/>
    </row>
    <row r="23" spans="2:14" x14ac:dyDescent="0.35">
      <c r="B23" s="397" t="s">
        <v>1014</v>
      </c>
      <c r="C23" s="869" t="s">
        <v>994</v>
      </c>
      <c r="D23" s="869"/>
      <c r="E23" s="5">
        <v>1</v>
      </c>
      <c r="F23" s="293">
        <f>IF(ISBLANK(C23),"",IF(ISBLANK(E23),"Please Specify Qty.",'Calculation Sheet - BOM '!$L211*E23))</f>
        <v>144.44444444444443</v>
      </c>
      <c r="G23" s="290" t="s">
        <v>165</v>
      </c>
      <c r="H23" s="869"/>
      <c r="I23" s="869"/>
      <c r="J23" s="5"/>
      <c r="K23" s="293" t="str">
        <f>IF(ISBLANK(H23),"",IF(ISBLANK(J23),"Please Specify Qty.",'Calculation Sheet - BOM '!$L216*J23))</f>
        <v/>
      </c>
      <c r="L23" s="380" t="s">
        <v>217</v>
      </c>
      <c r="M23" s="380" t="s">
        <v>218</v>
      </c>
      <c r="N23" s="386" t="s">
        <v>219</v>
      </c>
    </row>
    <row r="24" spans="2:14" ht="39" customHeight="1" x14ac:dyDescent="0.35">
      <c r="B24" s="397" t="s">
        <v>1022</v>
      </c>
      <c r="C24" s="869" t="s">
        <v>976</v>
      </c>
      <c r="D24" s="869"/>
      <c r="E24" s="5">
        <f>4*8</f>
        <v>32</v>
      </c>
      <c r="F24" s="293">
        <f>IF(ISBLANK(C24),"",IF(ISBLANK(E24),"Please Specify Qty.",'Calculation Sheet - BOM '!$L212*E24))</f>
        <v>337.76298126641592</v>
      </c>
      <c r="G24" s="290" t="s">
        <v>166</v>
      </c>
      <c r="H24" s="869"/>
      <c r="I24" s="869"/>
      <c r="J24" s="5"/>
      <c r="K24" s="293" t="str">
        <f>IF(ISBLANK(H24),"",IF(ISBLANK(J24),"Please Specify Qty.",'Calculation Sheet - BOM '!$L217*J24))</f>
        <v/>
      </c>
      <c r="L24" s="423" t="str">
        <f>IFERROR('Calculation Sheet - BOM '!$M$259,"")</f>
        <v/>
      </c>
      <c r="M24" s="424">
        <f>IFERROR('Calculation Sheet - BOM '!$L$259,"")</f>
        <v>707.19725000000005</v>
      </c>
      <c r="N24" s="401">
        <f>SUM(N27:N29)</f>
        <v>0</v>
      </c>
    </row>
    <row r="25" spans="2:14" ht="26" customHeight="1" x14ac:dyDescent="0.35">
      <c r="B25" s="397" t="s">
        <v>1021</v>
      </c>
      <c r="C25" s="869" t="s">
        <v>991</v>
      </c>
      <c r="D25" s="869"/>
      <c r="E25" s="5">
        <v>1</v>
      </c>
      <c r="F25" s="293">
        <f>IF(ISBLANK(C25),"",IF(ISBLANK(E25),"Please Specify Qty.",'Calculation Sheet - BOM '!$L213*E25))</f>
        <v>148.14814814814815</v>
      </c>
      <c r="G25" s="290" t="s">
        <v>222</v>
      </c>
      <c r="H25" s="869"/>
      <c r="I25" s="869"/>
      <c r="J25" s="5"/>
      <c r="K25" s="293" t="str">
        <f>IF(ISBLANK(H25),"",IF(ISBLANK(J25),"Please Specify Qty.",'Calculation Sheet - BOM '!$L218*J25))</f>
        <v/>
      </c>
      <c r="L25" s="324"/>
      <c r="M25" s="324"/>
      <c r="N25" s="385"/>
    </row>
    <row r="26" spans="2:14" x14ac:dyDescent="0.35">
      <c r="B26" s="397" t="s">
        <v>1020</v>
      </c>
      <c r="C26" s="869" t="s">
        <v>1006</v>
      </c>
      <c r="D26" s="869"/>
      <c r="E26" s="5">
        <f>2*(34+24)</f>
        <v>116</v>
      </c>
      <c r="F26" s="293">
        <f>IF(ISBLANK(C26),"",IF(ISBLANK(E26),"Please Specify Qty.",'Calculation Sheet - BOM '!$L214*E26))</f>
        <v>715.72</v>
      </c>
      <c r="G26" s="290" t="s">
        <v>169</v>
      </c>
      <c r="H26" s="869"/>
      <c r="I26" s="869"/>
      <c r="J26" s="5"/>
      <c r="K26" s="293" t="str">
        <f>IF(ISBLANK(H26),"",IF(ISBLANK(J26),"Please Specify Qty.",'Calculation Sheet - BOM '!$L219*J26))</f>
        <v/>
      </c>
      <c r="L26" s="380" t="s">
        <v>224</v>
      </c>
      <c r="M26" s="380" t="s">
        <v>225</v>
      </c>
      <c r="N26" s="380" t="s">
        <v>226</v>
      </c>
    </row>
    <row r="27" spans="2:14" x14ac:dyDescent="0.35">
      <c r="B27" s="397" t="s">
        <v>1019</v>
      </c>
      <c r="C27" s="869" t="s">
        <v>1009</v>
      </c>
      <c r="D27" s="869"/>
      <c r="E27" s="5">
        <f>2*(8.25+9.5)</f>
        <v>35.5</v>
      </c>
      <c r="F27" s="293">
        <f>IF(ISBLANK(C27),"",IF(ISBLANK(E27),"Please Specify Qty.",'Calculation Sheet - BOM '!$L215*E27))</f>
        <v>292.875</v>
      </c>
      <c r="G27" s="569" t="s">
        <v>170</v>
      </c>
      <c r="H27" s="872"/>
      <c r="I27" s="873"/>
      <c r="J27" s="5"/>
      <c r="K27" s="293" t="str">
        <f>IF(ISBLANK(H27),"",IF(ISBLANK(J27),"Please Specify Qty.",'Calculation Sheet - BOM '!$L220*J27))</f>
        <v/>
      </c>
      <c r="L27" s="423" t="str">
        <f>IFERROR('Calculation Sheet - BOM '!O259,"")</f>
        <v/>
      </c>
      <c r="M27" s="388">
        <f>IFERROR('Calculation Sheet - BOM '!$P259,0)</f>
        <v>0</v>
      </c>
      <c r="N27" s="450">
        <f>IFERROR('Calculation Sheet - BOM '!R259,0)</f>
        <v>0</v>
      </c>
    </row>
    <row r="28" spans="2:14" ht="26" x14ac:dyDescent="0.35">
      <c r="B28" s="345" t="s">
        <v>228</v>
      </c>
      <c r="C28" s="273" t="s">
        <v>42</v>
      </c>
      <c r="D28" s="272" t="s">
        <v>1023</v>
      </c>
      <c r="E28" s="289" t="s">
        <v>45</v>
      </c>
      <c r="F28" s="289" t="s">
        <v>46</v>
      </c>
      <c r="G28" s="870" t="s">
        <v>73</v>
      </c>
      <c r="H28" s="834"/>
      <c r="I28" s="289" t="s">
        <v>1024</v>
      </c>
      <c r="J28" s="289" t="s">
        <v>141</v>
      </c>
      <c r="K28" s="289" t="s">
        <v>46</v>
      </c>
      <c r="L28" s="423" t="str">
        <f>IFERROR('Calculation Sheet - BOM '!O260,"")</f>
        <v/>
      </c>
      <c r="M28" s="388">
        <f>IFERROR('Calculation Sheet - BOM '!$P260,0)</f>
        <v>0</v>
      </c>
      <c r="N28" s="450">
        <f>IFERROR('Calculation Sheet - BOM '!R260,0)</f>
        <v>0</v>
      </c>
    </row>
    <row r="29" spans="2:14" x14ac:dyDescent="0.35">
      <c r="B29" s="402" t="s">
        <v>229</v>
      </c>
      <c r="C29" s="416"/>
      <c r="D29" s="68"/>
      <c r="E29" s="570"/>
      <c r="F29" s="293">
        <f>+D29*(1+E29)</f>
        <v>0</v>
      </c>
      <c r="G29" s="823" t="s">
        <v>175</v>
      </c>
      <c r="H29" s="824"/>
      <c r="I29" s="572">
        <v>200</v>
      </c>
      <c r="J29" s="68">
        <v>1</v>
      </c>
      <c r="K29" s="449">
        <f>+I29*J29</f>
        <v>200</v>
      </c>
      <c r="L29" s="423" t="str">
        <f>IFERROR('Calculation Sheet - BOM '!O261,"")</f>
        <v/>
      </c>
      <c r="M29" s="388">
        <f>IFERROR('Calculation Sheet - BOM '!$P261,0)</f>
        <v>0</v>
      </c>
      <c r="N29" s="450">
        <f>IFERROR('Calculation Sheet - BOM '!R261,0)</f>
        <v>0</v>
      </c>
    </row>
    <row r="30" spans="2:14" x14ac:dyDescent="0.35">
      <c r="B30" s="402" t="s">
        <v>230</v>
      </c>
      <c r="C30" s="416"/>
      <c r="D30" s="68"/>
      <c r="E30" s="570"/>
      <c r="F30" s="293">
        <f t="shared" ref="F30:F31" si="0">+D30*(1+E30)</f>
        <v>0</v>
      </c>
      <c r="G30" s="823" t="s">
        <v>176</v>
      </c>
      <c r="H30" s="824"/>
      <c r="I30" s="577">
        <v>250</v>
      </c>
      <c r="J30" s="68">
        <v>4</v>
      </c>
      <c r="K30" s="449">
        <f>+I30*J30</f>
        <v>1000</v>
      </c>
      <c r="L30" s="423" t="str">
        <f>IFERROR('Calculation Sheet - BOM '!O262,"")</f>
        <v/>
      </c>
      <c r="M30" s="388">
        <f>IFERROR('Calculation Sheet - BOM '!$P262,0)</f>
        <v>0</v>
      </c>
      <c r="N30" s="450">
        <f>IFERROR('Calculation Sheet - BOM '!R262,0)</f>
        <v>0</v>
      </c>
    </row>
    <row r="31" spans="2:14" ht="16" thickBot="1" x14ac:dyDescent="0.4">
      <c r="B31" s="403" t="s">
        <v>231</v>
      </c>
      <c r="C31" s="417"/>
      <c r="D31" s="68"/>
      <c r="E31" s="571"/>
      <c r="F31" s="293">
        <f t="shared" si="0"/>
        <v>0</v>
      </c>
      <c r="G31" s="874" t="s">
        <v>1027</v>
      </c>
      <c r="H31" s="875"/>
      <c r="I31" s="578">
        <f>+'Door - Step 2'!H118</f>
        <v>0</v>
      </c>
      <c r="J31" s="361">
        <v>1</v>
      </c>
      <c r="K31" s="449">
        <f>+I31*J31</f>
        <v>0</v>
      </c>
      <c r="L31" s="423" t="str">
        <f>IFERROR('Calculation Sheet - BOM '!O263,"")</f>
        <v/>
      </c>
      <c r="M31" s="388">
        <f>_xlfn.IFNA('Calculation Sheet - BOM '!$P263,0)</f>
        <v>0</v>
      </c>
      <c r="N31" s="450">
        <f>_xlfn.IFNA('Calculation Sheet - BOM '!R263,0)</f>
        <v>0</v>
      </c>
    </row>
    <row r="32" spans="2:14" x14ac:dyDescent="0.35">
      <c r="B32" s="447"/>
      <c r="C32" s="447"/>
      <c r="D32" s="448"/>
      <c r="E32" s="448"/>
      <c r="F32" s="448"/>
      <c r="G32" s="448"/>
      <c r="H32" s="448"/>
      <c r="I32" s="448"/>
      <c r="J32" s="448"/>
      <c r="K32" s="448"/>
      <c r="L32" s="423">
        <f>IFERROR('Calculation Sheet - BOM '!O264,"")</f>
        <v>0</v>
      </c>
      <c r="M32" s="388">
        <f>_xlfn.IFNA('Calculation Sheet - BOM '!$P264,0)</f>
        <v>0</v>
      </c>
      <c r="N32" s="450">
        <f>_xlfn.IFNA('Calculation Sheet - BOM '!R264,0)</f>
        <v>0</v>
      </c>
    </row>
    <row r="33" spans="2:14" x14ac:dyDescent="0.35">
      <c r="B33" s="447"/>
      <c r="C33" s="447"/>
      <c r="D33" s="448"/>
      <c r="E33" s="448"/>
      <c r="F33" s="448"/>
      <c r="G33" s="448"/>
      <c r="H33" s="448"/>
      <c r="I33" s="448"/>
      <c r="J33" s="448"/>
      <c r="K33" s="448"/>
    </row>
    <row r="35" spans="2:14" ht="16" thickBot="1" x14ac:dyDescent="0.4"/>
    <row r="36" spans="2:14" ht="16" thickBot="1" x14ac:dyDescent="0.4">
      <c r="L36" s="760" t="s">
        <v>232</v>
      </c>
      <c r="M36" s="761"/>
      <c r="N36" s="762"/>
    </row>
    <row r="37" spans="2:14" x14ac:dyDescent="0.35">
      <c r="B37" s="756" t="str">
        <f>+CONCATENATE("COMBO ROOM")</f>
        <v>COMBO ROOM</v>
      </c>
      <c r="C37" s="757"/>
      <c r="D37" s="757"/>
      <c r="E37" s="757"/>
      <c r="F37" s="757"/>
      <c r="G37" s="757"/>
      <c r="H37" s="757"/>
      <c r="I37" s="757"/>
      <c r="J37" s="757"/>
      <c r="K37" s="757"/>
      <c r="L37" s="379" t="s">
        <v>44</v>
      </c>
      <c r="M37" s="380" t="s">
        <v>45</v>
      </c>
      <c r="N37" s="381" t="s">
        <v>46</v>
      </c>
    </row>
    <row r="38" spans="2:14" x14ac:dyDescent="0.35">
      <c r="B38" s="397" t="s">
        <v>197</v>
      </c>
      <c r="C38" s="291" t="s">
        <v>198</v>
      </c>
      <c r="D38" s="283" t="s">
        <v>135</v>
      </c>
      <c r="E38" s="283"/>
      <c r="F38" s="283" t="s">
        <v>199</v>
      </c>
      <c r="G38" s="283" t="s">
        <v>200</v>
      </c>
      <c r="H38" s="396" t="s">
        <v>201</v>
      </c>
      <c r="I38" s="283" t="s">
        <v>233</v>
      </c>
      <c r="J38" s="289" t="s">
        <v>203</v>
      </c>
      <c r="K38" s="289" t="s">
        <v>44</v>
      </c>
      <c r="L38" s="763">
        <f>+L44+'Doors - Step 1'!J29+'Doors - Step 1'!J45+N50</f>
        <v>9242.1392353358588</v>
      </c>
      <c r="M38" s="766"/>
      <c r="N38" s="745" t="str">
        <f>+IF(ISBLANK(M38),"",(L38*(1+M38)))</f>
        <v/>
      </c>
    </row>
    <row r="39" spans="2:14" x14ac:dyDescent="0.35">
      <c r="B39" s="407" t="s">
        <v>234</v>
      </c>
      <c r="C39" s="291" t="s">
        <v>205</v>
      </c>
      <c r="D39" s="836" t="s">
        <v>51</v>
      </c>
      <c r="E39" s="836" t="s">
        <v>51</v>
      </c>
      <c r="F39" s="5">
        <v>10</v>
      </c>
      <c r="G39" s="5">
        <v>8</v>
      </c>
      <c r="H39" s="844">
        <v>10</v>
      </c>
      <c r="I39" s="844">
        <v>4</v>
      </c>
      <c r="J39" s="854">
        <f>+IF(ISBLANK(D39),"",(SUMPRODUCT(F39:F42,G39:G42)))</f>
        <v>352</v>
      </c>
      <c r="K39" s="776">
        <f>_xlfn.IFNA('Quotation Structure - Room'!$G$72,"")</f>
        <v>2781.2924234244229</v>
      </c>
      <c r="L39" s="764"/>
      <c r="M39" s="766"/>
      <c r="N39" s="746"/>
    </row>
    <row r="40" spans="2:14" x14ac:dyDescent="0.35">
      <c r="B40" s="397" t="str">
        <f>+B39</f>
        <v xml:space="preserve">ROOM 2 - Freezer </v>
      </c>
      <c r="C40" s="291" t="s">
        <v>206</v>
      </c>
      <c r="D40" s="837"/>
      <c r="E40" s="837"/>
      <c r="F40" s="5">
        <v>12</v>
      </c>
      <c r="G40" s="5">
        <v>8</v>
      </c>
      <c r="H40" s="845"/>
      <c r="I40" s="845"/>
      <c r="J40" s="855"/>
      <c r="K40" s="830" t="e">
        <f>IF(ISBLANK(G40),"",'Calculation Sheet - BOM '!#REF!)</f>
        <v>#REF!</v>
      </c>
      <c r="L40" s="765"/>
      <c r="M40" s="766"/>
      <c r="N40" s="747"/>
    </row>
    <row r="41" spans="2:14" ht="16" thickBot="1" x14ac:dyDescent="0.4">
      <c r="B41" s="397" t="str">
        <f>+B39</f>
        <v xml:space="preserve">ROOM 2 - Freezer </v>
      </c>
      <c r="C41" s="291" t="s">
        <v>207</v>
      </c>
      <c r="D41" s="837"/>
      <c r="E41" s="837"/>
      <c r="F41" s="5">
        <v>12</v>
      </c>
      <c r="G41" s="5">
        <v>8</v>
      </c>
      <c r="H41" s="845"/>
      <c r="I41" s="845"/>
      <c r="J41" s="855"/>
      <c r="K41" s="830" t="e">
        <f>IF(ISBLANK(G41),"",'Calculation Sheet - BOM '!#REF!)</f>
        <v>#REF!</v>
      </c>
      <c r="L41" s="324"/>
      <c r="M41" s="324"/>
      <c r="N41" s="385"/>
    </row>
    <row r="42" spans="2:14" x14ac:dyDescent="0.35">
      <c r="B42" s="397" t="str">
        <f>+B39</f>
        <v xml:space="preserve">ROOM 2 - Freezer </v>
      </c>
      <c r="C42" s="291" t="s">
        <v>235</v>
      </c>
      <c r="D42" s="838"/>
      <c r="E42" s="838"/>
      <c r="F42" s="5">
        <v>10</v>
      </c>
      <c r="G42" s="5">
        <v>8</v>
      </c>
      <c r="H42" s="846"/>
      <c r="I42" s="846"/>
      <c r="J42" s="856"/>
      <c r="K42" s="777" t="e">
        <f>IF(ISBLANK(G42),"",'Calculation Sheet - BOM '!#REF!)</f>
        <v>#REF!</v>
      </c>
      <c r="L42" s="831" t="s">
        <v>238</v>
      </c>
      <c r="M42" s="832"/>
      <c r="N42" s="833"/>
    </row>
    <row r="43" spans="2:14" x14ac:dyDescent="0.35">
      <c r="B43" s="407" t="s">
        <v>236</v>
      </c>
      <c r="C43" s="291" t="s">
        <v>237</v>
      </c>
      <c r="D43" s="839" t="s">
        <v>51</v>
      </c>
      <c r="E43" s="839" t="s">
        <v>51</v>
      </c>
      <c r="F43" s="5">
        <v>10</v>
      </c>
      <c r="G43" s="5">
        <v>8</v>
      </c>
      <c r="H43" s="842">
        <v>10</v>
      </c>
      <c r="I43" s="839">
        <v>4</v>
      </c>
      <c r="J43" s="854">
        <f>+IF(ISBLANK(D43),"",(SUMPRODUCT(F43:F45,G43:G45)))</f>
        <v>272</v>
      </c>
      <c r="K43" s="776">
        <f>_xlfn.IFNA('Quotation Structure - Room'!$G$73,"")</f>
        <v>2150.5495999188715</v>
      </c>
      <c r="L43" s="436" t="s">
        <v>44</v>
      </c>
      <c r="M43" s="437" t="s">
        <v>45</v>
      </c>
      <c r="N43" s="438" t="s">
        <v>46</v>
      </c>
    </row>
    <row r="44" spans="2:14" x14ac:dyDescent="0.35">
      <c r="B44" s="397" t="str">
        <f>+B43</f>
        <v xml:space="preserve">ROOM 3 - Cooler </v>
      </c>
      <c r="C44" s="291" t="s">
        <v>239</v>
      </c>
      <c r="D44" s="840"/>
      <c r="E44" s="840"/>
      <c r="F44" s="5">
        <v>12</v>
      </c>
      <c r="G44" s="5">
        <v>8</v>
      </c>
      <c r="H44" s="847"/>
      <c r="I44" s="840"/>
      <c r="J44" s="855"/>
      <c r="K44" s="830"/>
      <c r="L44" s="741">
        <f>_xlfn.IFNA('Quotation Structure - Room'!$F$98,0)</f>
        <v>0</v>
      </c>
      <c r="M44" s="744"/>
      <c r="N44" s="851" t="str">
        <f>+IF(ISBLANK(M44),"",(L44*(1+M44)))</f>
        <v/>
      </c>
    </row>
    <row r="45" spans="2:14" x14ac:dyDescent="0.35">
      <c r="B45" s="397" t="str">
        <f>+B43</f>
        <v xml:space="preserve">ROOM 3 - Cooler </v>
      </c>
      <c r="C45" s="291" t="s">
        <v>240</v>
      </c>
      <c r="D45" s="841"/>
      <c r="E45" s="841"/>
      <c r="F45" s="5">
        <v>12</v>
      </c>
      <c r="G45" s="5">
        <v>8</v>
      </c>
      <c r="H45" s="843"/>
      <c r="I45" s="841"/>
      <c r="J45" s="855"/>
      <c r="K45" s="777"/>
      <c r="L45" s="742"/>
      <c r="M45" s="744"/>
      <c r="N45" s="852"/>
    </row>
    <row r="46" spans="2:14" x14ac:dyDescent="0.35">
      <c r="B46" s="395" t="s">
        <v>209</v>
      </c>
      <c r="C46" s="396" t="s">
        <v>210</v>
      </c>
      <c r="D46" s="396" t="s">
        <v>135</v>
      </c>
      <c r="E46" s="396"/>
      <c r="F46" s="396" t="s">
        <v>199</v>
      </c>
      <c r="G46" s="396" t="s">
        <v>211</v>
      </c>
      <c r="H46" s="396" t="s">
        <v>201</v>
      </c>
      <c r="I46" s="396" t="s">
        <v>202</v>
      </c>
      <c r="J46" s="289" t="s">
        <v>203</v>
      </c>
      <c r="K46" s="289" t="s">
        <v>44</v>
      </c>
      <c r="L46" s="743"/>
      <c r="M46" s="744"/>
      <c r="N46" s="853"/>
    </row>
    <row r="47" spans="2:14" x14ac:dyDescent="0.35">
      <c r="B47" s="397" t="s">
        <v>212</v>
      </c>
      <c r="C47" s="291" t="s">
        <v>213</v>
      </c>
      <c r="D47" s="387" t="s">
        <v>51</v>
      </c>
      <c r="E47" s="387" t="s">
        <v>51</v>
      </c>
      <c r="F47" s="5">
        <v>10</v>
      </c>
      <c r="G47" s="5">
        <v>24</v>
      </c>
      <c r="H47" s="842">
        <v>10</v>
      </c>
      <c r="I47" s="5">
        <v>4</v>
      </c>
      <c r="J47" s="408">
        <f>+F47*G47</f>
        <v>240</v>
      </c>
      <c r="K47" s="409">
        <f>_xlfn.IFNA('Quotation Structure - Room'!$G$74,0)</f>
        <v>1932.3884705166515</v>
      </c>
      <c r="L47" s="324"/>
      <c r="M47" s="324"/>
      <c r="N47" s="385"/>
    </row>
    <row r="48" spans="2:14" x14ac:dyDescent="0.35">
      <c r="B48" s="397" t="s">
        <v>214</v>
      </c>
      <c r="C48" s="291" t="s">
        <v>1003</v>
      </c>
      <c r="D48" s="387" t="s">
        <v>518</v>
      </c>
      <c r="E48" s="387" t="s">
        <v>518</v>
      </c>
      <c r="F48" s="5">
        <v>10</v>
      </c>
      <c r="G48" s="5">
        <v>24</v>
      </c>
      <c r="H48" s="843"/>
      <c r="I48" s="5">
        <v>4</v>
      </c>
      <c r="J48" s="408">
        <f>+F48*G48</f>
        <v>240</v>
      </c>
      <c r="K48" s="409">
        <f>_xlfn.IFNA('Quotation Structure - Room'!$G$75,0)</f>
        <v>0</v>
      </c>
      <c r="L48" s="848" t="s">
        <v>215</v>
      </c>
      <c r="M48" s="849"/>
      <c r="N48" s="850"/>
    </row>
    <row r="49" spans="2:14" x14ac:dyDescent="0.35">
      <c r="B49" s="866" t="s">
        <v>73</v>
      </c>
      <c r="C49" s="867"/>
      <c r="D49" s="868"/>
      <c r="E49" s="289" t="s">
        <v>141</v>
      </c>
      <c r="F49" s="400" t="s">
        <v>124</v>
      </c>
      <c r="G49" s="834" t="s">
        <v>73</v>
      </c>
      <c r="H49" s="834"/>
      <c r="I49" s="835"/>
      <c r="J49" s="289" t="s">
        <v>141</v>
      </c>
      <c r="K49" s="289" t="s">
        <v>44</v>
      </c>
      <c r="L49" s="380" t="s">
        <v>217</v>
      </c>
      <c r="M49" s="380" t="s">
        <v>218</v>
      </c>
      <c r="N49" s="386" t="s">
        <v>180</v>
      </c>
    </row>
    <row r="50" spans="2:14" x14ac:dyDescent="0.35">
      <c r="B50" s="397" t="s">
        <v>1014</v>
      </c>
      <c r="C50" s="869" t="s">
        <v>994</v>
      </c>
      <c r="D50" s="869"/>
      <c r="E50" s="5">
        <v>1</v>
      </c>
      <c r="F50" s="293">
        <f>IF(ISBLANK(C50),"",IF(ISBLANK(E50),"Please Specify Qty.",'Calculation Sheet - BOM '!$L227*E50))</f>
        <v>144.44444444444443</v>
      </c>
      <c r="G50" s="290" t="s">
        <v>165</v>
      </c>
      <c r="H50" s="869" t="s">
        <v>165</v>
      </c>
      <c r="I50" s="869"/>
      <c r="J50" s="5">
        <v>1</v>
      </c>
      <c r="K50" s="293">
        <f>IF(ISBLANK(H50),"",IF(ISBLANK(J50),"Please Specify Qty.",'Calculation Sheet - BOM '!$L232*J50))</f>
        <v>19.203333333333333</v>
      </c>
      <c r="L50" s="423">
        <f>IFERROR('Calculation Sheet - BOM '!$M$270,0)</f>
        <v>4</v>
      </c>
      <c r="M50" s="424">
        <f>+'Calculation Sheet - BOM '!$L$270</f>
        <v>2870.6296457786548</v>
      </c>
      <c r="N50" s="401">
        <f>+SUM(N53:N56)</f>
        <v>1054.8724489795918</v>
      </c>
    </row>
    <row r="51" spans="2:14" x14ac:dyDescent="0.35">
      <c r="B51" s="397" t="s">
        <v>1022</v>
      </c>
      <c r="C51" s="869" t="s">
        <v>969</v>
      </c>
      <c r="D51" s="869"/>
      <c r="E51" s="5">
        <v>45</v>
      </c>
      <c r="F51" s="293">
        <f>IF(ISBLANK(C51),"",IF(ISBLANK(E51),"Please Specify Qty.",'Calculation Sheet - BOM '!$L228*E51))</f>
        <v>470.95589325426243</v>
      </c>
      <c r="G51" s="290" t="s">
        <v>166</v>
      </c>
      <c r="H51" s="869" t="s">
        <v>221</v>
      </c>
      <c r="I51" s="869"/>
      <c r="J51" s="5">
        <v>1</v>
      </c>
      <c r="K51" s="293">
        <f>IF(ISBLANK(H51),"",IF(ISBLANK(J51),"Please Specify Qty.",'Calculation Sheet - BOM '!$L233*J51))</f>
        <v>19.603333333333332</v>
      </c>
      <c r="L51" s="324"/>
      <c r="M51" s="324"/>
      <c r="N51" s="385"/>
    </row>
    <row r="52" spans="2:14" x14ac:dyDescent="0.35">
      <c r="B52" s="397" t="s">
        <v>1021</v>
      </c>
      <c r="C52" s="869" t="s">
        <v>991</v>
      </c>
      <c r="D52" s="869"/>
      <c r="E52" s="5">
        <v>2</v>
      </c>
      <c r="F52" s="293">
        <f>IF(ISBLANK(C52),"",IF(ISBLANK(E52),"Please Specify Qty.",'Calculation Sheet - BOM '!$L229*E52))</f>
        <v>296.2962962962963</v>
      </c>
      <c r="G52" s="290" t="s">
        <v>222</v>
      </c>
      <c r="H52" s="869" t="s">
        <v>223</v>
      </c>
      <c r="I52" s="869"/>
      <c r="J52" s="5">
        <v>1</v>
      </c>
      <c r="K52" s="293">
        <f>IF(ISBLANK(H52),"",IF(ISBLANK(J52),"Please Specify Qty.",'Calculation Sheet - BOM '!$L234*J52))</f>
        <v>72.05</v>
      </c>
      <c r="L52" s="380" t="s">
        <v>224</v>
      </c>
      <c r="M52" s="380" t="s">
        <v>225</v>
      </c>
      <c r="N52" s="381" t="s">
        <v>226</v>
      </c>
    </row>
    <row r="53" spans="2:14" x14ac:dyDescent="0.35">
      <c r="B53" s="397" t="s">
        <v>1020</v>
      </c>
      <c r="C53" s="869" t="s">
        <v>1006</v>
      </c>
      <c r="D53" s="869"/>
      <c r="E53" s="5">
        <v>45</v>
      </c>
      <c r="F53" s="293">
        <f>IF(ISBLANK(C53),"",IF(ISBLANK(E53),"Please Specify Qty.",'Calculation Sheet - BOM '!$L230*E53))</f>
        <v>277.64999999999998</v>
      </c>
      <c r="G53" s="290" t="s">
        <v>169</v>
      </c>
      <c r="H53" s="869" t="s">
        <v>775</v>
      </c>
      <c r="I53" s="869"/>
      <c r="J53" s="5">
        <v>1</v>
      </c>
      <c r="K53" s="293">
        <f>IF(ISBLANK(H53),"",IF(ISBLANK(J53),"Please Specify Qty.",'Calculation Sheet - BOM '!$L235*J53))</f>
        <v>6.2633333333333328</v>
      </c>
      <c r="L53" s="428">
        <f>IFERROR('Calculation Sheet - BOM '!O270,0)</f>
        <v>11</v>
      </c>
      <c r="M53" s="388" t="str">
        <f>IFERROR('Calculation Sheet - BOM '!P270,"")</f>
        <v>129 inches - X 48 inches - X 54 inches</v>
      </c>
      <c r="N53" s="427">
        <f>IFERROR('Calculation Sheet - BOM '!R270,0)</f>
        <v>263.71811224489795</v>
      </c>
    </row>
    <row r="54" spans="2:14" x14ac:dyDescent="0.35">
      <c r="B54" s="397" t="s">
        <v>1019</v>
      </c>
      <c r="C54" s="869" t="s">
        <v>1009</v>
      </c>
      <c r="D54" s="869"/>
      <c r="E54" s="5">
        <v>4</v>
      </c>
      <c r="F54" s="293">
        <f>IF(ISBLANK(C54),"",IF(ISBLANK(E54),"Please Specify Qty.",'Calculation Sheet - BOM '!$L231*E54))</f>
        <v>33</v>
      </c>
      <c r="G54" s="569" t="s">
        <v>170</v>
      </c>
      <c r="H54" s="871" t="s">
        <v>227</v>
      </c>
      <c r="I54" s="871"/>
      <c r="J54" s="5">
        <v>1</v>
      </c>
      <c r="K54" s="293">
        <f>IF(ISBLANK(H54),"",IF(ISBLANK(J54),"Please Specify Qty.",'Calculation Sheet - BOM '!$L236*J54))</f>
        <v>7.01</v>
      </c>
      <c r="L54" s="428">
        <f>IFERROR('Calculation Sheet - BOM '!O271,0)</f>
        <v>11</v>
      </c>
      <c r="M54" s="388" t="str">
        <f>IFERROR('Calculation Sheet - BOM '!P271,"")</f>
        <v>129 inches - X 48 inches - X 54 inches</v>
      </c>
      <c r="N54" s="427">
        <f>IFERROR('Calculation Sheet - BOM '!R271,0)</f>
        <v>263.71811224489795</v>
      </c>
    </row>
    <row r="55" spans="2:14" ht="26" x14ac:dyDescent="0.35">
      <c r="B55" s="345" t="s">
        <v>228</v>
      </c>
      <c r="C55" s="273" t="s">
        <v>42</v>
      </c>
      <c r="D55" s="272" t="s">
        <v>1023</v>
      </c>
      <c r="E55" s="289" t="s">
        <v>45</v>
      </c>
      <c r="F55" s="289" t="s">
        <v>46</v>
      </c>
      <c r="G55" s="870" t="s">
        <v>73</v>
      </c>
      <c r="H55" s="834"/>
      <c r="I55" s="289" t="s">
        <v>1024</v>
      </c>
      <c r="J55" s="289" t="s">
        <v>141</v>
      </c>
      <c r="K55" s="289" t="s">
        <v>46</v>
      </c>
      <c r="L55" s="428">
        <f>IFERROR('Calculation Sheet - BOM '!O272,0)</f>
        <v>11</v>
      </c>
      <c r="M55" s="388" t="str">
        <f>IFERROR('Calculation Sheet - BOM '!P272,"")</f>
        <v>129 inches - X 48 inches - X 54 inches</v>
      </c>
      <c r="N55" s="427">
        <f>IFERROR('Calculation Sheet - BOM '!R272,0)</f>
        <v>263.71811224489795</v>
      </c>
    </row>
    <row r="56" spans="2:14" x14ac:dyDescent="0.35">
      <c r="B56" s="402" t="s">
        <v>229</v>
      </c>
      <c r="C56" s="292"/>
      <c r="D56" s="5"/>
      <c r="E56" s="574"/>
      <c r="F56" s="293">
        <f>+D56*(1+E56)</f>
        <v>0</v>
      </c>
      <c r="G56" s="823" t="s">
        <v>175</v>
      </c>
      <c r="H56" s="824"/>
      <c r="I56" s="572">
        <v>200</v>
      </c>
      <c r="J56" s="68">
        <v>1</v>
      </c>
      <c r="K56" s="449">
        <f>+I56*J56</f>
        <v>200</v>
      </c>
      <c r="L56" s="428">
        <f>IFERROR('Calculation Sheet - BOM '!O273,0)</f>
        <v>11</v>
      </c>
      <c r="M56" s="388" t="str">
        <f>IFERROR('Calculation Sheet - BOM '!P273,"")</f>
        <v>129 inches - X 48 inches - X 54 inches</v>
      </c>
      <c r="N56" s="427">
        <f>IFERROR('Calculation Sheet - BOM '!R273,0)</f>
        <v>263.71811224489795</v>
      </c>
    </row>
    <row r="57" spans="2:14" x14ac:dyDescent="0.35">
      <c r="B57" s="402" t="s">
        <v>230</v>
      </c>
      <c r="C57" s="292"/>
      <c r="D57" s="5"/>
      <c r="E57" s="574"/>
      <c r="F57" s="293">
        <f t="shared" ref="F57:F58" si="1">+D57*(1+E57)</f>
        <v>0</v>
      </c>
      <c r="G57" s="823" t="s">
        <v>176</v>
      </c>
      <c r="H57" s="824"/>
      <c r="I57" s="572">
        <v>250</v>
      </c>
      <c r="J57" s="68">
        <v>1</v>
      </c>
      <c r="K57" s="449">
        <f>+I57*J57</f>
        <v>250</v>
      </c>
      <c r="L57" s="428">
        <f>IFERROR('Calculation Sheet - BOM '!O274,0)</f>
        <v>0</v>
      </c>
      <c r="M57" s="388" t="str">
        <f>IFERROR('Calculation Sheet - BOM '!P274,"")</f>
        <v>129 inches - X 4 inches - X 54 inches</v>
      </c>
      <c r="N57" s="427">
        <f>IFERROR('Calculation Sheet - BOM '!R274,0)</f>
        <v>152.12913265306122</v>
      </c>
    </row>
    <row r="58" spans="2:14" ht="16" thickBot="1" x14ac:dyDescent="0.4">
      <c r="B58" s="403" t="s">
        <v>231</v>
      </c>
      <c r="C58" s="425"/>
      <c r="D58" s="426"/>
      <c r="E58" s="575"/>
      <c r="F58" s="293">
        <f t="shared" si="1"/>
        <v>0</v>
      </c>
      <c r="G58" s="874" t="s">
        <v>322</v>
      </c>
      <c r="H58" s="875"/>
      <c r="I58" s="417"/>
      <c r="J58" s="361"/>
      <c r="K58" s="449">
        <f>+I58*J58</f>
        <v>0</v>
      </c>
      <c r="L58" s="428">
        <f>IFERROR('Calculation Sheet - BOM '!O275,0)</f>
        <v>0</v>
      </c>
      <c r="M58" s="388" t="str">
        <f>IFERROR('Calculation Sheet - BOM '!P275,"")</f>
        <v>129 inches - X 4 inches - X 54 inches</v>
      </c>
      <c r="N58" s="427">
        <f>IFERROR('Calculation Sheet - BOM '!R275,0)</f>
        <v>0</v>
      </c>
    </row>
    <row r="59" spans="2:14" x14ac:dyDescent="0.35">
      <c r="B59" s="446"/>
      <c r="C59" s="264"/>
      <c r="D59" s="247"/>
      <c r="E59" s="247"/>
      <c r="F59" s="295"/>
      <c r="G59" s="295"/>
      <c r="H59" s="295"/>
      <c r="I59" s="295"/>
      <c r="J59" s="295"/>
      <c r="K59" s="295"/>
    </row>
    <row r="60" spans="2:14" x14ac:dyDescent="0.35">
      <c r="B60" s="446"/>
      <c r="C60" s="264"/>
      <c r="D60" s="247"/>
      <c r="E60" s="247"/>
      <c r="F60" s="295"/>
      <c r="G60" s="295"/>
      <c r="H60" s="295"/>
      <c r="I60" s="295"/>
      <c r="J60" s="295"/>
      <c r="K60" s="295"/>
    </row>
  </sheetData>
  <mergeCells count="74">
    <mergeCell ref="G57:H57"/>
    <mergeCell ref="G58:H58"/>
    <mergeCell ref="C27:D27"/>
    <mergeCell ref="B49:D49"/>
    <mergeCell ref="C50:D50"/>
    <mergeCell ref="C51:D51"/>
    <mergeCell ref="C52:D52"/>
    <mergeCell ref="B37:K37"/>
    <mergeCell ref="H50:I50"/>
    <mergeCell ref="H51:I51"/>
    <mergeCell ref="H52:I52"/>
    <mergeCell ref="G29:H29"/>
    <mergeCell ref="G30:H30"/>
    <mergeCell ref="G31:H31"/>
    <mergeCell ref="G28:H28"/>
    <mergeCell ref="C53:D53"/>
    <mergeCell ref="C23:D23"/>
    <mergeCell ref="C24:D24"/>
    <mergeCell ref="C25:D25"/>
    <mergeCell ref="C26:D26"/>
    <mergeCell ref="G56:H56"/>
    <mergeCell ref="C54:D54"/>
    <mergeCell ref="G55:H55"/>
    <mergeCell ref="H53:I53"/>
    <mergeCell ref="H54:I54"/>
    <mergeCell ref="H23:I23"/>
    <mergeCell ref="H24:I24"/>
    <mergeCell ref="H25:I25"/>
    <mergeCell ref="H26:I26"/>
    <mergeCell ref="H27:I27"/>
    <mergeCell ref="B13:K13"/>
    <mergeCell ref="L13:N13"/>
    <mergeCell ref="H20:H21"/>
    <mergeCell ref="H15:H18"/>
    <mergeCell ref="L22:N22"/>
    <mergeCell ref="G22:I22"/>
    <mergeCell ref="J15:J18"/>
    <mergeCell ref="I15:I18"/>
    <mergeCell ref="K15:K18"/>
    <mergeCell ref="D15:D18"/>
    <mergeCell ref="L15:L17"/>
    <mergeCell ref="M15:M17"/>
    <mergeCell ref="N15:N17"/>
    <mergeCell ref="E15:E18"/>
    <mergeCell ref="B22:D22"/>
    <mergeCell ref="F3:I3"/>
    <mergeCell ref="B5:D5"/>
    <mergeCell ref="C6:D6"/>
    <mergeCell ref="B7:B8"/>
    <mergeCell ref="C7:D7"/>
    <mergeCell ref="C8:D8"/>
    <mergeCell ref="L36:N36"/>
    <mergeCell ref="L38:L40"/>
    <mergeCell ref="M38:M40"/>
    <mergeCell ref="N38:N40"/>
    <mergeCell ref="H47:H48"/>
    <mergeCell ref="H39:H42"/>
    <mergeCell ref="H43:H45"/>
    <mergeCell ref="I43:I45"/>
    <mergeCell ref="I39:I42"/>
    <mergeCell ref="L48:N48"/>
    <mergeCell ref="L44:L46"/>
    <mergeCell ref="M44:M46"/>
    <mergeCell ref="N44:N46"/>
    <mergeCell ref="J39:J42"/>
    <mergeCell ref="J43:J45"/>
    <mergeCell ref="K39:K42"/>
    <mergeCell ref="K43:K45"/>
    <mergeCell ref="L42:N42"/>
    <mergeCell ref="G49:I49"/>
    <mergeCell ref="D39:D42"/>
    <mergeCell ref="D43:D45"/>
    <mergeCell ref="E43:E45"/>
    <mergeCell ref="E39:E42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B4D11CE2-6AAB-477C-9053-49EF579EC867}">
          <x14:formula1>
            <xm:f>'Door Table'!$A$192:$A$195</xm:f>
          </x14:formula1>
          <xm:sqref>H15 H43:H45 H47 H39 H20</xm:sqref>
        </x14:dataValidation>
        <x14:dataValidation type="list" allowBlank="1" showInputMessage="1" showErrorMessage="1" xr:uid="{0675B02F-BA33-4D70-B1AE-0D7A9CE2019E}">
          <x14:formula1>
            <xm:f>'Door Table'!$AA$134:$AA$136</xm:f>
          </x14:formula1>
          <xm:sqref>H54 H27:I27</xm:sqref>
        </x14:dataValidation>
        <x14:dataValidation type="list" allowBlank="1" showInputMessage="1" showErrorMessage="1" xr:uid="{26041C8D-9BDA-41FF-81A6-EDFB358B5F02}">
          <x14:formula1>
            <xm:f>'Door Table'!$E$148:$E$154</xm:f>
          </x14:formula1>
          <xm:sqref>D20:E20 D47:E47</xm:sqref>
        </x14:dataValidation>
        <x14:dataValidation type="list" allowBlank="1" showInputMessage="1" showErrorMessage="1" xr:uid="{7C2C1CC5-FC90-4824-8246-DC61FABC498D}">
          <x14:formula1>
            <xm:f>_xlfn.ANCHORARRAY('Door Table'!$Z$134)</xm:f>
          </x14:formula1>
          <xm:sqref>H26 H53</xm:sqref>
        </x14:dataValidation>
        <x14:dataValidation type="list" allowBlank="1" showInputMessage="1" showErrorMessage="1" xr:uid="{FCC9F303-6040-494A-A54F-F9C73876C71D}">
          <x14:formula1>
            <xm:f>_xlfn.ANCHORARRAY('Door Table'!$Y$134)</xm:f>
          </x14:formula1>
          <xm:sqref>H25 H52</xm:sqref>
        </x14:dataValidation>
        <x14:dataValidation type="list" allowBlank="1" showInputMessage="1" showErrorMessage="1" xr:uid="{9FA203C0-4ECB-41FD-8B90-319B9B477920}">
          <x14:formula1>
            <xm:f>_xlfn.ANCHORARRAY('Door Table'!$X$134)</xm:f>
          </x14:formula1>
          <xm:sqref>H24 H51</xm:sqref>
        </x14:dataValidation>
        <x14:dataValidation type="list" allowBlank="1" showInputMessage="1" showErrorMessage="1" xr:uid="{F7E03E41-AF32-4BEC-89C8-41543F25F276}">
          <x14:formula1>
            <xm:f>_xlfn.ANCHORARRAY('Door Table'!$W$134)</xm:f>
          </x14:formula1>
          <xm:sqref>H23 H50</xm:sqref>
        </x14:dataValidation>
        <x14:dataValidation type="list" allowBlank="1" showInputMessage="1" showErrorMessage="1" xr:uid="{B6B91A31-F7BD-44B0-A89D-D05B79778B1E}">
          <x14:formula1>
            <xm:f>'Calculation Sheet - BOM '!$P$7:$P$10</xm:f>
          </x14:formula1>
          <xm:sqref>I15:I18 I20:I21 I39:I45 I47:I48</xm:sqref>
        </x14:dataValidation>
        <x14:dataValidation type="list" allowBlank="1" showInputMessage="1" showErrorMessage="1" xr:uid="{668919BC-20AE-40A5-AA62-7C59EAC65532}">
          <x14:formula1>
            <xm:f>'Door Table'!$F$148:$F$156</xm:f>
          </x14:formula1>
          <xm:sqref>D21:E21 D48:E48</xm:sqref>
        </x14:dataValidation>
        <x14:dataValidation type="list" allowBlank="1" showInputMessage="1" showErrorMessage="1" xr:uid="{80DB10CD-5D7A-4690-9DA2-F669E082C8DF}">
          <x14:formula1>
            <xm:f>'Door Table'!$D$148:$D$154</xm:f>
          </x14:formula1>
          <xm:sqref>D15:E18 D39:E45</xm:sqref>
        </x14:dataValidation>
        <x14:dataValidation type="list" allowBlank="1" showInputMessage="1" showErrorMessage="1" xr:uid="{027CB9AC-EBDD-42DE-8E36-EACBA2B5F7F1}">
          <x14:formula1>
            <xm:f>'Calculation Sheet - BOM '!$N$116:$N$118</xm:f>
          </x14:formula1>
          <xm:sqref>B43</xm:sqref>
        </x14:dataValidation>
        <x14:dataValidation type="list" allowBlank="1" showInputMessage="1" showErrorMessage="1" xr:uid="{0C6DE8B4-33EF-4C05-907D-69D41D0F6B3B}">
          <x14:formula1>
            <xm:f>'Calculation Sheet - BOM '!$N$114:$N$115</xm:f>
          </x14:formula1>
          <xm:sqref>B39</xm:sqref>
        </x14:dataValidation>
        <x14:dataValidation type="list" allowBlank="1" showInputMessage="1" showErrorMessage="1" xr:uid="{38145F40-7DE1-483C-BF63-BBB0A2726D36}">
          <x14:formula1>
            <xm:f>'Calculation Sheet - BOM '!$C$115:$C$117</xm:f>
          </x14:formula1>
          <xm:sqref>C48 C21</xm:sqref>
        </x14:dataValidation>
        <x14:dataValidation type="list" allowBlank="1" showInputMessage="1" showErrorMessage="1" xr:uid="{2051EC1B-D877-4D09-B832-E1131130DFC9}">
          <x14:formula1>
            <xm:f>'Calculation Sheet - BOM '!$C$113:$C$114</xm:f>
          </x14:formula1>
          <xm:sqref>C20 C47</xm:sqref>
        </x14:dataValidation>
        <x14:dataValidation type="list" allowBlank="1" showInputMessage="1" showErrorMessage="1" xr:uid="{23335E48-770F-4709-A923-98F881F9C6BA}">
          <x14:formula1>
            <xm:f>'Calculation Sheet - BOM '!$E$113:$E$114</xm:f>
          </x14:formula1>
          <xm:sqref>C10</xm:sqref>
        </x14:dataValidation>
        <x14:dataValidation type="list" allowBlank="1" showInputMessage="1" showErrorMessage="1" xr:uid="{A9E5D607-A22F-4593-A316-E5C58A7B5FE3}">
          <x14:formula1>
            <xm:f>'Door Table'!$J$148</xm:f>
          </x14:formula1>
          <xm:sqref>C23 C50:D50</xm:sqref>
        </x14:dataValidation>
        <x14:dataValidation type="list" allowBlank="1" showInputMessage="1" showErrorMessage="1" xr:uid="{AA87CFA9-B0D6-41F2-AC0B-AE22AE96F86D}">
          <x14:formula1>
            <xm:f>'Door Table'!$H$148:$H$165</xm:f>
          </x14:formula1>
          <xm:sqref>C24 C51:D51</xm:sqref>
        </x14:dataValidation>
        <x14:dataValidation type="list" allowBlank="1" showInputMessage="1" showErrorMessage="1" xr:uid="{F0664A9F-2F0B-4303-B737-1AC1014148E4}">
          <x14:formula1>
            <xm:f>'Door Table'!$I$148</xm:f>
          </x14:formula1>
          <xm:sqref>C25 C52:D52</xm:sqref>
        </x14:dataValidation>
        <x14:dataValidation type="list" allowBlank="1" showInputMessage="1" showErrorMessage="1" xr:uid="{8928747E-4159-472E-884C-D778DCF12211}">
          <x14:formula1>
            <xm:f>'Door Table'!$K$148</xm:f>
          </x14:formula1>
          <xm:sqref>C26 C53:D53</xm:sqref>
        </x14:dataValidation>
        <x14:dataValidation type="list" allowBlank="1" showInputMessage="1" showErrorMessage="1" xr:uid="{2D39A763-64EF-4585-BA65-8A32AC0A431D}">
          <x14:formula1>
            <xm:f>'Door Table'!$L$148:$L$151</xm:f>
          </x14:formula1>
          <xm:sqref>C27 C54:D54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47615-D0DE-43B1-9571-8A5A53BA6CF0}">
  <sheetPr codeName="Sheet11">
    <tabColor theme="8" tint="0.39997558519241921"/>
  </sheetPr>
  <dimension ref="A2:T239"/>
  <sheetViews>
    <sheetView showGridLines="0" showZeros="0" topLeftCell="A17" zoomScale="85" zoomScaleNormal="85" workbookViewId="0">
      <selection activeCell="G67" sqref="G67"/>
    </sheetView>
  </sheetViews>
  <sheetFormatPr defaultColWidth="8.58203125" defaultRowHeight="15.5" x14ac:dyDescent="0.35"/>
  <cols>
    <col min="1" max="1" width="14.83203125" style="15" customWidth="1"/>
    <col min="2" max="2" width="28.83203125" style="4" bestFit="1" customWidth="1"/>
    <col min="3" max="3" width="37.08203125" style="16" customWidth="1"/>
    <col min="4" max="4" width="40.83203125" style="4" customWidth="1"/>
    <col min="5" max="6" width="28.08203125" style="4" customWidth="1"/>
    <col min="7" max="8" width="19" style="3" customWidth="1"/>
    <col min="9" max="9" width="22.75" style="4" bestFit="1" customWidth="1"/>
    <col min="10" max="10" width="23.5" style="4" bestFit="1" customWidth="1"/>
    <col min="11" max="11" width="25.58203125" style="4" bestFit="1" customWidth="1"/>
    <col min="12" max="12" width="18.5" style="4" bestFit="1" customWidth="1"/>
    <col min="13" max="13" width="21.75" style="4" bestFit="1" customWidth="1"/>
    <col min="14" max="16" width="21.08203125" style="4" customWidth="1"/>
    <col min="17" max="16384" width="8.58203125" style="4"/>
  </cols>
  <sheetData>
    <row r="2" spans="1:20" ht="15.65" customHeight="1" x14ac:dyDescent="0.35">
      <c r="A2" s="897" t="s">
        <v>28</v>
      </c>
      <c r="B2" s="6" t="s">
        <v>29</v>
      </c>
      <c r="C2" s="6"/>
      <c r="D2" s="6" t="s">
        <v>31</v>
      </c>
      <c r="E2" s="204"/>
      <c r="I2" s="3"/>
      <c r="P2" s="821" t="s">
        <v>90</v>
      </c>
      <c r="Q2" s="821"/>
      <c r="R2" s="67"/>
      <c r="S2" s="898" t="s">
        <v>242</v>
      </c>
      <c r="T2" s="898"/>
    </row>
    <row r="3" spans="1:20" ht="15.65" customHeight="1" x14ac:dyDescent="0.35">
      <c r="A3" s="897"/>
      <c r="B3" s="61" t="s">
        <v>30</v>
      </c>
      <c r="C3" s="55"/>
      <c r="I3" s="3"/>
      <c r="P3" s="232" t="s">
        <v>92</v>
      </c>
      <c r="Q3" s="233" t="s">
        <v>243</v>
      </c>
      <c r="R3" s="67"/>
      <c r="S3" s="69" t="s">
        <v>94</v>
      </c>
      <c r="T3" s="70" t="e">
        <f>+#REF!</f>
        <v>#REF!</v>
      </c>
    </row>
    <row r="4" spans="1:20" x14ac:dyDescent="0.35">
      <c r="A4" s="897"/>
      <c r="B4" s="54"/>
      <c r="C4" s="54"/>
      <c r="D4" s="54"/>
      <c r="E4" s="54"/>
      <c r="F4" s="54"/>
      <c r="I4" s="3"/>
      <c r="P4" s="232" t="s">
        <v>98</v>
      </c>
      <c r="Q4" s="234" t="str">
        <f>IF(NOT(OR(ISBLANK(#REF!),ISBLANK(#REF!),ISBLANK($G$8))),"Yes","No")</f>
        <v>No</v>
      </c>
      <c r="R4" s="67"/>
      <c r="S4" s="69" t="s">
        <v>99</v>
      </c>
      <c r="T4" s="71" t="e">
        <f>+IF(#REF!&gt;0,"Internal Labor",IF(#REF!&gt;0,"Sub-contractor","Please use appropriate labor"))</f>
        <v>#REF!</v>
      </c>
    </row>
    <row r="5" spans="1:20" x14ac:dyDescent="0.35">
      <c r="A5" s="897"/>
      <c r="B5" s="899" t="s">
        <v>33</v>
      </c>
      <c r="C5" s="900"/>
      <c r="D5" s="12"/>
      <c r="E5" s="52" t="s">
        <v>95</v>
      </c>
      <c r="F5" s="54"/>
      <c r="G5" s="54"/>
      <c r="P5" s="232" t="s">
        <v>101</v>
      </c>
      <c r="Q5" s="234" t="str">
        <f>IF(NOT(OR(ISBLANK($C$10),ISBLANK($C$11),ISBLANK($C$6),ISBLANK($C$8),ISBLANK($C$9))),"Yes","No")</f>
        <v>No</v>
      </c>
      <c r="R5" s="67"/>
      <c r="S5" s="72" t="s">
        <v>102</v>
      </c>
      <c r="T5" s="70" t="e">
        <f>+#REF!</f>
        <v>#REF!</v>
      </c>
    </row>
    <row r="6" spans="1:20" ht="39" x14ac:dyDescent="0.35">
      <c r="A6" s="897"/>
      <c r="B6" s="825" t="s">
        <v>34</v>
      </c>
      <c r="C6" s="50"/>
      <c r="D6" s="825" t="s">
        <v>34</v>
      </c>
      <c r="E6" s="50"/>
      <c r="F6" s="53" t="s">
        <v>96</v>
      </c>
      <c r="G6" s="53"/>
      <c r="P6" s="235" t="s">
        <v>103</v>
      </c>
      <c r="Q6" s="234" t="str">
        <f t="shared" ref="Q6:Q12" si="0">IF(NOT(OR(ISBLANK($C$10),ISBLANK($C$11),ISBLANK($C$6),ISBLANK($C$8),ISBLANK($C$9))),"Yes","No")</f>
        <v>No</v>
      </c>
      <c r="R6" s="67"/>
      <c r="S6" s="72" t="s">
        <v>102</v>
      </c>
      <c r="T6" s="70" t="e">
        <f>+#REF!</f>
        <v>#REF!</v>
      </c>
    </row>
    <row r="7" spans="1:20" ht="16" x14ac:dyDescent="0.35">
      <c r="A7" s="897"/>
      <c r="B7" s="826"/>
      <c r="C7" s="50"/>
      <c r="D7" s="826"/>
      <c r="E7" s="50"/>
      <c r="F7" s="13" t="s">
        <v>100</v>
      </c>
      <c r="G7" s="14"/>
      <c r="P7" s="235" t="s">
        <v>104</v>
      </c>
      <c r="Q7" s="234" t="str">
        <f t="shared" si="0"/>
        <v>No</v>
      </c>
      <c r="R7" s="67"/>
      <c r="S7" s="72" t="s">
        <v>102</v>
      </c>
      <c r="T7" s="70" t="e">
        <f>+#REF!</f>
        <v>#REF!</v>
      </c>
    </row>
    <row r="8" spans="1:20" ht="16" x14ac:dyDescent="0.35">
      <c r="A8" s="897"/>
      <c r="B8" s="827"/>
      <c r="C8" s="50"/>
      <c r="D8" s="827"/>
      <c r="E8" s="50"/>
      <c r="F8" s="3"/>
      <c r="P8" s="236" t="s">
        <v>106</v>
      </c>
      <c r="Q8" s="234" t="str">
        <f t="shared" si="0"/>
        <v>No</v>
      </c>
      <c r="R8" s="67"/>
      <c r="S8" s="72" t="s">
        <v>102</v>
      </c>
      <c r="T8" s="65" t="e">
        <f>+SUM(#REF!)</f>
        <v>#REF!</v>
      </c>
    </row>
    <row r="9" spans="1:20" ht="16" x14ac:dyDescent="0.35">
      <c r="A9" s="897"/>
      <c r="B9" s="7" t="s">
        <v>105</v>
      </c>
      <c r="C9" s="50"/>
      <c r="D9" s="8" t="s">
        <v>105</v>
      </c>
      <c r="E9" s="50"/>
      <c r="P9" s="232" t="s">
        <v>107</v>
      </c>
      <c r="Q9" s="234" t="str">
        <f t="shared" si="0"/>
        <v>No</v>
      </c>
      <c r="R9" s="67"/>
    </row>
    <row r="10" spans="1:20" ht="16" x14ac:dyDescent="0.35">
      <c r="A10" s="897"/>
      <c r="B10" s="7" t="s">
        <v>7</v>
      </c>
      <c r="C10" s="50"/>
      <c r="D10" s="8" t="s">
        <v>7</v>
      </c>
      <c r="E10" s="50"/>
      <c r="F10" s="3"/>
      <c r="P10" s="232" t="s">
        <v>108</v>
      </c>
      <c r="Q10" s="234" t="str">
        <f t="shared" si="0"/>
        <v>No</v>
      </c>
      <c r="R10" s="67"/>
    </row>
    <row r="11" spans="1:20" ht="16" x14ac:dyDescent="0.35">
      <c r="A11" s="897"/>
      <c r="B11" s="7" t="s">
        <v>9</v>
      </c>
      <c r="C11" s="50"/>
      <c r="D11" s="8" t="s">
        <v>9</v>
      </c>
      <c r="E11" s="50"/>
      <c r="F11" s="3"/>
      <c r="P11" s="237" t="s">
        <v>244</v>
      </c>
      <c r="Q11" s="234" t="str">
        <f t="shared" si="0"/>
        <v>No</v>
      </c>
      <c r="R11" s="67"/>
      <c r="S11" s="69" t="s">
        <v>110</v>
      </c>
      <c r="T11" s="70" t="e">
        <f>+#REF!</f>
        <v>#REF!</v>
      </c>
    </row>
    <row r="12" spans="1:20" x14ac:dyDescent="0.35">
      <c r="F12" s="3"/>
      <c r="P12" s="237" t="s">
        <v>109</v>
      </c>
      <c r="Q12" s="234" t="str">
        <f t="shared" si="0"/>
        <v>No</v>
      </c>
      <c r="R12" s="67"/>
      <c r="S12" s="69" t="s">
        <v>113</v>
      </c>
      <c r="T12" s="65" t="e">
        <f>+IF(AND(Q9="Yes",#REF!="Yes"),"Yes Mark-up Captured","No")</f>
        <v>#REF!</v>
      </c>
    </row>
    <row r="13" spans="1:20" x14ac:dyDescent="0.35">
      <c r="B13" s="9" t="s">
        <v>111</v>
      </c>
      <c r="C13" s="241"/>
      <c r="P13" s="238" t="s">
        <v>112</v>
      </c>
      <c r="Q13" s="239" t="e">
        <f>+(COUNTIF(Q4,"Yes")+COUNTIF(Q5,"Yes")+COUNTIF(Q6,"Yes")+COUNTIF(Q7,"Yes")+COUNTIF(Q8,"Yes")+COUNTIF(Q9,"Yes")+COUNTIF(#REF!,"Yes")+COUNTIF(#REF!,"Yes")+COUNTIF(#REF!,"Yes")+COUNTIF(#REF!,"Yes")+COUNTIF(Q11,"Yes")+COUNTIF(Q12,"Yes"))/(COUNT(P4:P9)+COUNT(P11:P12))</f>
        <v>#REF!</v>
      </c>
      <c r="R13" s="67"/>
      <c r="S13" s="67"/>
      <c r="T13" s="73"/>
    </row>
    <row r="14" spans="1:20" x14ac:dyDescent="0.35">
      <c r="B14" s="10" t="s">
        <v>245</v>
      </c>
      <c r="C14" s="51" t="s">
        <v>246</v>
      </c>
    </row>
    <row r="15" spans="1:20" x14ac:dyDescent="0.35">
      <c r="A15" s="922" t="s">
        <v>115</v>
      </c>
      <c r="B15" s="60" t="s">
        <v>247</v>
      </c>
      <c r="C15" s="911"/>
      <c r="D15" s="911"/>
      <c r="E15" s="911"/>
      <c r="F15" s="901" t="s">
        <v>248</v>
      </c>
      <c r="G15" s="902"/>
    </row>
    <row r="16" spans="1:20" x14ac:dyDescent="0.35">
      <c r="A16" s="922"/>
      <c r="B16" s="912"/>
      <c r="C16" s="913"/>
      <c r="D16" s="913"/>
      <c r="E16" s="914"/>
      <c r="F16" s="17"/>
      <c r="G16" s="66"/>
    </row>
    <row r="17" spans="1:12" x14ac:dyDescent="0.35">
      <c r="A17" s="922"/>
      <c r="B17" s="915"/>
      <c r="C17" s="916"/>
      <c r="D17" s="916"/>
      <c r="E17" s="917"/>
      <c r="F17" s="17"/>
      <c r="G17" s="66"/>
    </row>
    <row r="18" spans="1:12" x14ac:dyDescent="0.35">
      <c r="A18" s="922"/>
      <c r="B18" s="915"/>
      <c r="C18" s="916"/>
      <c r="D18" s="916"/>
      <c r="E18" s="917"/>
      <c r="F18" s="17"/>
      <c r="G18" s="66"/>
    </row>
    <row r="19" spans="1:12" x14ac:dyDescent="0.35">
      <c r="A19" s="922"/>
      <c r="B19" s="915"/>
      <c r="C19" s="916"/>
      <c r="D19" s="916"/>
      <c r="E19" s="917"/>
      <c r="F19" s="17"/>
      <c r="G19" s="18"/>
      <c r="I19" s="3"/>
    </row>
    <row r="20" spans="1:12" x14ac:dyDescent="0.35">
      <c r="A20" s="922"/>
      <c r="B20" s="915"/>
      <c r="C20" s="916"/>
      <c r="D20" s="916"/>
      <c r="E20" s="917"/>
      <c r="F20" s="17"/>
      <c r="G20" s="18"/>
      <c r="I20" s="3"/>
    </row>
    <row r="21" spans="1:12" x14ac:dyDescent="0.35">
      <c r="A21" s="922"/>
      <c r="B21" s="915"/>
      <c r="C21" s="916"/>
      <c r="D21" s="916"/>
      <c r="E21" s="917"/>
      <c r="F21" s="17"/>
      <c r="G21" s="18"/>
      <c r="I21" s="3"/>
    </row>
    <row r="22" spans="1:12" x14ac:dyDescent="0.35">
      <c r="A22" s="922"/>
      <c r="B22" s="915"/>
      <c r="C22" s="916"/>
      <c r="D22" s="916"/>
      <c r="E22" s="917"/>
      <c r="F22" s="17"/>
      <c r="G22" s="18"/>
      <c r="I22" s="3"/>
    </row>
    <row r="23" spans="1:12" x14ac:dyDescent="0.35">
      <c r="A23" s="922"/>
      <c r="B23" s="915"/>
      <c r="C23" s="916"/>
      <c r="D23" s="916"/>
      <c r="E23" s="917"/>
      <c r="F23" s="17"/>
      <c r="G23" s="18"/>
      <c r="I23" s="3"/>
    </row>
    <row r="24" spans="1:12" x14ac:dyDescent="0.35">
      <c r="A24" s="922"/>
      <c r="B24" s="918"/>
      <c r="C24" s="919"/>
      <c r="D24" s="919"/>
      <c r="E24" s="920"/>
      <c r="F24" s="22"/>
      <c r="G24" s="23"/>
      <c r="I24" s="3"/>
    </row>
    <row r="25" spans="1:12" x14ac:dyDescent="0.35">
      <c r="A25" s="24"/>
      <c r="B25" s="57"/>
      <c r="C25" s="58"/>
      <c r="D25" s="59"/>
      <c r="E25" s="59"/>
      <c r="F25" s="59"/>
      <c r="G25" s="59"/>
      <c r="I25" s="3"/>
    </row>
    <row r="26" spans="1:12" x14ac:dyDescent="0.35">
      <c r="A26" s="24"/>
      <c r="C26" s="3"/>
      <c r="D26" s="3"/>
      <c r="G26" s="4"/>
      <c r="I26" s="3"/>
      <c r="J26" s="47"/>
    </row>
    <row r="27" spans="1:12" x14ac:dyDescent="0.35">
      <c r="A27" s="885" t="s">
        <v>249</v>
      </c>
      <c r="B27" s="182" t="str">
        <f>'Door - Step 2'!B41</f>
        <v>Feature</v>
      </c>
      <c r="C27" s="182" t="str">
        <f>'Door - Step 2'!C41</f>
        <v>Door Panel and Frame</v>
      </c>
      <c r="D27" s="183">
        <f>'Door - Step 2'!D41</f>
        <v>0</v>
      </c>
      <c r="E27" s="184" t="str">
        <f>'Door - Step 2'!E41</f>
        <v xml:space="preserve">Other - Please specify. </v>
      </c>
      <c r="F27" s="3"/>
      <c r="I27" s="3"/>
      <c r="J27" s="3"/>
      <c r="K27" s="3"/>
      <c r="L27" s="3"/>
    </row>
    <row r="28" spans="1:12" x14ac:dyDescent="0.35">
      <c r="A28" s="885"/>
      <c r="B28" s="185" t="str">
        <f>'Door - Step 2'!B42</f>
        <v>Main</v>
      </c>
      <c r="C28" s="185" t="str">
        <f>'Door - Step 2'!C42</f>
        <v>Door Panel</v>
      </c>
      <c r="D28" s="186" t="str">
        <f>'Door - Step 2'!D42</f>
        <v>26 Ga. White - Stucco Embossed Finish</v>
      </c>
      <c r="E28" s="187">
        <f>'Door - Step 2'!E42</f>
        <v>0</v>
      </c>
      <c r="F28" s="3"/>
      <c r="I28" s="3"/>
      <c r="J28" s="3"/>
      <c r="K28" s="3"/>
      <c r="L28" s="3"/>
    </row>
    <row r="29" spans="1:12" x14ac:dyDescent="0.35">
      <c r="A29" s="885"/>
      <c r="B29" s="185" t="str">
        <f>'Door - Step 2'!B43</f>
        <v>Main</v>
      </c>
      <c r="C29" s="185" t="str">
        <f>'Door - Step 2'!C43</f>
        <v>Face Frame</v>
      </c>
      <c r="D29" s="186" t="str">
        <f>'Door - Step 2'!D43</f>
        <v>Aluminium Frame - Standard</v>
      </c>
      <c r="E29" s="187">
        <f>'Door - Step 2'!E43</f>
        <v>0</v>
      </c>
      <c r="F29" s="3"/>
      <c r="I29" s="3"/>
      <c r="J29" s="3"/>
      <c r="K29" s="3"/>
      <c r="L29" s="3"/>
    </row>
    <row r="30" spans="1:12" x14ac:dyDescent="0.35">
      <c r="A30" s="885"/>
      <c r="B30" s="185" t="str">
        <f>'Door - Step 2'!B44</f>
        <v>Option</v>
      </c>
      <c r="C30" s="185" t="str">
        <f>'Door - Step 2'!C44</f>
        <v>Inside Jamb</v>
      </c>
      <c r="D30" s="186" t="str">
        <f>'Door - Step 2'!D44</f>
        <v>Aluminium Frame - Standard</v>
      </c>
      <c r="E30" s="187">
        <f>'Door - Step 2'!E44</f>
        <v>0</v>
      </c>
      <c r="F30" s="3"/>
      <c r="I30" s="3"/>
      <c r="J30" s="3"/>
      <c r="K30" s="3"/>
      <c r="L30" s="3"/>
    </row>
    <row r="31" spans="1:12" x14ac:dyDescent="0.35">
      <c r="A31" s="885"/>
      <c r="B31" s="185" t="str">
        <f>'Door - Step 2'!B45</f>
        <v>Option</v>
      </c>
      <c r="C31" s="185" t="str">
        <f>'Door - Step 2'!C45</f>
        <v>Back Frame</v>
      </c>
      <c r="D31" s="186" t="str">
        <f>'Door - Step 2'!D45</f>
        <v>Aluminium Frame - Standard</v>
      </c>
      <c r="E31" s="187">
        <f>'Door - Step 2'!E45</f>
        <v>0</v>
      </c>
      <c r="F31" s="3"/>
      <c r="I31" s="3"/>
      <c r="J31" s="3"/>
      <c r="K31" s="3"/>
      <c r="L31" s="3"/>
    </row>
    <row r="32" spans="1:12" x14ac:dyDescent="0.35">
      <c r="A32" s="24"/>
      <c r="F32" s="105"/>
      <c r="I32" s="3"/>
      <c r="J32" s="3"/>
      <c r="K32" s="3"/>
      <c r="L32" s="3"/>
    </row>
    <row r="33" spans="1:12" x14ac:dyDescent="0.35">
      <c r="A33" s="24"/>
      <c r="F33" s="3"/>
      <c r="I33" s="3"/>
      <c r="J33" s="3"/>
      <c r="K33" s="3"/>
      <c r="L33" s="3"/>
    </row>
    <row r="34" spans="1:12" x14ac:dyDescent="0.35">
      <c r="A34" s="908" t="s">
        <v>250</v>
      </c>
      <c r="B34" s="192" t="s">
        <v>251</v>
      </c>
      <c r="C34" s="19" t="s">
        <v>85</v>
      </c>
      <c r="D34" s="3"/>
      <c r="E34" s="3"/>
      <c r="F34" s="3"/>
      <c r="I34" s="3"/>
      <c r="J34" s="3"/>
      <c r="K34" s="3"/>
      <c r="L34" s="3"/>
    </row>
    <row r="35" spans="1:12" x14ac:dyDescent="0.35">
      <c r="A35" s="909"/>
      <c r="B35" s="106" t="str">
        <f>+CONCATENATE(C34," - Room Size (sq. ft.)")</f>
        <v>Cooler - Room Size (sq. ft.)</v>
      </c>
      <c r="C35" s="193">
        <f>+'Quotation - Summary Sheet ROOMS'!J15</f>
        <v>222.56</v>
      </c>
      <c r="D35" s="3"/>
      <c r="E35" s="3"/>
      <c r="F35" s="3"/>
      <c r="I35" s="3"/>
      <c r="J35" s="3"/>
      <c r="K35" s="3"/>
      <c r="L35" s="3"/>
    </row>
    <row r="36" spans="1:12" x14ac:dyDescent="0.35">
      <c r="A36" s="909"/>
      <c r="E36" s="3"/>
      <c r="F36" s="3"/>
      <c r="I36" s="3"/>
      <c r="J36" s="3"/>
      <c r="K36" s="3"/>
      <c r="L36" s="3"/>
    </row>
    <row r="37" spans="1:12" x14ac:dyDescent="0.35">
      <c r="A37" s="909"/>
      <c r="B37" s="25"/>
      <c r="C37" s="26"/>
      <c r="D37" s="25"/>
      <c r="E37" s="25"/>
      <c r="F37" s="3"/>
      <c r="I37" s="3"/>
      <c r="J37" s="3"/>
      <c r="K37" s="3"/>
      <c r="L37" s="3"/>
    </row>
    <row r="38" spans="1:12" x14ac:dyDescent="0.35">
      <c r="A38" s="909"/>
      <c r="B38" s="27" t="s">
        <v>23</v>
      </c>
      <c r="C38" s="27" t="s">
        <v>997</v>
      </c>
      <c r="D38" s="27" t="s">
        <v>998</v>
      </c>
      <c r="E38" s="348" t="s">
        <v>252</v>
      </c>
      <c r="F38" s="27" t="s">
        <v>203</v>
      </c>
      <c r="G38" s="27" t="s">
        <v>1025</v>
      </c>
      <c r="I38" s="3"/>
      <c r="J38" s="3"/>
    </row>
    <row r="39" spans="1:12" x14ac:dyDescent="0.35">
      <c r="A39" s="909"/>
      <c r="B39" s="47" t="s">
        <v>253</v>
      </c>
      <c r="C39" s="19" t="str">
        <f>+'Quotation - Summary Sheet ROOMS'!D15</f>
        <v>26 Ga. White - Smooth Finish</v>
      </c>
      <c r="D39" s="19" t="str">
        <f>+'Quotation - Summary Sheet ROOMS'!E15</f>
        <v>26 Ga. White - Smooth Finish</v>
      </c>
      <c r="E39" s="19">
        <f>+'Quotation - Summary Sheet ROOMS'!I15</f>
        <v>3</v>
      </c>
      <c r="F39" s="62">
        <f>+'Calculation Sheet - BOM '!$E$134</f>
        <v>222.56</v>
      </c>
      <c r="G39" s="137">
        <f>_xlfn.IFNA(IF(ISBLANK(C39),0,'Calculation Sheet - BOM '!$G$164),0)</f>
        <v>1538.0451077940861</v>
      </c>
      <c r="I39" s="3"/>
      <c r="J39" s="3"/>
    </row>
    <row r="40" spans="1:12" x14ac:dyDescent="0.35">
      <c r="A40" s="909"/>
      <c r="B40" s="21" t="str">
        <f>+'Quotation - Summary Sheet ROOMS'!C20</f>
        <v>Standard Ceiling</v>
      </c>
      <c r="C40" s="19" t="str">
        <f>+'Quotation - Summary Sheet ROOMS'!$D$20</f>
        <v>26 Ga. White - Smooth Finish</v>
      </c>
      <c r="D40" s="19" t="str">
        <f>+'Quotation - Summary Sheet ROOMS'!$E$20</f>
        <v>26 Ga. White - Smooth Finish</v>
      </c>
      <c r="E40" s="19">
        <f>+'Quotation - Summary Sheet ROOMS'!I20</f>
        <v>3</v>
      </c>
      <c r="F40" s="332">
        <f>+'Calculation Sheet - BOM '!$E$135</f>
        <v>78.375</v>
      </c>
      <c r="G40" s="137">
        <f>_xlfn.IFNA(IF(ISBLANK(C40),"",'Calculation Sheet - BOM '!$G$178),0)</f>
        <v>554.06797053990613</v>
      </c>
      <c r="I40" s="3"/>
      <c r="J40" s="3"/>
    </row>
    <row r="41" spans="1:12" x14ac:dyDescent="0.35">
      <c r="A41" s="910"/>
      <c r="B41" s="21" t="str">
        <f>+'Quotation - Summary Sheet ROOMS'!C21</f>
        <v xml:space="preserve">Standard Floor </v>
      </c>
      <c r="C41" s="19" t="str">
        <f>+'Quotation - Summary Sheet ROOMS'!$D$21</f>
        <v>18 Ga. Galvanised</v>
      </c>
      <c r="D41" s="19" t="str">
        <f>+'Quotation - Summary Sheet ROOMS'!$E$21</f>
        <v>18 Ga. Galvanised</v>
      </c>
      <c r="E41" s="19">
        <f>+'Quotation - Summary Sheet ROOMS'!I21</f>
        <v>0</v>
      </c>
      <c r="F41" s="62">
        <f>+'Calculation Sheet - BOM '!$E$136</f>
        <v>0</v>
      </c>
      <c r="G41" s="137" t="e">
        <f>IF(ISNONTEXT(C41),"",'Calculation Sheet - BOM '!$G$193)</f>
        <v>#N/A</v>
      </c>
      <c r="I41" s="3"/>
      <c r="J41" s="3"/>
    </row>
    <row r="42" spans="1:12" ht="6.65" customHeight="1" x14ac:dyDescent="0.35">
      <c r="A42" s="3"/>
      <c r="B42" s="3"/>
      <c r="C42" s="3"/>
      <c r="D42" s="3"/>
      <c r="E42" s="3"/>
      <c r="F42" s="3"/>
      <c r="I42" s="3"/>
    </row>
    <row r="43" spans="1:12" x14ac:dyDescent="0.35">
      <c r="A43" s="4"/>
      <c r="C43" s="4"/>
      <c r="F43" s="3"/>
    </row>
    <row r="44" spans="1:12" x14ac:dyDescent="0.35">
      <c r="A44" s="905" t="s">
        <v>145</v>
      </c>
      <c r="B44" s="905"/>
      <c r="C44" s="906" t="s">
        <v>73</v>
      </c>
      <c r="D44" s="907"/>
      <c r="E44" s="27" t="s">
        <v>141</v>
      </c>
      <c r="F44" s="27" t="s">
        <v>1025</v>
      </c>
      <c r="I44" s="3"/>
      <c r="J44" s="3"/>
      <c r="K44" s="3"/>
      <c r="L44" s="3"/>
    </row>
    <row r="45" spans="1:12" x14ac:dyDescent="0.35">
      <c r="A45" s="905"/>
      <c r="B45" s="905"/>
      <c r="C45" s="56" t="str">
        <f>+'Quotation - Summary Sheet ROOMS'!B23</f>
        <v>LED Lights</v>
      </c>
      <c r="D45" s="28" t="str">
        <f>+'Quotation - Summary Sheet ROOMS'!C23</f>
        <v>Room LED lights - 48"</v>
      </c>
      <c r="E45" s="29">
        <f>+'Quotation - Summary Sheet ROOMS'!E23</f>
        <v>1</v>
      </c>
      <c r="F45" s="137">
        <f>+'Quotation - Summary Sheet ROOMS'!F23</f>
        <v>144.44444444444443</v>
      </c>
      <c r="I45" s="3"/>
      <c r="J45" s="3"/>
      <c r="K45" s="3"/>
      <c r="L45" s="3"/>
    </row>
    <row r="46" spans="1:12" x14ac:dyDescent="0.35">
      <c r="A46" s="905"/>
      <c r="B46" s="905"/>
      <c r="C46" s="56" t="str">
        <f>+'Quotation - Summary Sheet ROOMS'!B24</f>
        <v>Trims per ft.</v>
      </c>
      <c r="D46" s="28" t="str">
        <f>+'Quotation - Summary Sheet ROOMS'!C24</f>
        <v>Exterior Trim - 2" X 5" (26 GA white smooth)</v>
      </c>
      <c r="E46" s="29">
        <f>+'Quotation - Summary Sheet ROOMS'!E24</f>
        <v>32</v>
      </c>
      <c r="F46" s="137">
        <f>+'Quotation - Summary Sheet ROOMS'!F24</f>
        <v>337.76298126641592</v>
      </c>
      <c r="I46" s="3"/>
      <c r="J46" s="3"/>
      <c r="K46" s="3"/>
      <c r="L46" s="3"/>
    </row>
    <row r="47" spans="1:12" x14ac:dyDescent="0.35">
      <c r="A47" s="905"/>
      <c r="B47" s="905"/>
      <c r="C47" s="56" t="str">
        <f>+'Quotation - Summary Sheet ROOMS'!B25</f>
        <v>Cut-Outs per unit</v>
      </c>
      <c r="D47" s="28" t="str">
        <f>+'Quotation - Summary Sheet ROOMS'!C25</f>
        <v xml:space="preserve">Cut-outs </v>
      </c>
      <c r="E47" s="29">
        <f>+'Quotation - Summary Sheet ROOMS'!E25</f>
        <v>1</v>
      </c>
      <c r="F47" s="137">
        <f>+'Quotation - Summary Sheet ROOMS'!F25</f>
        <v>148.14814814814815</v>
      </c>
    </row>
    <row r="48" spans="1:12" x14ac:dyDescent="0.35">
      <c r="A48" s="905"/>
      <c r="B48" s="905"/>
      <c r="C48" s="56" t="str">
        <f>+'Quotation - Summary Sheet ROOMS'!B26</f>
        <v xml:space="preserve">Ramp per inch. </v>
      </c>
      <c r="D48" s="28" t="str">
        <f>+'Quotation - Summary Sheet ROOMS'!C26</f>
        <v xml:space="preserve">Ramp </v>
      </c>
      <c r="E48" s="29">
        <f>+'Quotation - Summary Sheet ROOMS'!E26</f>
        <v>116</v>
      </c>
      <c r="F48" s="137">
        <f>+'Quotation - Summary Sheet ROOMS'!F26</f>
        <v>715.72</v>
      </c>
    </row>
    <row r="49" spans="1:9" x14ac:dyDescent="0.35">
      <c r="A49" s="905"/>
      <c r="B49" s="905"/>
      <c r="C49" s="56" t="str">
        <f>+'Quotation - Summary Sheet ROOMS'!B27</f>
        <v xml:space="preserve">U-Channel per ft. </v>
      </c>
      <c r="D49" s="28" t="str">
        <f>+'Quotation - Summary Sheet ROOMS'!C27</f>
        <v xml:space="preserve">U-Channel - 3" </v>
      </c>
      <c r="E49" s="29">
        <f>+'Quotation - Summary Sheet ROOMS'!E27</f>
        <v>35.5</v>
      </c>
      <c r="F49" s="137">
        <f>+'Quotation - Summary Sheet ROOMS'!F27</f>
        <v>292.875</v>
      </c>
      <c r="I49" s="3"/>
    </row>
    <row r="50" spans="1:9" x14ac:dyDescent="0.35">
      <c r="A50" s="905"/>
      <c r="B50" s="905"/>
      <c r="C50" s="56" t="str">
        <f>+'Quotation - Summary Sheet ROOMS'!G23</f>
        <v xml:space="preserve">Receptacle Box </v>
      </c>
      <c r="D50" s="28">
        <f>+'Quotation - Summary Sheet ROOMS'!H23</f>
        <v>0</v>
      </c>
      <c r="E50" s="29">
        <f>+'Quotation - Summary Sheet ROOMS'!J23</f>
        <v>0</v>
      </c>
      <c r="F50" s="137" t="str">
        <f>+'Quotation - Summary Sheet ROOMS'!K23</f>
        <v/>
      </c>
      <c r="I50" s="3"/>
    </row>
    <row r="51" spans="1:9" x14ac:dyDescent="0.35">
      <c r="A51" s="905"/>
      <c r="B51" s="905"/>
      <c r="C51" s="56" t="str">
        <f>+'Quotation - Summary Sheet ROOMS'!G24</f>
        <v>Junction Box</v>
      </c>
      <c r="D51" s="28">
        <f>+'Quotation - Summary Sheet ROOMS'!H24</f>
        <v>0</v>
      </c>
      <c r="E51" s="29">
        <f>+'Quotation - Summary Sheet ROOMS'!J24</f>
        <v>0</v>
      </c>
      <c r="F51" s="137" t="str">
        <f>+'Quotation - Summary Sheet ROOMS'!K24</f>
        <v/>
      </c>
      <c r="I51" s="3"/>
    </row>
    <row r="52" spans="1:9" x14ac:dyDescent="0.35">
      <c r="A52" s="905"/>
      <c r="B52" s="905"/>
      <c r="C52" s="56" t="str">
        <f>+'Quotation - Summary Sheet ROOMS'!G25</f>
        <v>Switch</v>
      </c>
      <c r="D52" s="28">
        <f>+'Quotation - Summary Sheet ROOMS'!H25</f>
        <v>0</v>
      </c>
      <c r="E52" s="29">
        <f>+'Quotation - Summary Sheet ROOMS'!J25</f>
        <v>0</v>
      </c>
      <c r="F52" s="137" t="str">
        <f>+'Quotation - Summary Sheet ROOMS'!K25</f>
        <v/>
      </c>
      <c r="I52" s="3"/>
    </row>
    <row r="53" spans="1:9" x14ac:dyDescent="0.35">
      <c r="A53" s="905"/>
      <c r="B53" s="905"/>
      <c r="C53" s="56" t="str">
        <f>+'Quotation - Summary Sheet ROOMS'!G26</f>
        <v>Cover</v>
      </c>
      <c r="D53" s="28">
        <f>+'Quotation - Summary Sheet ROOMS'!H26</f>
        <v>0</v>
      </c>
      <c r="E53" s="29">
        <f>+'Quotation - Summary Sheet ROOMS'!J26</f>
        <v>0</v>
      </c>
      <c r="F53" s="137" t="str">
        <f>+'Quotation - Summary Sheet ROOMS'!K26</f>
        <v/>
      </c>
      <c r="I53" s="3"/>
    </row>
    <row r="54" spans="1:9" x14ac:dyDescent="0.35">
      <c r="A54" s="905"/>
      <c r="B54" s="905"/>
      <c r="C54" s="56" t="s">
        <v>170</v>
      </c>
      <c r="D54" s="28">
        <f>+'Quotation - Summary Sheet ROOMS'!H27</f>
        <v>0</v>
      </c>
      <c r="E54" s="29">
        <f>+'Quotation - Summary Sheet ROOMS'!J27</f>
        <v>0</v>
      </c>
      <c r="F54" s="137" t="str">
        <f>+'Quotation - Summary Sheet ROOMS'!K27</f>
        <v/>
      </c>
      <c r="I54" s="3"/>
    </row>
    <row r="55" spans="1:9" x14ac:dyDescent="0.35">
      <c r="A55" s="905"/>
      <c r="B55" s="905"/>
      <c r="C55" s="345" t="s">
        <v>228</v>
      </c>
      <c r="D55" s="273" t="s">
        <v>42</v>
      </c>
      <c r="E55" s="272" t="s">
        <v>1026</v>
      </c>
      <c r="F55" s="576" t="s">
        <v>265</v>
      </c>
      <c r="I55" s="3"/>
    </row>
    <row r="56" spans="1:9" x14ac:dyDescent="0.35">
      <c r="A56" s="905"/>
      <c r="B56" s="905"/>
      <c r="C56" s="350" t="str">
        <f>+'Quotation - Summary Sheet ROOMS'!$B29</f>
        <v xml:space="preserve">Glass Doors </v>
      </c>
      <c r="D56" s="28">
        <f>+'Quotation - Summary Sheet ROOMS'!C29</f>
        <v>0</v>
      </c>
      <c r="E56" s="29">
        <f>+'Quotation - Summary Sheet ROOMS'!D29</f>
        <v>0</v>
      </c>
      <c r="F56" s="137">
        <f>+'Quotation - Summary Sheet ROOMS'!F29</f>
        <v>0</v>
      </c>
      <c r="I56" s="3"/>
    </row>
    <row r="57" spans="1:9" x14ac:dyDescent="0.35">
      <c r="A57" s="905"/>
      <c r="B57" s="905"/>
      <c r="C57" s="350" t="str">
        <f>+'Quotation - Summary Sheet ROOMS'!$B30</f>
        <v xml:space="preserve">Roof Membrane </v>
      </c>
      <c r="D57" s="28">
        <f>+'Quotation - Summary Sheet ROOMS'!C30</f>
        <v>0</v>
      </c>
      <c r="E57" s="29">
        <f>+'Quotation - Summary Sheet ROOMS'!D30</f>
        <v>0</v>
      </c>
      <c r="F57" s="137">
        <f>+'Quotation - Summary Sheet ROOMS'!F30</f>
        <v>0</v>
      </c>
      <c r="I57" s="3"/>
    </row>
    <row r="58" spans="1:9" x14ac:dyDescent="0.35">
      <c r="A58" s="905"/>
      <c r="B58" s="905"/>
      <c r="C58" s="350" t="str">
        <f>+'Quotation - Summary Sheet ROOMS'!$B31</f>
        <v xml:space="preserve">Refrigation </v>
      </c>
      <c r="D58" s="28">
        <f>+'Quotation - Summary Sheet ROOMS'!C31</f>
        <v>0</v>
      </c>
      <c r="E58" s="29">
        <f>+'Quotation - Summary Sheet ROOMS'!D31</f>
        <v>0</v>
      </c>
      <c r="F58" s="137">
        <f>+'Quotation - Summary Sheet ROOMS'!F31</f>
        <v>0</v>
      </c>
      <c r="I58" s="3"/>
    </row>
    <row r="59" spans="1:9" x14ac:dyDescent="0.35">
      <c r="A59" s="905"/>
      <c r="B59" s="905"/>
      <c r="C59" s="573" t="s">
        <v>73</v>
      </c>
      <c r="D59" s="289" t="s">
        <v>1024</v>
      </c>
      <c r="E59" s="289" t="s">
        <v>141</v>
      </c>
      <c r="F59" s="576" t="s">
        <v>46</v>
      </c>
      <c r="G59" s="4"/>
      <c r="I59" s="3"/>
    </row>
    <row r="60" spans="1:9" x14ac:dyDescent="0.35">
      <c r="A60" s="905"/>
      <c r="B60" s="905"/>
      <c r="C60" s="350" t="str">
        <f>+'Quotation - Summary Sheet ROOMS'!$G29</f>
        <v xml:space="preserve">Drafting </v>
      </c>
      <c r="D60" s="121">
        <f>+'Quotation - Summary Sheet ROOMS'!I29</f>
        <v>200</v>
      </c>
      <c r="E60" s="29">
        <f>+'Quotation - Summary Sheet ROOMS'!J29</f>
        <v>1</v>
      </c>
      <c r="F60" s="137">
        <f>+'Quotation - Summary Sheet ROOMS'!K29</f>
        <v>200</v>
      </c>
      <c r="I60" s="3"/>
    </row>
    <row r="61" spans="1:9" x14ac:dyDescent="0.35">
      <c r="A61" s="905"/>
      <c r="B61" s="905"/>
      <c r="C61" s="350" t="str">
        <f>+'Quotation - Summary Sheet ROOMS'!$G30</f>
        <v xml:space="preserve">Crating </v>
      </c>
      <c r="D61" s="121">
        <f>+'Quotation - Summary Sheet ROOMS'!I30</f>
        <v>250</v>
      </c>
      <c r="E61" s="29">
        <f>+'Quotation - Summary Sheet ROOMS'!J30</f>
        <v>4</v>
      </c>
      <c r="F61" s="137">
        <f>+'Quotation - Summary Sheet ROOMS'!K30</f>
        <v>1000</v>
      </c>
      <c r="I61" s="3"/>
    </row>
    <row r="62" spans="1:9" x14ac:dyDescent="0.35">
      <c r="A62" s="905"/>
      <c r="B62" s="905"/>
      <c r="C62" s="350" t="s">
        <v>1061</v>
      </c>
      <c r="D62" s="121"/>
      <c r="E62" s="29"/>
      <c r="F62" s="137">
        <v>1000</v>
      </c>
      <c r="I62" s="3"/>
    </row>
    <row r="63" spans="1:9" x14ac:dyDescent="0.35">
      <c r="A63" s="905"/>
      <c r="B63" s="905"/>
      <c r="C63" s="350" t="str">
        <f>+'Quotation - Summary Sheet ROOMS'!$G31</f>
        <v xml:space="preserve">Doors </v>
      </c>
      <c r="D63" s="121">
        <f>+'Quotation - Summary Sheet ROOMS'!I31</f>
        <v>0</v>
      </c>
      <c r="E63" s="29">
        <f>+'Quotation - Summary Sheet ROOMS'!J31</f>
        <v>1</v>
      </c>
      <c r="F63" s="137">
        <f>+'Quotation - Summary Sheet ROOMS'!K31</f>
        <v>0</v>
      </c>
      <c r="I63" s="3"/>
    </row>
    <row r="64" spans="1:9" ht="6" customHeight="1" x14ac:dyDescent="0.35">
      <c r="I64" s="3"/>
    </row>
    <row r="65" spans="1:9" x14ac:dyDescent="0.35">
      <c r="B65" s="887"/>
      <c r="C65" s="887"/>
      <c r="D65" s="887"/>
      <c r="E65" s="887"/>
      <c r="F65" s="104" t="s">
        <v>124</v>
      </c>
      <c r="G65" s="104" t="s">
        <v>45</v>
      </c>
      <c r="H65" s="104" t="s">
        <v>46</v>
      </c>
      <c r="I65" s="3"/>
    </row>
    <row r="66" spans="1:9" x14ac:dyDescent="0.35">
      <c r="B66" s="921" t="s">
        <v>254</v>
      </c>
      <c r="C66" s="921"/>
      <c r="D66" s="921"/>
      <c r="E66" s="921"/>
      <c r="F66" s="197" t="e">
        <f>+SUM(G39:G41)+SUM(F45:F54)</f>
        <v>#N/A</v>
      </c>
      <c r="G66" s="199">
        <v>0.6</v>
      </c>
      <c r="H66" s="197" t="e">
        <f>IF(ISBLANK(G66),"",(F66*(G66+1))+SUM(F56:F63))</f>
        <v>#N/A</v>
      </c>
    </row>
    <row r="67" spans="1:9" ht="31" customHeight="1" x14ac:dyDescent="0.35"/>
    <row r="68" spans="1:9" x14ac:dyDescent="0.35">
      <c r="A68" s="878" t="s">
        <v>255</v>
      </c>
      <c r="B68" s="191" t="s">
        <v>210</v>
      </c>
      <c r="C68" s="46" t="s">
        <v>256</v>
      </c>
      <c r="D68" s="3"/>
      <c r="E68" s="3"/>
      <c r="F68" s="3"/>
    </row>
    <row r="69" spans="1:9" x14ac:dyDescent="0.35">
      <c r="A69" s="879"/>
      <c r="B69" s="106" t="str">
        <f>+CONCATENATE(C68," - Room Size (sq. ft.)")</f>
        <v>COMBO - Room Size (sq. ft.)</v>
      </c>
      <c r="C69" s="193">
        <f>+'Quotation - Summary Sheet ROOMS'!J39+'Quotation - Summary Sheet ROOMS'!J43</f>
        <v>624</v>
      </c>
      <c r="D69" s="3"/>
      <c r="E69" s="3"/>
      <c r="F69" s="3"/>
    </row>
    <row r="70" spans="1:9" x14ac:dyDescent="0.35">
      <c r="A70" s="879"/>
      <c r="F70" s="3"/>
    </row>
    <row r="71" spans="1:9" x14ac:dyDescent="0.35">
      <c r="A71" s="879"/>
      <c r="B71" s="27" t="s">
        <v>23</v>
      </c>
      <c r="C71" s="27" t="s">
        <v>997</v>
      </c>
      <c r="D71" s="27" t="s">
        <v>998</v>
      </c>
      <c r="E71" s="348" t="s">
        <v>252</v>
      </c>
      <c r="F71" s="27" t="s">
        <v>203</v>
      </c>
      <c r="G71" s="27" t="s">
        <v>46</v>
      </c>
      <c r="I71" s="3"/>
    </row>
    <row r="72" spans="1:9" x14ac:dyDescent="0.35">
      <c r="A72" s="879"/>
      <c r="B72" s="21" t="str">
        <f>+IF('Quotation - Summary Sheet ROOMS'!B39='Calculation Sheet - BOM '!N114,"Wall - Freezer",IF('Quotation - Summary Sheet ROOMS'!B39='Calculation Sheet - BOM '!N115,"Wall - Cooler","Selection Required"))</f>
        <v>Wall - Freezer</v>
      </c>
      <c r="C72" s="19" t="str">
        <f>+'Quotation - Summary Sheet ROOMS'!D39</f>
        <v>26 Ga. White - Stucco Embossed Finish</v>
      </c>
      <c r="D72" s="19" t="str">
        <f>+'Quotation - Summary Sheet ROOMS'!E39</f>
        <v>26 Ga. White - Stucco Embossed Finish</v>
      </c>
      <c r="E72" s="19">
        <f>+'Quotation - Summary Sheet ROOMS'!$I$39</f>
        <v>4</v>
      </c>
      <c r="F72" s="62">
        <f>+'Quotation - Summary Sheet ROOMS'!J39</f>
        <v>352</v>
      </c>
      <c r="G72" s="137">
        <f>IF(ISBLANK(C72),"",'Calculation Sheet - BOM '!$P$164)</f>
        <v>2781.2924234244229</v>
      </c>
      <c r="I72" s="3"/>
    </row>
    <row r="73" spans="1:9" x14ac:dyDescent="0.35">
      <c r="A73" s="879"/>
      <c r="B73" s="21" t="str">
        <f>+IF('Quotation - Summary Sheet ROOMS'!B43='Calculation Sheet - BOM '!N116,"Wall - Freezer",IF('Quotation - Summary Sheet ROOMS'!B43='Calculation Sheet - BOM '!N118,"Wall - Cooler","Selection Required"))</f>
        <v>Wall - Cooler</v>
      </c>
      <c r="C73" s="19" t="str">
        <f>+'Quotation - Summary Sheet ROOMS'!D43</f>
        <v>26 Ga. White - Stucco Embossed Finish</v>
      </c>
      <c r="D73" s="19" t="str">
        <f>+'Quotation - Summary Sheet ROOMS'!E43</f>
        <v>26 Ga. White - Stucco Embossed Finish</v>
      </c>
      <c r="E73" s="19">
        <f>+'Quotation - Summary Sheet ROOMS'!$I$43</f>
        <v>4</v>
      </c>
      <c r="F73" s="62">
        <f>+'Quotation - Summary Sheet ROOMS'!J43</f>
        <v>272</v>
      </c>
      <c r="G73" s="137">
        <f>IF(ISBLANK(C73),"",'Calculation Sheet - BOM '!$V$164)</f>
        <v>2150.5495999188715</v>
      </c>
      <c r="I73" s="3"/>
    </row>
    <row r="74" spans="1:9" x14ac:dyDescent="0.35">
      <c r="A74" s="879"/>
      <c r="B74" s="21" t="str">
        <f>+'Quotation - Summary Sheet ROOMS'!C47</f>
        <v>Standard Ceiling</v>
      </c>
      <c r="C74" s="19" t="str">
        <f>+'Quotation - Summary Sheet ROOMS'!D47</f>
        <v>26 Ga. White - Stucco Embossed Finish</v>
      </c>
      <c r="D74" s="19" t="str">
        <f>+'Quotation - Summary Sheet ROOMS'!E47</f>
        <v>26 Ga. White - Stucco Embossed Finish</v>
      </c>
      <c r="E74" s="19">
        <f>+'Quotation - Summary Sheet ROOMS'!$I$47</f>
        <v>4</v>
      </c>
      <c r="F74" s="349">
        <f>+'Quotation - Summary Sheet ROOMS'!J47</f>
        <v>240</v>
      </c>
      <c r="G74" s="137">
        <f>_xlfn.IFNA(IF(ISBLANK(C74),"",'Calculation Sheet - BOM '!$P$178),0)</f>
        <v>1932.3884705166515</v>
      </c>
      <c r="I74" s="3"/>
    </row>
    <row r="75" spans="1:9" x14ac:dyDescent="0.35">
      <c r="A75" s="880"/>
      <c r="B75" s="21" t="str">
        <f>+'Quotation - Summary Sheet ROOMS'!C48</f>
        <v>Reinforced Floor - Plastic</v>
      </c>
      <c r="C75" s="19" t="str">
        <f>+'Quotation - Summary Sheet ROOMS'!D48</f>
        <v>18 Ga. Galvanised</v>
      </c>
      <c r="D75" s="19" t="str">
        <f>+'Quotation - Summary Sheet ROOMS'!E48</f>
        <v>18 Ga. Galvanised</v>
      </c>
      <c r="E75" s="19">
        <f>+'Quotation - Summary Sheet ROOMS'!$I$48</f>
        <v>4</v>
      </c>
      <c r="F75" s="349">
        <f>+'Quotation - Summary Sheet ROOMS'!J48</f>
        <v>240</v>
      </c>
      <c r="G75" s="137" t="e">
        <f>IF(ISBLANK(C75),"",'Calculation Sheet - BOM '!$P$193)</f>
        <v>#N/A</v>
      </c>
      <c r="I75" s="3"/>
    </row>
    <row r="77" spans="1:9" x14ac:dyDescent="0.35">
      <c r="A77" s="905" t="s">
        <v>145</v>
      </c>
      <c r="B77" s="905"/>
      <c r="C77" s="906" t="s">
        <v>73</v>
      </c>
      <c r="D77" s="907"/>
      <c r="E77" s="27" t="s">
        <v>141</v>
      </c>
      <c r="F77" s="27" t="s">
        <v>46</v>
      </c>
    </row>
    <row r="78" spans="1:9" x14ac:dyDescent="0.35">
      <c r="A78" s="905"/>
      <c r="B78" s="905"/>
      <c r="C78" s="56" t="str">
        <f>+'Quotation - Summary Sheet ROOMS'!B50</f>
        <v>LED Lights</v>
      </c>
      <c r="D78" s="56" t="str">
        <f>+'Quotation - Summary Sheet ROOMS'!C50</f>
        <v>Room LED lights - 48"</v>
      </c>
      <c r="E78" s="29">
        <f>+'Quotation - Summary Sheet ROOMS'!E50</f>
        <v>1</v>
      </c>
      <c r="F78" s="137">
        <f>+'Quotation - Summary Sheet ROOMS'!F50</f>
        <v>144.44444444444443</v>
      </c>
    </row>
    <row r="79" spans="1:9" x14ac:dyDescent="0.35">
      <c r="A79" s="905"/>
      <c r="B79" s="905"/>
      <c r="C79" s="56" t="str">
        <f>+'Quotation - Summary Sheet ROOMS'!B51</f>
        <v>Trims per ft.</v>
      </c>
      <c r="D79" s="56" t="str">
        <f>+'Quotation - Summary Sheet ROOMS'!C51</f>
        <v>Exterior Trim - 2" X 2" (26 GA white stucco)</v>
      </c>
      <c r="E79" s="29">
        <f>+'Quotation - Summary Sheet ROOMS'!E51</f>
        <v>45</v>
      </c>
      <c r="F79" s="137">
        <f>+'Quotation - Summary Sheet ROOMS'!F51</f>
        <v>470.95589325426243</v>
      </c>
    </row>
    <row r="80" spans="1:9" x14ac:dyDescent="0.35">
      <c r="A80" s="905"/>
      <c r="B80" s="905"/>
      <c r="C80" s="56" t="str">
        <f>+'Quotation - Summary Sheet ROOMS'!B52</f>
        <v>Cut-Outs per unit</v>
      </c>
      <c r="D80" s="56" t="str">
        <f>+'Quotation - Summary Sheet ROOMS'!C52</f>
        <v xml:space="preserve">Cut-outs </v>
      </c>
      <c r="E80" s="29">
        <f>+'Quotation - Summary Sheet ROOMS'!E52</f>
        <v>2</v>
      </c>
      <c r="F80" s="137">
        <f>+'Quotation - Summary Sheet ROOMS'!F52</f>
        <v>296.2962962962963</v>
      </c>
      <c r="G80" s="4"/>
    </row>
    <row r="81" spans="1:7" x14ac:dyDescent="0.35">
      <c r="A81" s="905"/>
      <c r="B81" s="905"/>
      <c r="C81" s="56" t="str">
        <f>+'Quotation - Summary Sheet ROOMS'!B53</f>
        <v xml:space="preserve">Ramp per inch. </v>
      </c>
      <c r="D81" s="56" t="str">
        <f>+'Quotation - Summary Sheet ROOMS'!C53</f>
        <v xml:space="preserve">Ramp </v>
      </c>
      <c r="E81" s="29">
        <f>+'Quotation - Summary Sheet ROOMS'!E53</f>
        <v>45</v>
      </c>
      <c r="F81" s="137">
        <f>+'Quotation - Summary Sheet ROOMS'!F53</f>
        <v>277.64999999999998</v>
      </c>
      <c r="G81" s="4"/>
    </row>
    <row r="82" spans="1:7" x14ac:dyDescent="0.35">
      <c r="A82" s="905"/>
      <c r="B82" s="905"/>
      <c r="C82" s="56" t="str">
        <f>+'Quotation - Summary Sheet ROOMS'!B54</f>
        <v xml:space="preserve">U-Channel per ft. </v>
      </c>
      <c r="D82" s="56" t="str">
        <f>+'Quotation - Summary Sheet ROOMS'!C54</f>
        <v xml:space="preserve">U-Channel - 3" </v>
      </c>
      <c r="E82" s="29">
        <f>+'Quotation - Summary Sheet ROOMS'!E54</f>
        <v>4</v>
      </c>
      <c r="F82" s="137">
        <f>+'Quotation - Summary Sheet ROOMS'!F54</f>
        <v>33</v>
      </c>
      <c r="G82" s="4"/>
    </row>
    <row r="83" spans="1:7" x14ac:dyDescent="0.35">
      <c r="A83" s="905"/>
      <c r="B83" s="905"/>
      <c r="C83" s="56" t="str">
        <f>+'Quotation - Summary Sheet ROOMS'!G50</f>
        <v xml:space="preserve">Receptacle Box </v>
      </c>
      <c r="D83" s="56" t="str">
        <f>+'Quotation - Summary Sheet ROOMS'!H50</f>
        <v xml:space="preserve">Receptacle Box </v>
      </c>
      <c r="E83" s="56">
        <f>+'Quotation - Summary Sheet ROOMS'!I50</f>
        <v>0</v>
      </c>
      <c r="F83" s="137">
        <f>+'Quotation - Summary Sheet ROOMS'!K50</f>
        <v>19.203333333333333</v>
      </c>
      <c r="G83" s="4"/>
    </row>
    <row r="84" spans="1:7" x14ac:dyDescent="0.35">
      <c r="A84" s="905"/>
      <c r="B84" s="905"/>
      <c r="C84" s="56" t="str">
        <f>+'Quotation - Summary Sheet ROOMS'!G51</f>
        <v>Junction Box</v>
      </c>
      <c r="D84" s="56" t="str">
        <f>+'Quotation - Summary Sheet ROOMS'!H51</f>
        <v xml:space="preserve">Metal - Octagon (Hexagon) Box 4" x 4" x 1-1/2" </v>
      </c>
      <c r="E84" s="56">
        <f>+'Quotation - Summary Sheet ROOMS'!I51</f>
        <v>0</v>
      </c>
      <c r="F84" s="137">
        <f>+'Quotation - Summary Sheet ROOMS'!K51</f>
        <v>19.603333333333332</v>
      </c>
      <c r="G84" s="4"/>
    </row>
    <row r="85" spans="1:7" x14ac:dyDescent="0.35">
      <c r="A85" s="905"/>
      <c r="B85" s="905"/>
      <c r="C85" s="56" t="str">
        <f>+'Quotation - Summary Sheet ROOMS'!G52</f>
        <v>Switch</v>
      </c>
      <c r="D85" s="56" t="str">
        <f>+'Quotation - Summary Sheet ROOMS'!H52</f>
        <v>3 Way Pole Pilot Light Switch</v>
      </c>
      <c r="E85" s="56">
        <f>+'Quotation - Summary Sheet ROOMS'!I52</f>
        <v>0</v>
      </c>
      <c r="F85" s="137">
        <f>+'Quotation - Summary Sheet ROOMS'!K52</f>
        <v>72.05</v>
      </c>
    </row>
    <row r="86" spans="1:7" x14ac:dyDescent="0.35">
      <c r="A86" s="905"/>
      <c r="B86" s="905"/>
      <c r="C86" s="56" t="str">
        <f>+'Quotation - Summary Sheet ROOMS'!G53</f>
        <v>Cover</v>
      </c>
      <c r="D86" s="56" t="str">
        <f>+'Quotation - Summary Sheet ROOMS'!H53</f>
        <v>SS Plain Cover</v>
      </c>
      <c r="E86" s="56">
        <f>+'Quotation - Summary Sheet ROOMS'!I53</f>
        <v>0</v>
      </c>
      <c r="F86" s="137">
        <f>+'Quotation - Summary Sheet ROOMS'!K53</f>
        <v>6.2633333333333328</v>
      </c>
    </row>
    <row r="87" spans="1:7" x14ac:dyDescent="0.35">
      <c r="A87" s="905"/>
      <c r="B87" s="905"/>
      <c r="C87" s="56" t="str">
        <f>+'Quotation - Summary Sheet ROOMS'!G54</f>
        <v>Silicon</v>
      </c>
      <c r="D87" s="56" t="str">
        <f>+'Quotation - Summary Sheet ROOMS'!H54</f>
        <v xml:space="preserve">White </v>
      </c>
      <c r="E87" s="56">
        <f>+'Quotation - Summary Sheet ROOMS'!I54</f>
        <v>0</v>
      </c>
      <c r="F87" s="137">
        <f>+'Quotation - Summary Sheet ROOMS'!K54</f>
        <v>7.01</v>
      </c>
    </row>
    <row r="88" spans="1:7" x14ac:dyDescent="0.35">
      <c r="A88" s="905"/>
      <c r="B88" s="905"/>
      <c r="C88" s="345" t="s">
        <v>228</v>
      </c>
      <c r="D88" s="273" t="s">
        <v>42</v>
      </c>
      <c r="E88" s="272" t="s">
        <v>1026</v>
      </c>
      <c r="F88" s="576" t="s">
        <v>265</v>
      </c>
    </row>
    <row r="89" spans="1:7" x14ac:dyDescent="0.35">
      <c r="A89" s="905"/>
      <c r="B89" s="905"/>
      <c r="C89" s="350" t="str">
        <f>+'Quotation - Summary Sheet ROOMS'!$B56</f>
        <v xml:space="preserve">Glass Doors </v>
      </c>
      <c r="D89" s="28">
        <f>+'Quotation - Summary Sheet ROOMS'!C56</f>
        <v>0</v>
      </c>
      <c r="E89" s="29">
        <f>+'Quotation - Summary Sheet ROOMS'!D56</f>
        <v>0</v>
      </c>
      <c r="F89" s="137">
        <f>+'Quotation - Summary Sheet ROOMS'!F56</f>
        <v>0</v>
      </c>
    </row>
    <row r="90" spans="1:7" x14ac:dyDescent="0.35">
      <c r="A90" s="905"/>
      <c r="B90" s="905"/>
      <c r="C90" s="350" t="str">
        <f>+'Quotation - Summary Sheet ROOMS'!$B57</f>
        <v xml:space="preserve">Roof Membrane </v>
      </c>
      <c r="D90" s="28">
        <f>+'Quotation - Summary Sheet ROOMS'!C57</f>
        <v>0</v>
      </c>
      <c r="E90" s="29">
        <f>+'Quotation - Summary Sheet ROOMS'!D57</f>
        <v>0</v>
      </c>
      <c r="F90" s="137">
        <f>+'Quotation - Summary Sheet ROOMS'!F57</f>
        <v>0</v>
      </c>
    </row>
    <row r="91" spans="1:7" x14ac:dyDescent="0.35">
      <c r="A91" s="905"/>
      <c r="B91" s="905"/>
      <c r="C91" s="350" t="str">
        <f>+'Quotation - Summary Sheet ROOMS'!$B58</f>
        <v xml:space="preserve">Refrigation </v>
      </c>
      <c r="D91" s="28">
        <f>+'Quotation - Summary Sheet ROOMS'!C58</f>
        <v>0</v>
      </c>
      <c r="E91" s="29">
        <f>+'Quotation - Summary Sheet ROOMS'!D58</f>
        <v>0</v>
      </c>
      <c r="F91" s="137">
        <f>+'Quotation - Summary Sheet ROOMS'!F58</f>
        <v>0</v>
      </c>
    </row>
    <row r="92" spans="1:7" x14ac:dyDescent="0.35">
      <c r="A92" s="905"/>
      <c r="B92" s="905"/>
      <c r="C92" s="573" t="s">
        <v>73</v>
      </c>
      <c r="D92" s="289" t="s">
        <v>1024</v>
      </c>
      <c r="E92" s="289" t="s">
        <v>141</v>
      </c>
      <c r="F92" s="576" t="s">
        <v>46</v>
      </c>
    </row>
    <row r="93" spans="1:7" x14ac:dyDescent="0.35">
      <c r="A93" s="905"/>
      <c r="B93" s="905"/>
      <c r="C93" s="350" t="str">
        <f>+'Quotation - Summary Sheet ROOMS'!$G56</f>
        <v xml:space="preserve">Drafting </v>
      </c>
      <c r="D93" s="28">
        <f>+'Quotation - Summary Sheet ROOMS'!I56</f>
        <v>200</v>
      </c>
      <c r="E93" s="29">
        <f>+'Quotation - Summary Sheet ROOMS'!J56</f>
        <v>1</v>
      </c>
      <c r="F93" s="137">
        <f>+'Quotation - Summary Sheet ROOMS'!K56</f>
        <v>200</v>
      </c>
    </row>
    <row r="94" spans="1:7" x14ac:dyDescent="0.35">
      <c r="A94" s="905"/>
      <c r="B94" s="905"/>
      <c r="C94" s="350" t="str">
        <f>+'Quotation - Summary Sheet ROOMS'!$G57</f>
        <v xml:space="preserve">Crating </v>
      </c>
      <c r="D94" s="28">
        <f>+'Quotation - Summary Sheet ROOMS'!I57</f>
        <v>250</v>
      </c>
      <c r="E94" s="29">
        <f>+'Quotation - Summary Sheet ROOMS'!J57</f>
        <v>1</v>
      </c>
      <c r="F94" s="137">
        <f>+'Quotation - Summary Sheet ROOMS'!K57</f>
        <v>250</v>
      </c>
    </row>
    <row r="95" spans="1:7" x14ac:dyDescent="0.35">
      <c r="A95" s="905"/>
      <c r="B95" s="905"/>
      <c r="C95" s="350" t="str">
        <f>+'Quotation - Summary Sheet ROOMS'!$G58</f>
        <v xml:space="preserve">Additional Items </v>
      </c>
      <c r="D95" s="28">
        <f>+'Quotation - Summary Sheet ROOMS'!I58</f>
        <v>0</v>
      </c>
      <c r="E95" s="29">
        <f>+'Quotation - Summary Sheet ROOMS'!J58</f>
        <v>0</v>
      </c>
      <c r="F95" s="137">
        <f>+'Quotation - Summary Sheet ROOMS'!K58</f>
        <v>0</v>
      </c>
    </row>
    <row r="96" spans="1:7" ht="6" customHeight="1" x14ac:dyDescent="0.35">
      <c r="F96" s="3"/>
    </row>
    <row r="97" spans="1:8" x14ac:dyDescent="0.35">
      <c r="A97" s="4"/>
      <c r="B97" s="887"/>
      <c r="C97" s="887"/>
      <c r="D97" s="887"/>
      <c r="E97" s="887"/>
      <c r="F97" s="104" t="s">
        <v>124</v>
      </c>
      <c r="G97" s="104" t="s">
        <v>45</v>
      </c>
      <c r="H97" s="104" t="s">
        <v>46</v>
      </c>
    </row>
    <row r="98" spans="1:8" x14ac:dyDescent="0.35">
      <c r="A98" s="4"/>
      <c r="B98" s="921" t="s">
        <v>254</v>
      </c>
      <c r="C98" s="921"/>
      <c r="D98" s="921"/>
      <c r="E98" s="921"/>
      <c r="F98" s="197" t="e">
        <f>+SUM(G72:G75)+SUM(F78:F87)</f>
        <v>#N/A</v>
      </c>
      <c r="G98" s="199">
        <v>0.5</v>
      </c>
      <c r="H98" s="197" t="e">
        <f>IF(ISBLANK(G98),"",(F98*(G98+1))+SUM(F89:F95))</f>
        <v>#N/A</v>
      </c>
    </row>
    <row r="99" spans="1:8" x14ac:dyDescent="0.35">
      <c r="A99" s="4"/>
      <c r="C99" s="4"/>
    </row>
    <row r="105" spans="1:8" x14ac:dyDescent="0.35">
      <c r="A105" s="888" t="s">
        <v>257</v>
      </c>
      <c r="B105" s="886" t="s">
        <v>258</v>
      </c>
      <c r="C105" s="886"/>
      <c r="D105" s="886"/>
      <c r="E105" s="886"/>
      <c r="F105" s="197" t="e">
        <f>+F98+F66+F239</f>
        <v>#N/A</v>
      </c>
    </row>
    <row r="106" spans="1:8" x14ac:dyDescent="0.35">
      <c r="A106" s="889"/>
      <c r="B106" s="887"/>
      <c r="C106" s="887"/>
      <c r="D106" s="887"/>
      <c r="E106" s="887"/>
      <c r="F106" s="195" t="s">
        <v>46</v>
      </c>
      <c r="G106" s="196" t="s">
        <v>259</v>
      </c>
    </row>
    <row r="107" spans="1:8" ht="18.5" x14ac:dyDescent="0.45">
      <c r="A107" s="889"/>
      <c r="B107" s="903" t="s">
        <v>260</v>
      </c>
      <c r="C107" s="903"/>
      <c r="D107" s="903"/>
      <c r="E107" s="903"/>
      <c r="F107" s="198"/>
      <c r="G107" s="20"/>
    </row>
    <row r="108" spans="1:8" ht="18.5" x14ac:dyDescent="0.45">
      <c r="A108" s="889"/>
      <c r="B108" s="904" t="s">
        <v>261</v>
      </c>
      <c r="C108" s="904"/>
      <c r="D108" s="904"/>
      <c r="E108" s="904"/>
      <c r="F108" s="197" t="str">
        <f>_xlfn.IFNA(IF(ISBLANK(F107),"",F107-SUM('Calculation Sheet - BOM '!D143+'Calculation Sheet - BOM '!M144+'Calculation Sheet - BOM '!AF144)),"")</f>
        <v/>
      </c>
      <c r="G108" s="19"/>
    </row>
    <row r="109" spans="1:8" ht="18.5" x14ac:dyDescent="0.45">
      <c r="A109" s="890"/>
      <c r="B109" s="891" t="s">
        <v>262</v>
      </c>
      <c r="C109" s="891"/>
      <c r="D109" s="891"/>
      <c r="E109" s="891"/>
      <c r="F109" s="200" t="str">
        <f>IFERROR((F108/F107),"")</f>
        <v/>
      </c>
      <c r="G109" s="19"/>
    </row>
    <row r="185" spans="1:9" x14ac:dyDescent="0.35">
      <c r="B185" s="31" t="s">
        <v>263</v>
      </c>
      <c r="C185" s="32" t="s">
        <v>181</v>
      </c>
      <c r="D185" s="32" t="s">
        <v>182</v>
      </c>
      <c r="E185" s="27" t="s">
        <v>183</v>
      </c>
    </row>
    <row r="186" spans="1:9" x14ac:dyDescent="0.35">
      <c r="B186" s="33"/>
      <c r="C186" s="34" t="s">
        <v>0</v>
      </c>
      <c r="D186" s="35">
        <v>1</v>
      </c>
      <c r="E186" s="30"/>
    </row>
    <row r="187" spans="1:9" x14ac:dyDescent="0.35">
      <c r="B187" s="33"/>
      <c r="C187" s="34" t="s">
        <v>0</v>
      </c>
      <c r="D187" s="35">
        <v>1</v>
      </c>
    </row>
    <row r="190" spans="1:9" x14ac:dyDescent="0.35">
      <c r="A190" s="24"/>
      <c r="B190" s="36" t="s">
        <v>264</v>
      </c>
      <c r="C190" s="37"/>
      <c r="D190" s="36"/>
      <c r="E190" s="38" t="s">
        <v>210</v>
      </c>
      <c r="F190" s="38"/>
      <c r="G190" s="38" t="s">
        <v>265</v>
      </c>
      <c r="H190" s="38" t="s">
        <v>266</v>
      </c>
      <c r="I190" s="39" t="s">
        <v>267</v>
      </c>
    </row>
    <row r="191" spans="1:9" x14ac:dyDescent="0.35">
      <c r="A191" s="881" t="s">
        <v>268</v>
      </c>
      <c r="B191" s="40"/>
      <c r="C191" s="41"/>
      <c r="D191" s="40"/>
      <c r="E191" s="42"/>
      <c r="F191" s="42"/>
      <c r="G191" s="42"/>
      <c r="H191" s="43">
        <v>0.3</v>
      </c>
      <c r="I191" s="44">
        <f>+G191*(1*H191)</f>
        <v>0</v>
      </c>
    </row>
    <row r="192" spans="1:9" x14ac:dyDescent="0.35">
      <c r="A192" s="882"/>
      <c r="B192" s="40"/>
      <c r="C192" s="41"/>
      <c r="D192" s="40"/>
      <c r="E192" s="42"/>
      <c r="F192" s="42"/>
      <c r="G192" s="42"/>
      <c r="H192" s="43"/>
      <c r="I192" s="44">
        <f>+G192*(1*H192)</f>
        <v>0</v>
      </c>
    </row>
    <row r="193" spans="1:9" x14ac:dyDescent="0.35">
      <c r="A193" s="882"/>
      <c r="B193" s="40"/>
      <c r="C193" s="41"/>
      <c r="D193" s="40"/>
      <c r="E193" s="42"/>
      <c r="F193" s="42"/>
      <c r="G193" s="42"/>
      <c r="H193" s="43"/>
      <c r="I193" s="44">
        <f t="shared" ref="I193" si="1">+G193*(1*H193)</f>
        <v>0</v>
      </c>
    </row>
    <row r="194" spans="1:9" x14ac:dyDescent="0.35">
      <c r="A194" s="883"/>
      <c r="B194" s="884" t="s">
        <v>269</v>
      </c>
      <c r="C194" s="884"/>
      <c r="D194" s="884"/>
      <c r="E194" s="884"/>
      <c r="F194" s="884"/>
      <c r="G194" s="884"/>
      <c r="H194" s="884"/>
      <c r="I194" s="45">
        <f>SUM(I191:I193)</f>
        <v>0</v>
      </c>
    </row>
    <row r="215" spans="1:8" x14ac:dyDescent="0.35">
      <c r="A215" s="892" t="s">
        <v>270</v>
      </c>
      <c r="B215" s="321" t="s">
        <v>271</v>
      </c>
      <c r="C215" s="19"/>
      <c r="D215" s="3"/>
      <c r="E215" s="3"/>
    </row>
    <row r="216" spans="1:8" x14ac:dyDescent="0.35">
      <c r="A216" s="893"/>
      <c r="B216" s="106" t="str">
        <f>+CONCATENATE(C215," - Room Size (sq. ft.)")</f>
        <v xml:space="preserve"> - Room Size (sq. ft.)</v>
      </c>
      <c r="C216" s="193">
        <f>+C215</f>
        <v>0</v>
      </c>
      <c r="D216" s="190" t="s">
        <v>272</v>
      </c>
      <c r="E216" s="106" t="s">
        <v>252</v>
      </c>
      <c r="F216" s="19"/>
      <c r="G216" s="876" t="str">
        <f>+IF(C101="Freezer","Size can't be lower than 4 inch","")</f>
        <v/>
      </c>
      <c r="H216" s="877"/>
    </row>
    <row r="217" spans="1:8" x14ac:dyDescent="0.35">
      <c r="A217" s="893"/>
      <c r="B217" s="46" t="s">
        <v>273</v>
      </c>
      <c r="C217" s="19"/>
      <c r="D217" s="19" t="str">
        <f>+IF(ISBLANK(C217),"",(CONCATENATE((INT(C217/12))," - feet &amp; ",(MOD(C217,12))," - inches")))</f>
        <v/>
      </c>
      <c r="E217" s="106" t="s">
        <v>214</v>
      </c>
      <c r="F217" s="19"/>
    </row>
    <row r="218" spans="1:8" x14ac:dyDescent="0.35">
      <c r="A218" s="893"/>
      <c r="B218" s="46" t="s">
        <v>274</v>
      </c>
      <c r="C218" s="19"/>
      <c r="D218" s="19" t="str">
        <f t="shared" ref="D218:D219" si="2">+IF(ISBLANK(C218),"",(CONCATENATE((INT(C218/12))," - feet &amp; ",(MOD(C218,12))," - inches")))</f>
        <v/>
      </c>
      <c r="E218" s="106" t="s">
        <v>39</v>
      </c>
      <c r="F218" s="20"/>
    </row>
    <row r="219" spans="1:8" x14ac:dyDescent="0.35">
      <c r="A219" s="893"/>
      <c r="B219" s="46" t="s">
        <v>275</v>
      </c>
      <c r="C219" s="19"/>
      <c r="D219" s="19" t="str">
        <f t="shared" si="2"/>
        <v/>
      </c>
      <c r="E219" s="3"/>
      <c r="F219" s="3"/>
    </row>
    <row r="220" spans="1:8" x14ac:dyDescent="0.35">
      <c r="A220" s="893"/>
      <c r="F220" s="3"/>
    </row>
    <row r="221" spans="1:8" x14ac:dyDescent="0.35">
      <c r="A221" s="893"/>
      <c r="B221" s="27" t="s">
        <v>23</v>
      </c>
      <c r="C221" s="27"/>
      <c r="D221" s="27" t="s">
        <v>276</v>
      </c>
      <c r="E221" s="27" t="s">
        <v>203</v>
      </c>
      <c r="F221" s="27" t="s">
        <v>46</v>
      </c>
    </row>
    <row r="222" spans="1:8" x14ac:dyDescent="0.35">
      <c r="A222" s="893"/>
      <c r="B222" s="47" t="s">
        <v>253</v>
      </c>
      <c r="C222" s="19"/>
      <c r="D222" s="54"/>
      <c r="E222" s="62">
        <f>+'Calculation Sheet - BOM '!$N$134</f>
        <v>352.02816168969014</v>
      </c>
      <c r="F222" s="137" t="str">
        <f>IF(ISBLANK(C222),"",'Calculation Sheet - BOM '!AI164)</f>
        <v/>
      </c>
    </row>
    <row r="223" spans="1:8" x14ac:dyDescent="0.35">
      <c r="A223" s="893"/>
      <c r="B223" s="21" t="s">
        <v>212</v>
      </c>
      <c r="C223" s="19"/>
      <c r="D223" s="20"/>
      <c r="E223" s="895">
        <f>+'Calculation Sheet - BOM '!$N$136</f>
        <v>240.01920115206141</v>
      </c>
      <c r="F223" s="137" t="str">
        <f>IF(ISBLANK(C223),"",'Calculation Sheet - BOM '!$AI$178)</f>
        <v/>
      </c>
    </row>
    <row r="224" spans="1:8" x14ac:dyDescent="0.35">
      <c r="A224" s="893"/>
      <c r="B224" s="75" t="s">
        <v>277</v>
      </c>
      <c r="C224" s="19"/>
      <c r="D224" s="54"/>
      <c r="E224" s="896"/>
      <c r="F224" s="137" t="str">
        <f>+IF(ISBLANK(C224),"",INDEX('Calculation Sheet - BOM '!$I$147:$I$149,MATCH('Quotation Structure - Room'!$D223,'Calculation Sheet - BOM '!$C$147:$C$149,0)))</f>
        <v/>
      </c>
    </row>
    <row r="225" spans="1:8" x14ac:dyDescent="0.35">
      <c r="A225" s="894"/>
      <c r="B225" s="21" t="s">
        <v>214</v>
      </c>
      <c r="C225" s="19"/>
      <c r="D225" s="20"/>
      <c r="E225" s="62">
        <f>+'Calculation Sheet - BOM '!$N$137</f>
        <v>240.01920115206141</v>
      </c>
      <c r="F225" s="137" t="str">
        <f>IF(ISBLANK(C225),"",'Calculation Sheet - BOM '!$AI$193)</f>
        <v/>
      </c>
    </row>
    <row r="227" spans="1:8" x14ac:dyDescent="0.35">
      <c r="A227" s="905" t="s">
        <v>145</v>
      </c>
      <c r="B227" s="905"/>
      <c r="C227" s="906" t="s">
        <v>73</v>
      </c>
      <c r="D227" s="907"/>
      <c r="E227" s="27" t="s">
        <v>141</v>
      </c>
      <c r="F227" s="27" t="s">
        <v>46</v>
      </c>
    </row>
    <row r="228" spans="1:8" x14ac:dyDescent="0.35">
      <c r="A228" s="905"/>
      <c r="B228" s="905"/>
      <c r="C228" s="56" t="s">
        <v>159</v>
      </c>
      <c r="D228" s="28"/>
      <c r="E228" s="29"/>
      <c r="F228" s="137" t="str">
        <f>IF(ISBLANK(D228),"",IF(ISBLANK(E228),"Please Specify Qty.",'Calculation Sheet - BOM '!$AP213*E228))</f>
        <v/>
      </c>
    </row>
    <row r="229" spans="1:8" x14ac:dyDescent="0.35">
      <c r="A229" s="905"/>
      <c r="B229" s="905"/>
      <c r="C229" s="56" t="s">
        <v>160</v>
      </c>
      <c r="D229" s="28"/>
      <c r="E229" s="29"/>
      <c r="F229" s="137" t="str">
        <f>IF(ISBLANK(D229),"",IF(ISBLANK(E229),"Please Specify Qty.",'Calculation Sheet - BOM '!$AP214*E229))</f>
        <v/>
      </c>
    </row>
    <row r="230" spans="1:8" x14ac:dyDescent="0.35">
      <c r="A230" s="905"/>
      <c r="B230" s="905"/>
      <c r="C230" s="56" t="s">
        <v>161</v>
      </c>
      <c r="D230" s="28"/>
      <c r="E230" s="29"/>
      <c r="F230" s="137" t="str">
        <f>IF(ISBLANK(D230),"",IF(ISBLANK(E230),"Please Specify Qty.",'Calculation Sheet - BOM '!$AP216*E230))</f>
        <v/>
      </c>
      <c r="G230" s="4"/>
    </row>
    <row r="231" spans="1:8" x14ac:dyDescent="0.35">
      <c r="A231" s="905"/>
      <c r="B231" s="905"/>
      <c r="C231" s="56" t="s">
        <v>163</v>
      </c>
      <c r="D231" s="28"/>
      <c r="E231" s="29"/>
      <c r="F231" s="137" t="str">
        <f>IF(ISBLANK(D231),"",IF(ISBLANK(E231),"Please Specify Qty.",'Calculation Sheet - BOM '!$AP217*E231))</f>
        <v/>
      </c>
      <c r="G231" s="4"/>
    </row>
    <row r="232" spans="1:8" x14ac:dyDescent="0.35">
      <c r="A232" s="905"/>
      <c r="B232" s="905"/>
      <c r="C232" s="56" t="s">
        <v>165</v>
      </c>
      <c r="D232" s="28"/>
      <c r="E232" s="29"/>
      <c r="F232" s="137" t="str">
        <f>IF(ISBLANK(D232),"",IF(ISBLANK(E232),"Please Specify Qty.",'Calculation Sheet - BOM '!$AP218*E232))</f>
        <v/>
      </c>
      <c r="G232" s="4"/>
    </row>
    <row r="233" spans="1:8" x14ac:dyDescent="0.35">
      <c r="A233" s="905"/>
      <c r="B233" s="905"/>
      <c r="C233" s="56" t="s">
        <v>166</v>
      </c>
      <c r="D233" s="28"/>
      <c r="E233" s="29"/>
      <c r="F233" s="137" t="str">
        <f>IF(ISBLANK(D233),"",IF(ISBLANK(E233),"Please Specify Qty.",'Calculation Sheet - BOM '!$AP219*E233))</f>
        <v/>
      </c>
      <c r="G233" s="4"/>
    </row>
    <row r="234" spans="1:8" x14ac:dyDescent="0.35">
      <c r="A234" s="905"/>
      <c r="B234" s="905"/>
      <c r="C234" s="56" t="s">
        <v>168</v>
      </c>
      <c r="D234" s="28"/>
      <c r="E234" s="29"/>
      <c r="F234" s="137" t="str">
        <f>IF(ISBLANK(D234),"",IF(ISBLANK(E234),"Please Specify Qty.",'Calculation Sheet - BOM '!$AP220*E234))</f>
        <v/>
      </c>
      <c r="G234" s="4"/>
    </row>
    <row r="235" spans="1:8" x14ac:dyDescent="0.35">
      <c r="A235" s="905"/>
      <c r="B235" s="905"/>
      <c r="C235" s="56" t="s">
        <v>169</v>
      </c>
      <c r="D235" s="28"/>
      <c r="E235" s="29"/>
      <c r="F235" s="137" t="str">
        <f>IF(ISBLANK(D235),"",IF(ISBLANK(E235),"Please Specify Qty.",'Calculation Sheet - BOM '!$AP221*E235))</f>
        <v/>
      </c>
    </row>
    <row r="236" spans="1:8" x14ac:dyDescent="0.35">
      <c r="A236" s="905"/>
      <c r="B236" s="905"/>
      <c r="C236" s="56" t="s">
        <v>170</v>
      </c>
      <c r="D236" s="28"/>
      <c r="E236" s="29"/>
      <c r="F236" s="137" t="str">
        <f>IF(ISBLANK(D236),"",IF(ISBLANK(E236),"Please Specify Qty.",'Calculation Sheet - BOM '!$AP222*E236))</f>
        <v/>
      </c>
    </row>
    <row r="237" spans="1:8" ht="9.65" customHeight="1" x14ac:dyDescent="0.35">
      <c r="F237" s="3"/>
    </row>
    <row r="238" spans="1:8" x14ac:dyDescent="0.35">
      <c r="A238" s="4"/>
      <c r="B238" s="887"/>
      <c r="C238" s="887"/>
      <c r="D238" s="887"/>
      <c r="E238" s="887"/>
      <c r="F238" s="104" t="s">
        <v>124</v>
      </c>
      <c r="G238" s="104" t="s">
        <v>45</v>
      </c>
      <c r="H238" s="104" t="s">
        <v>46</v>
      </c>
    </row>
    <row r="239" spans="1:8" x14ac:dyDescent="0.35">
      <c r="A239" s="4"/>
      <c r="B239" s="921" t="s">
        <v>254</v>
      </c>
      <c r="C239" s="921"/>
      <c r="D239" s="921"/>
      <c r="E239" s="921"/>
      <c r="F239" s="197">
        <f>+SUM(F222:F225)+SUM(F228:F236)</f>
        <v>0</v>
      </c>
      <c r="G239" s="199"/>
      <c r="H239" s="197" t="str">
        <f>IF(ISBLANK(G239),"",(F239*(G239+1)))</f>
        <v/>
      </c>
    </row>
  </sheetData>
  <mergeCells count="36">
    <mergeCell ref="A227:B236"/>
    <mergeCell ref="C227:D227"/>
    <mergeCell ref="B238:E238"/>
    <mergeCell ref="B239:E239"/>
    <mergeCell ref="A15:A24"/>
    <mergeCell ref="F15:G15"/>
    <mergeCell ref="B107:E107"/>
    <mergeCell ref="B108:E108"/>
    <mergeCell ref="A44:B63"/>
    <mergeCell ref="C44:D44"/>
    <mergeCell ref="A77:B95"/>
    <mergeCell ref="C77:D77"/>
    <mergeCell ref="A34:A41"/>
    <mergeCell ref="C15:E15"/>
    <mergeCell ref="B16:E24"/>
    <mergeCell ref="B97:E97"/>
    <mergeCell ref="B98:E98"/>
    <mergeCell ref="B65:E65"/>
    <mergeCell ref="B66:E66"/>
    <mergeCell ref="A2:A11"/>
    <mergeCell ref="P2:Q2"/>
    <mergeCell ref="S2:T2"/>
    <mergeCell ref="B5:C5"/>
    <mergeCell ref="B6:B8"/>
    <mergeCell ref="D6:D8"/>
    <mergeCell ref="G216:H216"/>
    <mergeCell ref="A68:A75"/>
    <mergeCell ref="A191:A194"/>
    <mergeCell ref="B194:H194"/>
    <mergeCell ref="A27:A31"/>
    <mergeCell ref="B105:E105"/>
    <mergeCell ref="B106:E106"/>
    <mergeCell ref="A105:A109"/>
    <mergeCell ref="B109:E109"/>
    <mergeCell ref="A215:A225"/>
    <mergeCell ref="E223:E224"/>
  </mergeCells>
  <conditionalFormatting sqref="H191:H193">
    <cfRule type="expression" dxfId="22" priority="7">
      <formula>AND($H191&gt;0,$H191&lt;0.3)</formula>
    </cfRule>
  </conditionalFormatting>
  <conditionalFormatting sqref="Q3:Q12">
    <cfRule type="containsText" dxfId="21" priority="4" operator="containsText" text="No">
      <formula>NOT(ISERROR(SEARCH("No",Q3)))</formula>
    </cfRule>
    <cfRule type="containsText" dxfId="20" priority="5" operator="containsText" text="Yes">
      <formula>NOT(ISERROR(SEARCH("Yes",Q3)))</formula>
    </cfRule>
  </conditionalFormatting>
  <conditionalFormatting sqref="Q13">
    <cfRule type="cellIs" dxfId="19" priority="2" operator="lessThan">
      <formula>1</formula>
    </cfRule>
    <cfRule type="cellIs" dxfId="18" priority="3" operator="equal">
      <formula>1</formula>
    </cfRule>
  </conditionalFormatting>
  <conditionalFormatting sqref="E39">
    <cfRule type="expression" dxfId="17" priority="1">
      <formula>IF(C35="Freezer",$E$39&lt;4)</formula>
    </cfRule>
  </conditionalFormatting>
  <pageMargins left="0.7" right="0.7" top="0.75" bottom="0.75" header="0.3" footer="0.3"/>
  <pageSetup orientation="portrait" horizontalDpi="360" verticalDpi="360" r:id="rId1"/>
  <ignoredErrors>
    <ignoredError sqref="F39:F41 E45:E47 F72:F75 E63 E93:E95 E56:E58 E89:E91 E60:E6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8FD6D350-2583-4068-B994-78762FB9211C}">
          <x14:formula1>
            <xm:f>'Calculation Sheet - BOM '!$W$3:$W$6</xm:f>
          </x14:formula1>
          <xm:sqref>Q3</xm:sqref>
        </x14:dataValidation>
        <x14:dataValidation type="list" allowBlank="1" showInputMessage="1" showErrorMessage="1" xr:uid="{E32190F1-BBFA-4599-860D-A98A4FF393CB}">
          <x14:formula1>
            <xm:f>'Calculation Sheet - BOM '!$U$3:$U$4</xm:f>
          </x14:formula1>
          <xm:sqref>F217</xm:sqref>
        </x14:dataValidation>
        <x14:dataValidation type="list" allowBlank="1" showInputMessage="1" showErrorMessage="1" xr:uid="{10B79B28-807A-4811-9817-5D1FFCFB3C57}">
          <x14:formula1>
            <xm:f>_xlfn.ANCHORARRAY('Door Table'!$F$3)</xm:f>
          </x14:formula1>
          <xm:sqref>D30</xm:sqref>
        </x14:dataValidation>
        <x14:dataValidation type="list" allowBlank="1" showInputMessage="1" showErrorMessage="1" xr:uid="{60930545-064B-4E58-86EB-3C25546E75BB}">
          <x14:formula1>
            <xm:f>_xlfn.ANCHORARRAY('Door Table'!$D$3)</xm:f>
          </x14:formula1>
          <xm:sqref>D28</xm:sqref>
        </x14:dataValidation>
        <x14:dataValidation type="list" allowBlank="1" showInputMessage="1" showErrorMessage="1" xr:uid="{4106ED25-D065-4BFF-B083-0D95EA5CBB8F}">
          <x14:formula1>
            <xm:f>_xlfn.ANCHORARRAY('Door Table'!$E$3)</xm:f>
          </x14:formula1>
          <xm:sqref>D29 D31</xm:sqref>
        </x14:dataValidation>
        <x14:dataValidation type="list" allowBlank="1" showInputMessage="1" showErrorMessage="1" xr:uid="{424B781F-D13F-47B9-AD5A-4F671240F3D2}">
          <x14:formula1>
            <xm:f>'Door Table'!$G$148:$G$149</xm:f>
          </x14:formula1>
          <xm:sqref>C224</xm:sqref>
        </x14:dataValidation>
        <x14:dataValidation type="list" allowBlank="1" showInputMessage="1" showErrorMessage="1" xr:uid="{29D37EBE-96F9-4EAD-90B4-32B05816D1F1}">
          <x14:formula1>
            <xm:f>'Door Table'!$D$148:$D$151</xm:f>
          </x14:formula1>
          <xm:sqref>C222:C223</xm:sqref>
        </x14:dataValidation>
        <x14:dataValidation type="list" allowBlank="1" showInputMessage="1" showErrorMessage="1" xr:uid="{323AF97D-E819-47C6-ADA9-D1983047F154}">
          <x14:formula1>
            <xm:f>'Calculation Sheet - BOM '!$P$7:$P$10</xm:f>
          </x14:formula1>
          <xm:sqref>E39 F216 E72:E75</xm:sqref>
        </x14:dataValidation>
        <x14:dataValidation type="list" allowBlank="1" showInputMessage="1" showErrorMessage="1" xr:uid="{C798D920-02BD-4F45-9C74-42F367B751DE}">
          <x14:formula1>
            <xm:f>'Door Table'!$F$148:$F$156</xm:f>
          </x14:formula1>
          <xm:sqref>C225</xm:sqref>
        </x14:dataValidation>
        <x14:dataValidation type="list" allowBlank="1" showInputMessage="1" showErrorMessage="1" xr:uid="{27A53BA8-5535-4E63-9D09-C21D95AA6815}">
          <x14:formula1>
            <xm:f>'Calculation Sheet - BOM '!$W$10:$W$12</xm:f>
          </x14:formula1>
          <xm:sqref>C34 C215</xm:sqref>
        </x14:dataValidation>
        <x14:dataValidation type="list" allowBlank="1" showInputMessage="1" showErrorMessage="1" xr:uid="{3D900765-0412-4145-A253-78FFBF82323F}">
          <x14:formula1>
            <xm:f>_xlfn.ANCHORARRAY('Door Table'!$O$134)</xm:f>
          </x14:formula1>
          <xm:sqref>D229</xm:sqref>
        </x14:dataValidation>
        <x14:dataValidation type="list" allowBlank="1" showInputMessage="1" showErrorMessage="1" xr:uid="{6C481443-59C8-4B57-8FC4-6345D9C8EC89}">
          <x14:formula1>
            <xm:f>_xlfn.ANCHORARRAY('Door Table'!$N$134)</xm:f>
          </x14:formula1>
          <xm:sqref>D228</xm:sqref>
        </x14:dataValidation>
        <x14:dataValidation type="list" allowBlank="1" showInputMessage="1" showErrorMessage="1" xr:uid="{BB07E65C-D3FC-41CB-8B2F-DD7A07E6C5B4}">
          <x14:formula1>
            <xm:f>_xlfn.ANCHORARRAY('Door Table'!$R$134)</xm:f>
          </x14:formula1>
          <xm:sqref>D231</xm:sqref>
        </x14:dataValidation>
        <x14:dataValidation type="list" allowBlank="1" showInputMessage="1" showErrorMessage="1" xr:uid="{0981E122-3CC8-4CDC-B4D2-CDD48D4C94D8}">
          <x14:formula1>
            <xm:f>_xlfn.ANCHORARRAY('Door Table'!$Q$134)</xm:f>
          </x14:formula1>
          <xm:sqref>D230</xm:sqref>
        </x14:dataValidation>
        <x14:dataValidation type="list" allowBlank="1" showInputMessage="1" showErrorMessage="1" xr:uid="{CF64A952-FC2A-4038-A4DB-D6712303E01B}">
          <x14:formula1>
            <xm:f>_xlfn.ANCHORARRAY('Door Table'!$AA$134)</xm:f>
          </x14:formula1>
          <xm:sqref>D236</xm:sqref>
        </x14:dataValidation>
        <x14:dataValidation type="list" allowBlank="1" showInputMessage="1" showErrorMessage="1" xr:uid="{E9578BEF-4E6C-44F2-BBE7-4770BF553752}">
          <x14:formula1>
            <xm:f>_xlfn.ANCHORARRAY('Door Table'!$Z$134)</xm:f>
          </x14:formula1>
          <xm:sqref>D235</xm:sqref>
        </x14:dataValidation>
        <x14:dataValidation type="list" allowBlank="1" showInputMessage="1" showErrorMessage="1" xr:uid="{32841F4F-2BCC-4518-8DCF-B8462E841DC3}">
          <x14:formula1>
            <xm:f>_xlfn.ANCHORARRAY('Door Table'!$Y$134)</xm:f>
          </x14:formula1>
          <xm:sqref>D234</xm:sqref>
        </x14:dataValidation>
        <x14:dataValidation type="list" allowBlank="1" showInputMessage="1" showErrorMessage="1" xr:uid="{5998C14F-3B25-474D-AF50-7C7847B471F9}">
          <x14:formula1>
            <xm:f>_xlfn.ANCHORARRAY('Door Table'!$X$134)</xm:f>
          </x14:formula1>
          <xm:sqref>D233</xm:sqref>
        </x14:dataValidation>
        <x14:dataValidation type="list" allowBlank="1" showInputMessage="1" showErrorMessage="1" xr:uid="{F684F8DC-A438-4EA5-89F9-08E203D05F19}">
          <x14:formula1>
            <xm:f>_xlfn.ANCHORARRAY('Door Table'!$W$134)</xm:f>
          </x14:formula1>
          <xm:sqref>D232</xm:sqref>
        </x14:dataValidation>
        <x14:dataValidation type="list" allowBlank="1" showInputMessage="1" showErrorMessage="1" xr:uid="{DE174DCC-3F1A-4D06-B2E8-CACEF2845F93}">
          <x14:formula1>
            <xm:f>'Calculation Sheet - BOM '!$C$148:$C$149</xm:f>
          </x14:formula1>
          <xm:sqref>D225 D223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20CB-A19C-4EEB-A74C-5473755A86FC}">
  <sheetPr codeName="Sheet19">
    <tabColor rgb="FFFF0000"/>
  </sheetPr>
  <dimension ref="A1:AY96"/>
  <sheetViews>
    <sheetView zoomScale="70" zoomScaleNormal="70" workbookViewId="0">
      <selection activeCell="H220" sqref="H220"/>
    </sheetView>
  </sheetViews>
  <sheetFormatPr defaultColWidth="8.58203125" defaultRowHeight="15.5" x14ac:dyDescent="0.35"/>
  <cols>
    <col min="1" max="2" width="19.83203125" style="4" customWidth="1"/>
    <col min="3" max="3" width="33.25" style="4" bestFit="1" customWidth="1"/>
    <col min="4" max="4" width="45.58203125" style="3" bestFit="1" customWidth="1"/>
    <col min="5" max="5" width="24" style="4" bestFit="1" customWidth="1"/>
    <col min="6" max="6" width="22.83203125" style="4" bestFit="1" customWidth="1"/>
    <col min="7" max="7" width="27.08203125" style="4" bestFit="1" customWidth="1"/>
    <col min="8" max="8" width="17.5" style="188" bestFit="1" customWidth="1"/>
    <col min="9" max="9" width="24.25" style="4" bestFit="1" customWidth="1"/>
    <col min="10" max="10" width="18.83203125" style="4" bestFit="1" customWidth="1"/>
    <col min="11" max="11" width="17.5" style="188" bestFit="1" customWidth="1"/>
    <col min="12" max="12" width="24" style="3" bestFit="1" customWidth="1"/>
    <col min="13" max="13" width="19.08203125" style="3" customWidth="1"/>
    <col min="14" max="14" width="27.08203125" style="16" customWidth="1"/>
    <col min="15" max="15" width="24" style="4" bestFit="1" customWidth="1"/>
    <col min="16" max="16" width="20.58203125" style="15" customWidth="1"/>
    <col min="17" max="17" width="15.75" style="4" customWidth="1"/>
    <col min="18" max="18" width="15.5" style="4" bestFit="1" customWidth="1"/>
    <col min="19" max="19" width="16.33203125" style="4" customWidth="1"/>
    <col min="20" max="20" width="17.58203125" style="4" customWidth="1"/>
    <col min="21" max="21" width="21" style="4" bestFit="1" customWidth="1"/>
    <col min="22" max="22" width="14.25" style="4" bestFit="1" customWidth="1"/>
    <col min="23" max="23" width="21.5" style="4" bestFit="1" customWidth="1"/>
    <col min="24" max="24" width="10.83203125" style="4" bestFit="1" customWidth="1"/>
    <col min="25" max="25" width="16.25" style="4" bestFit="1" customWidth="1"/>
    <col min="26" max="26" width="27.58203125" style="4" customWidth="1"/>
    <col min="27" max="27" width="20.83203125" style="4" customWidth="1"/>
    <col min="28" max="32" width="17.58203125" style="4" customWidth="1"/>
    <col min="33" max="33" width="20.08203125" style="4" customWidth="1"/>
    <col min="34" max="36" width="11" style="4" customWidth="1"/>
    <col min="37" max="16384" width="8.58203125" style="4"/>
  </cols>
  <sheetData>
    <row r="1" spans="1:51" x14ac:dyDescent="0.35">
      <c r="K1" s="934" t="s">
        <v>278</v>
      </c>
      <c r="L1" s="934"/>
      <c r="M1" s="19" t="s">
        <v>279</v>
      </c>
      <c r="N1" s="28" t="s">
        <v>280</v>
      </c>
    </row>
    <row r="2" spans="1:51" x14ac:dyDescent="0.35">
      <c r="A2" s="908" t="str">
        <f>'Quotation - Door 2'!A30</f>
        <v>DOOR TYPE DETAILS</v>
      </c>
      <c r="B2" s="942"/>
      <c r="C2" s="31" t="str">
        <f>'Quotation - Door 2'!C30</f>
        <v>Door Type</v>
      </c>
      <c r="D2" s="19" t="str">
        <f>'Quotation - Door 2'!D30</f>
        <v>Power Operated Sliding door - Single horizontal Slide</v>
      </c>
      <c r="K2" s="71" t="s">
        <v>281</v>
      </c>
      <c r="L2" s="19">
        <v>8.3330000000000001E-2</v>
      </c>
      <c r="M2" s="175"/>
      <c r="N2" s="173">
        <f>+M2*L2</f>
        <v>0</v>
      </c>
      <c r="O2" s="752" t="s">
        <v>282</v>
      </c>
      <c r="P2" s="931"/>
      <c r="Q2" s="931"/>
      <c r="R2" s="931"/>
      <c r="U2" s="162" t="s">
        <v>283</v>
      </c>
      <c r="W2" s="162" t="s">
        <v>284</v>
      </c>
      <c r="Y2" s="162" t="s">
        <v>285</v>
      </c>
      <c r="AB2" s="162" t="s">
        <v>286</v>
      </c>
      <c r="AD2" s="47" t="s">
        <v>37</v>
      </c>
      <c r="AE2" s="47" t="s">
        <v>287</v>
      </c>
      <c r="AF2" s="47" t="s">
        <v>288</v>
      </c>
      <c r="AG2" s="4" t="s">
        <v>137</v>
      </c>
      <c r="AI2" s="4" t="s">
        <v>289</v>
      </c>
    </row>
    <row r="3" spans="1:51" x14ac:dyDescent="0.35">
      <c r="A3" s="909"/>
      <c r="B3" s="943"/>
      <c r="C3" s="31" t="str">
        <f>'Quotation - Door 2'!C31</f>
        <v xml:space="preserve">Cooler / Freezer </v>
      </c>
      <c r="D3" s="19" t="str">
        <f>'Quotation - Door 2'!D31</f>
        <v>Freezer</v>
      </c>
      <c r="K3" s="935"/>
      <c r="L3" s="936"/>
      <c r="M3" s="19" t="s">
        <v>290</v>
      </c>
      <c r="N3" s="28" t="s">
        <v>291</v>
      </c>
      <c r="O3" s="151" t="s">
        <v>292</v>
      </c>
      <c r="P3" s="19">
        <v>2.2200000000000002</v>
      </c>
      <c r="Q3" s="15"/>
      <c r="U3" s="4" t="s">
        <v>293</v>
      </c>
      <c r="W3" s="4" t="s">
        <v>294</v>
      </c>
      <c r="Y3" s="4" t="s">
        <v>295</v>
      </c>
      <c r="Z3" s="194">
        <f>18*'Cal. Sheet Door 2'!$L$2</f>
        <v>1.4999400000000001</v>
      </c>
      <c r="AB3" s="4" t="s">
        <v>57</v>
      </c>
      <c r="AD3" s="4" t="s">
        <v>40</v>
      </c>
      <c r="AE3" s="4" t="s">
        <v>296</v>
      </c>
      <c r="AF3" s="4" t="s">
        <v>297</v>
      </c>
      <c r="AG3" s="4" t="s">
        <v>185</v>
      </c>
      <c r="AH3" s="4" t="str">
        <f>+IF('Quotation - Door 2'!$D$30=Controller!$A$16,"Swing","Sliding/Bi-Parting")</f>
        <v>Sliding/Bi-Parting</v>
      </c>
      <c r="AI3" s="4" t="s">
        <v>298</v>
      </c>
      <c r="AJ3" s="4" t="s">
        <v>81</v>
      </c>
    </row>
    <row r="4" spans="1:51" x14ac:dyDescent="0.35">
      <c r="A4" s="909"/>
      <c r="B4" s="943"/>
      <c r="C4" s="31" t="str">
        <f>'Quotation - Door 2'!C32</f>
        <v>Frame Structure</v>
      </c>
      <c r="D4" s="19" t="str">
        <f>'Quotation - Door 2'!D32</f>
        <v>Wood</v>
      </c>
      <c r="K4" s="71" t="s">
        <v>299</v>
      </c>
      <c r="L4" s="19">
        <f>+L2*L2</f>
        <v>6.9438889000000004E-3</v>
      </c>
      <c r="M4" s="175">
        <f>34*36</f>
        <v>1224</v>
      </c>
      <c r="N4" s="174">
        <f>+L4*M4</f>
        <v>8.4993200136000002</v>
      </c>
      <c r="O4" s="151" t="s">
        <v>300</v>
      </c>
      <c r="P4" s="502">
        <v>2.65</v>
      </c>
      <c r="Q4" s="15"/>
      <c r="U4" s="4" t="s">
        <v>301</v>
      </c>
      <c r="W4" s="4" t="s">
        <v>302</v>
      </c>
      <c r="Y4" s="4" t="s">
        <v>303</v>
      </c>
      <c r="Z4" s="194">
        <f>24*'Cal. Sheet Door 2'!$L$2</f>
        <v>1.9999199999999999</v>
      </c>
      <c r="AB4" s="4" t="s">
        <v>79</v>
      </c>
      <c r="AD4" s="4" t="s">
        <v>304</v>
      </c>
      <c r="AE4" s="4" t="s">
        <v>305</v>
      </c>
      <c r="AF4" s="4" t="s">
        <v>306</v>
      </c>
      <c r="AG4" s="4" t="s">
        <v>138</v>
      </c>
      <c r="AI4" s="4" t="s">
        <v>301</v>
      </c>
      <c r="AJ4" s="4" t="s">
        <v>66</v>
      </c>
    </row>
    <row r="5" spans="1:51" x14ac:dyDescent="0.35">
      <c r="A5" s="909"/>
      <c r="B5" s="943"/>
      <c r="C5" s="31" t="str">
        <f>'Quotation - Door 2'!C33</f>
        <v>Motorized/Manual</v>
      </c>
      <c r="D5" s="19" t="str">
        <f>'Quotation - Door 2'!D33</f>
        <v>Motorized</v>
      </c>
      <c r="M5" s="3" t="s">
        <v>307</v>
      </c>
      <c r="N5" s="16" t="s">
        <v>280</v>
      </c>
      <c r="O5" s="46" t="s">
        <v>308</v>
      </c>
      <c r="P5" s="71">
        <f>+P4*'Cost Sheet'!Z1</f>
        <v>3.8424999999999998</v>
      </c>
      <c r="Q5" s="15"/>
      <c r="W5" s="4" t="s">
        <v>309</v>
      </c>
      <c r="Y5" s="4" t="s">
        <v>310</v>
      </c>
      <c r="Z5" s="194">
        <f>36*'Cal. Sheet Door 2'!$L$2</f>
        <v>2.9998800000000001</v>
      </c>
    </row>
    <row r="6" spans="1:51" ht="31" x14ac:dyDescent="0.35">
      <c r="A6" s="909"/>
      <c r="B6" s="943"/>
      <c r="C6" s="46" t="str">
        <f>'Quotation - Door 2'!C34</f>
        <v>Width (Inches)</v>
      </c>
      <c r="D6" s="46">
        <f>+'Quotation - Door 2'!$D34</f>
        <v>130</v>
      </c>
      <c r="K6" s="188" t="s">
        <v>311</v>
      </c>
      <c r="L6" s="3">
        <v>3.28084</v>
      </c>
      <c r="M6" s="3">
        <v>1</v>
      </c>
      <c r="N6" s="16">
        <f>+L6*M6</f>
        <v>3.28084</v>
      </c>
      <c r="O6" s="118" t="s">
        <v>312</v>
      </c>
      <c r="P6" s="118" t="s">
        <v>313</v>
      </c>
      <c r="Q6" s="118" t="s">
        <v>314</v>
      </c>
      <c r="R6" s="118" t="s">
        <v>315</v>
      </c>
      <c r="S6" s="118" t="s">
        <v>316</v>
      </c>
      <c r="T6" s="118" t="s">
        <v>317</v>
      </c>
      <c r="W6" s="4" t="s">
        <v>93</v>
      </c>
      <c r="Y6" s="4" t="s">
        <v>318</v>
      </c>
      <c r="Z6" s="194">
        <f>48*'Cal. Sheet Door 2'!$L$2</f>
        <v>3.9998399999999998</v>
      </c>
    </row>
    <row r="7" spans="1:51" ht="58" x14ac:dyDescent="0.35">
      <c r="A7" s="909"/>
      <c r="B7" s="943"/>
      <c r="C7" s="46" t="str">
        <f>'Quotation - Door 2'!C35</f>
        <v>Height (inches)</v>
      </c>
      <c r="D7" s="46">
        <f>+'Quotation - Door 2'!$D35</f>
        <v>96</v>
      </c>
      <c r="O7" s="30">
        <v>0.56000000000000005</v>
      </c>
      <c r="P7" s="19">
        <v>3</v>
      </c>
      <c r="Q7" s="124">
        <f>O7*$P$5</f>
        <v>2.1518000000000002</v>
      </c>
      <c r="R7" s="163">
        <f>+Q7/144</f>
        <v>1.4943055555555557E-2</v>
      </c>
      <c r="S7" s="164">
        <v>0</v>
      </c>
      <c r="T7" s="163">
        <f>+R7/(1-S7)</f>
        <v>1.4943055555555557E-2</v>
      </c>
      <c r="W7" s="4" t="s">
        <v>319</v>
      </c>
      <c r="AB7" s="119" t="s">
        <v>320</v>
      </c>
      <c r="AC7" s="160" t="s">
        <v>321</v>
      </c>
      <c r="AD7" s="160" t="s">
        <v>322</v>
      </c>
      <c r="AE7" s="160" t="s">
        <v>323</v>
      </c>
      <c r="AF7" s="160" t="s">
        <v>324</v>
      </c>
      <c r="AG7" s="160" t="s">
        <v>134</v>
      </c>
      <c r="AH7" s="160" t="s">
        <v>325</v>
      </c>
      <c r="AI7" s="160" t="s">
        <v>326</v>
      </c>
      <c r="AJ7" s="160" t="s">
        <v>327</v>
      </c>
      <c r="AK7" s="160" t="s">
        <v>328</v>
      </c>
      <c r="AL7" s="160" t="s">
        <v>329</v>
      </c>
    </row>
    <row r="8" spans="1:51" ht="31" x14ac:dyDescent="0.35">
      <c r="A8" s="909"/>
      <c r="B8" s="943"/>
      <c r="C8" s="46" t="str">
        <f>'Quotation - Door 2'!C36</f>
        <v>Depth (Inches)</v>
      </c>
      <c r="D8" s="46">
        <f>+'Quotation - Door 2'!$D36</f>
        <v>4</v>
      </c>
      <c r="O8" s="30">
        <v>0.74</v>
      </c>
      <c r="P8" s="19">
        <v>4</v>
      </c>
      <c r="Q8" s="124">
        <f>O8*$P$5</f>
        <v>2.8434499999999998</v>
      </c>
      <c r="R8" s="163">
        <f>+Q8/144</f>
        <v>1.9746180555555555E-2</v>
      </c>
      <c r="S8" s="164">
        <v>0</v>
      </c>
      <c r="T8" s="163">
        <f t="shared" ref="T8:T11" si="0">+R8/(1-S8)</f>
        <v>1.9746180555555555E-2</v>
      </c>
      <c r="Y8" s="162" t="s">
        <v>330</v>
      </c>
      <c r="AB8" s="28" t="s">
        <v>306</v>
      </c>
      <c r="AC8" s="71">
        <f>+'Cost Sheet'!$N$36</f>
        <v>0.34</v>
      </c>
      <c r="AD8" s="171" t="s">
        <v>331</v>
      </c>
      <c r="AE8" s="30"/>
      <c r="AF8" s="71">
        <f>+AC8*12</f>
        <v>4.08</v>
      </c>
      <c r="AG8" s="71">
        <f>+'Accessories Install - Labour'!$F$16</f>
        <v>34.666666666666664</v>
      </c>
      <c r="AH8" s="71">
        <f>+AG8+AF8</f>
        <v>38.746666666666663</v>
      </c>
      <c r="AI8" s="71"/>
      <c r="AJ8" s="71">
        <f>+AF8</f>
        <v>4.08</v>
      </c>
      <c r="AK8" s="71">
        <f>+AG8</f>
        <v>34.666666666666664</v>
      </c>
      <c r="AL8" s="71">
        <f>+AK8+AJ8</f>
        <v>38.746666666666663</v>
      </c>
    </row>
    <row r="9" spans="1:51" x14ac:dyDescent="0.35">
      <c r="A9" s="909"/>
      <c r="B9" s="943"/>
      <c r="C9" s="21" t="s">
        <v>67</v>
      </c>
      <c r="D9" s="46">
        <f>+'Quotation - Door 2'!$D37</f>
        <v>4</v>
      </c>
      <c r="O9" s="30">
        <v>0.93</v>
      </c>
      <c r="P9" s="19">
        <v>5</v>
      </c>
      <c r="Q9" s="124">
        <f>O9*$P$5</f>
        <v>3.5735250000000001</v>
      </c>
      <c r="R9" s="163">
        <f>+Q9/144</f>
        <v>2.4816145833333334E-2</v>
      </c>
      <c r="S9" s="164">
        <v>0</v>
      </c>
      <c r="T9" s="163">
        <f t="shared" si="0"/>
        <v>2.4816145833333334E-2</v>
      </c>
      <c r="W9" s="162" t="s">
        <v>197</v>
      </c>
      <c r="Y9" s="4" t="s">
        <v>86</v>
      </c>
      <c r="AB9" s="119"/>
    </row>
    <row r="10" spans="1:51" x14ac:dyDescent="0.35">
      <c r="A10" s="909"/>
      <c r="B10" s="943"/>
      <c r="C10" s="78" t="str">
        <f>'Quotation - Door 2'!C38</f>
        <v>QUANTITY (COUNT)</v>
      </c>
      <c r="D10" s="46">
        <f>+'Quotation - Door 2'!$D38</f>
        <v>1</v>
      </c>
      <c r="O10" s="30">
        <v>1.1100000000000001</v>
      </c>
      <c r="P10" s="19">
        <v>6</v>
      </c>
      <c r="Q10" s="124">
        <f>O10*$P$5</f>
        <v>4.2651750000000002</v>
      </c>
      <c r="R10" s="163">
        <f>+Q10/144</f>
        <v>2.9619270833333336E-2</v>
      </c>
      <c r="S10" s="164">
        <v>0</v>
      </c>
      <c r="T10" s="163">
        <f t="shared" si="0"/>
        <v>2.9619270833333336E-2</v>
      </c>
      <c r="W10" s="4" t="s">
        <v>85</v>
      </c>
      <c r="Y10" s="4" t="s">
        <v>53</v>
      </c>
    </row>
    <row r="11" spans="1:51" ht="31" x14ac:dyDescent="0.35">
      <c r="D11" s="105"/>
      <c r="E11" s="931" t="s">
        <v>332</v>
      </c>
      <c r="F11" s="931"/>
      <c r="G11" s="931"/>
      <c r="H11" s="931"/>
      <c r="I11" s="931"/>
      <c r="J11" s="931" t="s">
        <v>265</v>
      </c>
      <c r="K11" s="931"/>
      <c r="L11" s="931"/>
      <c r="N11" s="169" t="s">
        <v>333</v>
      </c>
      <c r="O11" s="30">
        <f>+P11*O7/P7</f>
        <v>0.28000000000000003</v>
      </c>
      <c r="P11" s="170">
        <v>1.5</v>
      </c>
      <c r="Q11" s="124">
        <f>O11*$P$5</f>
        <v>1.0759000000000001</v>
      </c>
      <c r="R11" s="163">
        <f>+Q11/144</f>
        <v>7.4715277777777783E-3</v>
      </c>
      <c r="S11" s="164">
        <v>0</v>
      </c>
      <c r="T11" s="163">
        <f t="shared" si="0"/>
        <v>7.4715277777777783E-3</v>
      </c>
      <c r="W11" s="4" t="s">
        <v>48</v>
      </c>
    </row>
    <row r="12" spans="1:51" ht="43.5" x14ac:dyDescent="0.35">
      <c r="A12" s="543" t="str">
        <f>'Quotation - Door 2'!A41</f>
        <v>DOOR AND OPTIONS SPECS</v>
      </c>
      <c r="B12" s="77" t="str">
        <f>'Quotation - Door 2'!B41</f>
        <v>Feature</v>
      </c>
      <c r="C12" s="77" t="str">
        <f>'Quotation - Door 2'!C41</f>
        <v>Door Panel and Frame</v>
      </c>
      <c r="D12" s="150">
        <f>'Quotation - Door 2'!D41</f>
        <v>0</v>
      </c>
      <c r="E12" s="160" t="s">
        <v>321</v>
      </c>
      <c r="F12" s="160" t="s">
        <v>334</v>
      </c>
      <c r="G12" s="160" t="s">
        <v>322</v>
      </c>
      <c r="H12" s="220" t="s">
        <v>335</v>
      </c>
      <c r="I12" s="160" t="s">
        <v>336</v>
      </c>
      <c r="J12" s="160" t="s">
        <v>337</v>
      </c>
      <c r="K12" s="220" t="s">
        <v>338</v>
      </c>
      <c r="L12" s="160" t="s">
        <v>339</v>
      </c>
      <c r="N12" s="172" t="s">
        <v>340</v>
      </c>
      <c r="O12" s="3">
        <v>5.75</v>
      </c>
    </row>
    <row r="13" spans="1:51" ht="62" x14ac:dyDescent="0.35">
      <c r="A13" s="544"/>
      <c r="B13" s="21" t="str">
        <f>'Quotation - Door 2'!B42</f>
        <v>Main</v>
      </c>
      <c r="C13" s="21" t="str">
        <f>'Quotation - Door 2'!C42</f>
        <v>Door Panel</v>
      </c>
      <c r="D13" s="121" t="str">
        <f>'Quotation - Door 2'!D42</f>
        <v>26 Ga. White - Stucco Embossed Finish</v>
      </c>
      <c r="E13" s="71">
        <f>_xlfn.IFNA(INDEX('Cost Sheet'!$N:$N,MATCH($D13,'Cost Sheet'!$C:$C,0)),0)</f>
        <v>1.1823573017049667</v>
      </c>
      <c r="F13" s="30">
        <f>+((($D$6*$D$7)*2)+(($D$6+$D$7)*$D$8*2))*('Cal. Sheet Door 2'!$L$2*'Cal. Sheet Door 2'!$L$2)</f>
        <v>185.87401807520001</v>
      </c>
      <c r="G13" s="49" t="s">
        <v>341</v>
      </c>
      <c r="H13" s="71">
        <f>('Cost Sheet'!$N$26*5*4)+((($D$6+$D$7)*2*$D$8)*('Cal. Sheet Door 2'!$L$2*'Cal. Sheet Door 2'!$L$2)*'Cost Sheet'!$N$27)+((($D$6+$D$7)*2)*'Cal. Sheet Door 2'!$L$2*'Cost Sheet'!$N$67)+((($D$6+$D$7)*2)*'Cal. Sheet Door 2'!$L$2*'Cost Sheet'!$N$68)</f>
        <v>96.740671284025012</v>
      </c>
      <c r="I13" s="71">
        <f>+(E13*F13)+H13+IF(D7&lt;144,0,IF(D7&gt;144,(2*D7*L2)))</f>
        <v>316.51017375247869</v>
      </c>
      <c r="J13" s="71">
        <f>+E13</f>
        <v>1.1823573017049667</v>
      </c>
      <c r="K13" s="71">
        <f>+H13</f>
        <v>96.740671284025012</v>
      </c>
      <c r="L13" s="71">
        <f>_xlfn.IFNA(I13*(1+(INDEX('Product Mark-up'!$F$4:$F$8,MATCH('Cal. Sheet Door 2'!$D$2,'Product Mark-up'!$C$4:$C$8,0)))),0)</f>
        <v>316.51017375247869</v>
      </c>
      <c r="O13" s="3"/>
      <c r="P13" s="105"/>
      <c r="Q13" s="3"/>
      <c r="AB13" s="941" t="s">
        <v>342</v>
      </c>
      <c r="AC13" s="941"/>
      <c r="AD13" s="941"/>
      <c r="AE13" s="941"/>
      <c r="AF13" s="941"/>
      <c r="AG13" s="941"/>
      <c r="AH13" s="941"/>
      <c r="AI13" s="941"/>
      <c r="AJ13" s="941"/>
      <c r="AK13" s="941"/>
      <c r="AL13" s="941"/>
    </row>
    <row r="14" spans="1:51" ht="58" x14ac:dyDescent="0.35">
      <c r="A14" s="544"/>
      <c r="B14" s="21" t="str">
        <f>'Quotation - Door 2'!B43</f>
        <v>Main</v>
      </c>
      <c r="C14" s="21" t="str">
        <f>'Quotation - Door 2'!C43</f>
        <v>Face Frame</v>
      </c>
      <c r="D14" s="121" t="str">
        <f>'Quotation - Door 2'!D43</f>
        <v>Wood Clad - 26 Ga. White - Stucco Embossed</v>
      </c>
      <c r="E14" s="71">
        <f>_xlfn.IFNA(INDEX(O$14:O$24,MATCH($D14,$N$14:$N$24,0)),0)</f>
        <v>2.3229823017049664</v>
      </c>
      <c r="F14" s="30">
        <f>_xlfn.IFNA(INDEX($Q$14:$Q$24,MATCH($D14,$N$14:$N$24,0)),0)</f>
        <v>13.315774951862501</v>
      </c>
      <c r="G14" s="49"/>
      <c r="H14" s="71"/>
      <c r="I14" s="71">
        <f>IF('Doors - Step 1'!$C$11=Controller!$A$17,(INDEX('Cal. Sheet Door 2'!$T$51:$T$52,MATCH('Cal. Sheet Door 2'!$D$14,'Cal. Sheet Door 2'!$N$51:$N$52,0))),
IF('Doors - Step 1'!$E$11="Interior",(_xlfn.IFNA(INDEX(T14:T24,MATCH($D14,$N$14:$N$24,0)),0)),IF(AND('Doors - Step 1'!$E$11="Exterior",'Doors - Step 1'!$E$12="Exterior Door - with sweep seal"),_xlfn.IFNA(INDEX(T14:T24,MATCH($D14,$N$14:$N$24,0)),0),IF(AND('Doors - Step 1'!$E$11="Exterior",'Doors - Step 1'!$E$12="Exterior Door - with step sill"),_xlfn.IFNA(INDEX(AH14:AH24,MATCH($D14,$AB$14:$AB$24,0)),0)))))</f>
        <v>1018.6646190933258</v>
      </c>
      <c r="J14" s="71">
        <f t="shared" ref="J14:J30" si="1">+E14</f>
        <v>2.3229823017049664</v>
      </c>
      <c r="K14" s="71">
        <f t="shared" ref="K14:K30" si="2">+H14</f>
        <v>0</v>
      </c>
      <c r="L14" s="71">
        <f>_xlfn.IFNA(I14*(1+(INDEX('Product Mark-up'!$F$4:$F$8,MATCH('Cal. Sheet Door 2'!$D$2,'Product Mark-up'!$C$4:$C$8,0)))),0)</f>
        <v>1018.6646190933258</v>
      </c>
      <c r="N14" s="119" t="s">
        <v>343</v>
      </c>
      <c r="O14" s="160" t="s">
        <v>321</v>
      </c>
      <c r="P14" s="160" t="s">
        <v>322</v>
      </c>
      <c r="Q14" s="160" t="s">
        <v>323</v>
      </c>
      <c r="R14" s="160" t="s">
        <v>324</v>
      </c>
      <c r="S14" s="160" t="s">
        <v>134</v>
      </c>
      <c r="T14" s="160" t="s">
        <v>325</v>
      </c>
      <c r="U14" s="160" t="s">
        <v>326</v>
      </c>
      <c r="V14" s="160" t="s">
        <v>327</v>
      </c>
      <c r="W14" s="160" t="s">
        <v>328</v>
      </c>
      <c r="X14" s="160" t="s">
        <v>329</v>
      </c>
      <c r="AB14" s="119" t="s">
        <v>343</v>
      </c>
      <c r="AC14" s="160" t="s">
        <v>321</v>
      </c>
      <c r="AD14" s="160" t="s">
        <v>322</v>
      </c>
      <c r="AE14" s="160" t="s">
        <v>323</v>
      </c>
      <c r="AF14" s="160" t="s">
        <v>324</v>
      </c>
      <c r="AG14" s="160" t="s">
        <v>134</v>
      </c>
      <c r="AH14" s="160" t="s">
        <v>325</v>
      </c>
      <c r="AI14" s="160" t="s">
        <v>326</v>
      </c>
      <c r="AJ14" s="160" t="s">
        <v>327</v>
      </c>
      <c r="AK14" s="160" t="s">
        <v>328</v>
      </c>
      <c r="AL14" s="160" t="s">
        <v>329</v>
      </c>
    </row>
    <row r="15" spans="1:51" ht="31" x14ac:dyDescent="0.35">
      <c r="A15" s="544"/>
      <c r="B15" s="21" t="str">
        <f>'Quotation - Door 2'!B44</f>
        <v>Option</v>
      </c>
      <c r="C15" s="21" t="str">
        <f>'Quotation - Door 2'!C44</f>
        <v>Inside Jamb</v>
      </c>
      <c r="D15" s="121" t="str">
        <f>'Quotation - Door 2'!D44</f>
        <v>Wood Clad - 26 Ga. White - Stucco Embossed</v>
      </c>
      <c r="E15" s="71">
        <f>_xlfn.IFNA(INDEX(O$26:O$36,MATCH($D15,$N$26:$N$36,0)),0)</f>
        <v>2.3229823017049664</v>
      </c>
      <c r="F15" s="30">
        <f>_xlfn.IFNA(INDEX($Q$26:$Q$36,MATCH($D15,$N$26:$N$36,0)),0)</f>
        <v>5.3329066752000003</v>
      </c>
      <c r="G15" s="49"/>
      <c r="H15" s="71"/>
      <c r="I15" s="71">
        <f>_xlfn.IFNA(INDEX(T26:T36,MATCH($D15,$N$26:$N$36,0)),0)</f>
        <v>263.97649564626772</v>
      </c>
      <c r="J15" s="71">
        <f t="shared" si="1"/>
        <v>2.3229823017049664</v>
      </c>
      <c r="K15" s="71">
        <f t="shared" si="2"/>
        <v>0</v>
      </c>
      <c r="L15" s="71">
        <f>_xlfn.IFNA(I15*(1+(INDEX('Product Mark-up'!$F$4:$F$8,MATCH('Cal. Sheet Door 2'!$D$2,'Product Mark-up'!$C$4:$C$8,0)))),0)</f>
        <v>263.97649564626772</v>
      </c>
      <c r="N15" s="28" t="s">
        <v>344</v>
      </c>
      <c r="O15" s="71">
        <f>+IF($D$3="Freezer",'Cost Sheet'!$N$22,'Cost Sheet'!$N$21)</f>
        <v>11.36</v>
      </c>
      <c r="P15" s="171" t="s">
        <v>345</v>
      </c>
      <c r="Q15" s="30">
        <f>((($D$6)+(($D$7+($O$12*2))*2))*'Cal. Sheet Door 2'!$L$2)</f>
        <v>28.748850000000001</v>
      </c>
      <c r="R15" s="71">
        <f>+Q15*O15</f>
        <v>326.58693599999998</v>
      </c>
      <c r="S15" s="71" cm="1">
        <f t="array" ref="S15">IF(OR(('Quotation - Door 2'!$D$30=Controller!$A$16),('Quotation - Door 2'!$D$30=Controller!$A$17)),
(INDEX('Door and Panel Labor Exp. '!$J$5:$M$22,MATCH(MIN(IF('Door and Panel Labor Exp. '!$D$5:$D$22&gt;=('Quotation - Door 2'!$D$34*'Quotation - Door 2'!$D$35),'Door and Panel Labor Exp. '!$D$5:$D$22)),'Door and Panel Labor Exp. '!$D$5:$D$22,0),MATCH('Quotation - Door 2'!$D$31,'Door and Panel Labor Exp. '!$J$1:$M$1,0))),
IF(OR('Quotation - Door 2'!$D$30=Controller!$A$14,'Quotation - Door 2'!$D$30=Controller!$A$15),(INDEX('Door and Panel Labor Exp. '!$J$23:$M$40,MATCH(MIN(IF('Door and Panel Labor Exp. '!$D$23:$D$40&gt;=('Quotation - Door 2'!$D$34*'Quotation - Door 2'!$D$35),'Door and Panel Labor Exp. '!$D$23:$D$40)),'Door and Panel Labor Exp. '!$D$23:$D$40,0),MATCH('Quotation - Door 2'!$D$31,'Door and Panel Labor Exp. '!$J$1:$M$1,0))),
IF('Quotation - Door 2'!$D$30=Controller!$A$13,(INDEX('Door and Panel Labor Exp. '!$J$41:$M$59,MATCH(MIN(IF('Door and Panel Labor Exp. '!$D$41:$D$59&gt;=('Quotation - Door 2'!$D$34*'Quotation - Door 2'!$D$35),'Door and Panel Labor Exp. '!$D$41:$D$59)),'Door and Panel Labor Exp. '!$D$41:$D$59,0),MATCH('Quotation - Door 2'!$D$31,'Door and Panel Labor Exp. '!$J$1:$M$1,0))),
0)))</f>
        <v>218.4</v>
      </c>
      <c r="T15" s="71">
        <f t="shared" ref="T15:T24" si="3">+R15+S15</f>
        <v>544.98693600000001</v>
      </c>
      <c r="U15" s="71">
        <f>+IF($D$3="Freezer",'Cost Sheet'!$P$22,'Cost Sheet'!$P$21)</f>
        <v>11.36</v>
      </c>
      <c r="V15" s="71">
        <f>+R15</f>
        <v>326.58693599999998</v>
      </c>
      <c r="W15" s="71">
        <f>+S15</f>
        <v>218.4</v>
      </c>
      <c r="X15" s="71">
        <f>_xlfn.IFNA(T15*(1+(INDEX('Product Mark-up'!$F$4:$F$8,MATCH('Cal. Sheet Door 2'!$D$2,'Product Mark-up'!$C$4:$C$8,0)))),0)</f>
        <v>544.98693600000001</v>
      </c>
      <c r="AB15" s="28" t="s">
        <v>344</v>
      </c>
      <c r="AC15" s="71">
        <f>+IF($D$3="Freezer",'Cost Sheet'!$N$22,'Cost Sheet'!$N$21)</f>
        <v>11.36</v>
      </c>
      <c r="AD15" s="171" t="s">
        <v>345</v>
      </c>
      <c r="AE15" s="30">
        <f>((($D$6*2)+(($D$7+($O$12*2))*2))*'Cal. Sheet Door 2'!$L$2)</f>
        <v>39.58175</v>
      </c>
      <c r="AF15" s="71">
        <f>+AE15*AC15</f>
        <v>449.64867999999996</v>
      </c>
      <c r="AG15" s="71" cm="1">
        <f t="array" ref="AG15">IF(OR(('Quotation - Door 2'!$D$30=Controller!$A$16),('Quotation - Door 2'!$D$30=Controller!$A$17)),
(INDEX('Door and Panel Labor Exp. '!$J$5:$M$22,MATCH(MIN(IF('Door and Panel Labor Exp. '!$D$5:$D$22&gt;=('Quotation - Door 2'!$D$34*'Quotation - Door 2'!$D$35),'Door and Panel Labor Exp. '!$D$5:$D$22)),'Door and Panel Labor Exp. '!$D$5:$D$22,0),MATCH('Quotation - Door 2'!$D$31,'Door and Panel Labor Exp. '!$J$1:$M$1,0))),
IF(OR('Quotation - Door 2'!$D$30=Controller!$A$14,'Quotation - Door 2'!$D$30=Controller!$A$15),(INDEX('Door and Panel Labor Exp. '!$J$23:$M$40,MATCH(MIN(IF('Door and Panel Labor Exp. '!$D$23:$D$40&gt;=('Quotation - Door 2'!$D$34*'Quotation - Door 2'!$D$35),'Door and Panel Labor Exp. '!$D$23:$D$40)),'Door and Panel Labor Exp. '!$D$23:$D$40,0),MATCH('Quotation - Door 2'!$D$31,'Door and Panel Labor Exp. '!$J$1:$M$1,0))),
IF('Quotation - Door 2'!$D$30=Controller!$A$13,(INDEX('Door and Panel Labor Exp. '!$J$41:$M$59,MATCH(MIN(IF('Door and Panel Labor Exp. '!$D$41:$D$59&gt;=('Quotation - Door 2'!$D$34*'Quotation - Door 2'!$D$35),'Door and Panel Labor Exp. '!$D$41:$D$59)),'Door and Panel Labor Exp. '!$D$41:$D$59,0),MATCH('Quotation - Door 2'!$D$31,'Door and Panel Labor Exp. '!$J$1:$M$1,0))),
0)))</f>
        <v>218.4</v>
      </c>
      <c r="AH15" s="71">
        <f>+AF15+AG15+IF('Doors - Step 1'!$E$12='Cal. Sheet Door 2'!$AE$3,'Accessories Install - Labour'!$F$83,0)</f>
        <v>668.04867999999999</v>
      </c>
      <c r="AI15" s="71">
        <f>+IF($D$3="Freezer",'Cost Sheet'!$P$22,'Cost Sheet'!$P$21)</f>
        <v>11.36</v>
      </c>
      <c r="AJ15" s="71">
        <f>+AF15</f>
        <v>449.64867999999996</v>
      </c>
      <c r="AK15" s="71">
        <f>+AG15</f>
        <v>218.4</v>
      </c>
      <c r="AL15" s="71">
        <f>_xlfn.IFNA(AH15*(1+(INDEX('Product Mark-up'!$F$4:$F$8,MATCH('Cal. Sheet Door 2'!$D$2,'Product Mark-up'!$C$4:$C$8,0)))),0)</f>
        <v>668.04867999999999</v>
      </c>
      <c r="AT15" s="750" t="s">
        <v>180</v>
      </c>
      <c r="AU15" s="751"/>
      <c r="AV15" s="751"/>
      <c r="AW15" s="751"/>
      <c r="AX15" s="751"/>
      <c r="AY15" s="752"/>
    </row>
    <row r="16" spans="1:51" ht="46.5" x14ac:dyDescent="0.35">
      <c r="A16" s="544"/>
      <c r="B16" s="21" t="str">
        <f>'Quotation - Door 2'!B45</f>
        <v>Option</v>
      </c>
      <c r="C16" s="21" t="str">
        <f>'Quotation - Door 2'!C45</f>
        <v>Back Frame</v>
      </c>
      <c r="D16" s="121" t="str">
        <f>'Quotation - Door 2'!D45</f>
        <v>Wood Clad - 26 Ga. White - Stucco Embossed</v>
      </c>
      <c r="E16" s="71">
        <f>_xlfn.IFNA(INDEX(O$38:O$58,MATCH($D16,$N$38:$N$58,0)),0)</f>
        <v>2.3229823017049664</v>
      </c>
      <c r="F16" s="30">
        <f>_xlfn.IFNA(INDEX($Q$38:$Q$58,MATCH($D16,$N$38:$N$58,0)),0)</f>
        <v>19.883825865150001</v>
      </c>
      <c r="G16" s="49"/>
      <c r="H16" s="71"/>
      <c r="I16" s="71">
        <f>_xlfn.IFNA(INDEX(T38:T58,MATCH($D16,$N$38:$N$58,0)),0)</f>
        <v>475.09955114985382</v>
      </c>
      <c r="J16" s="71">
        <f t="shared" si="1"/>
        <v>2.3229823017049664</v>
      </c>
      <c r="K16" s="71">
        <f t="shared" si="2"/>
        <v>0</v>
      </c>
      <c r="L16" s="71">
        <f>_xlfn.IFNA(I16*(1+(INDEX('Product Mark-up'!$F$4:$F$8,MATCH('Cal. Sheet Door 2'!$D$2,'Product Mark-up'!$C$4:$C$8,0)))),0)</f>
        <v>475.09955114985382</v>
      </c>
      <c r="N16" s="28" t="s">
        <v>346</v>
      </c>
      <c r="O16" s="71">
        <f>+$O$15+'Cost Sheet'!$N$10</f>
        <v>12.956203623813632</v>
      </c>
      <c r="P16" s="49" t="s">
        <v>347</v>
      </c>
      <c r="Q16" s="30">
        <f>((($D$6)+(($D$7+($O$12*2))*2))*'Cal. Sheet Door 2'!$L$2)</f>
        <v>28.748850000000001</v>
      </c>
      <c r="R16" s="71">
        <f>+Q16*O16</f>
        <v>372.47595455047457</v>
      </c>
      <c r="S16" s="71" cm="1">
        <f t="array" ref="S16">IF(OR(('Quotation - Door 2'!$D$30=Controller!$A$16),('Quotation - Door 2'!$D$30=Controller!$A$17)),
(INDEX('Door and Panel Labor Exp. '!$J$5:$M$22,MATCH(MIN(IF('Door and Panel Labor Exp. '!$D$5:$D$22&gt;=('Quotation - Door 2'!$D$34*'Quotation - Door 2'!$D$35),'Door and Panel Labor Exp. '!$D$5:$D$22)),'Door and Panel Labor Exp. '!$D$5:$D$22,0),MATCH('Quotation - Door 2'!$D$31,'Door and Panel Labor Exp. '!$J$1:$M$1,0))),
IF(OR('Quotation - Door 2'!$D$30=Controller!$A$14,'Quotation - Door 2'!$D$30=Controller!$A$15),(INDEX('Door and Panel Labor Exp. '!$J$23:$M$40,MATCH(MIN(IF('Door and Panel Labor Exp. '!$D$23:$D$40&gt;=('Quotation - Door 2'!$D$34*'Quotation - Door 2'!$D$35),'Door and Panel Labor Exp. '!$D$23:$D$40)),'Door and Panel Labor Exp. '!$D$23:$D$40,0),MATCH('Quotation - Door 2'!$D$31,'Door and Panel Labor Exp. '!$J$1:$M$1,0))),
IF('Quotation - Door 2'!$D$30=Controller!$A$13,(INDEX('Door and Panel Labor Exp. '!$J$41:$M$59,MATCH(MIN(IF('Door and Panel Labor Exp. '!$D$41:$D$59&gt;=('Quotation - Door 2'!$D$34*'Quotation - Door 2'!$D$35),'Door and Panel Labor Exp. '!$D$41:$D$59)),'Door and Panel Labor Exp. '!$D$41:$D$59,0),MATCH('Quotation - Door 2'!$D$31,'Door and Panel Labor Exp. '!$J$1:$M$1,0))),
0)))</f>
        <v>218.4</v>
      </c>
      <c r="T16" s="71">
        <f t="shared" si="3"/>
        <v>590.8759545504746</v>
      </c>
      <c r="U16" s="71">
        <f>+$U$15+'Cost Sheet'!$P$10</f>
        <v>12.956203623813632</v>
      </c>
      <c r="V16" s="71">
        <f t="shared" ref="V16:W24" si="4">+R16</f>
        <v>372.47595455047457</v>
      </c>
      <c r="W16" s="71">
        <f t="shared" si="4"/>
        <v>218.4</v>
      </c>
      <c r="X16" s="71">
        <f>_xlfn.IFNA(T16*(1+(INDEX('Product Mark-up'!$F$4:$F$8,MATCH('Cal. Sheet Door 2'!$D$2,'Product Mark-up'!$C$4:$C$8,0)))),0)</f>
        <v>590.8759545504746</v>
      </c>
      <c r="AB16" s="28" t="s">
        <v>346</v>
      </c>
      <c r="AC16" s="71">
        <f>+$O$15+'Cost Sheet'!$N$10</f>
        <v>12.956203623813632</v>
      </c>
      <c r="AD16" s="49" t="s">
        <v>347</v>
      </c>
      <c r="AE16" s="30">
        <f>((($D$6*2)+(($D$7+($O$12*2))*2))*'Cal. Sheet Door 2'!$L$2)</f>
        <v>39.58175</v>
      </c>
      <c r="AF16" s="71">
        <f>+AE16*AC16</f>
        <v>512.82921278688525</v>
      </c>
      <c r="AG16" s="71" cm="1">
        <f t="array" ref="AG16">IF(OR(('Quotation - Door 2'!$D$30=Controller!$A$16),('Quotation - Door 2'!$D$30=Controller!$A$17)),
(INDEX('Door and Panel Labor Exp. '!$J$5:$M$22,MATCH(MIN(IF('Door and Panel Labor Exp. '!$D$5:$D$22&gt;=('Quotation - Door 2'!$D$34*'Quotation - Door 2'!$D$35),'Door and Panel Labor Exp. '!$D$5:$D$22)),'Door and Panel Labor Exp. '!$D$5:$D$22,0),MATCH('Quotation - Door 2'!$D$31,'Door and Panel Labor Exp. '!$J$1:$M$1,0))),
IF(OR('Quotation - Door 2'!$D$30=Controller!$A$14,'Quotation - Door 2'!$D$30=Controller!$A$15),(INDEX('Door and Panel Labor Exp. '!$J$23:$M$40,MATCH(MIN(IF('Door and Panel Labor Exp. '!$D$23:$D$40&gt;=('Quotation - Door 2'!$D$34*'Quotation - Door 2'!$D$35),'Door and Panel Labor Exp. '!$D$23:$D$40)),'Door and Panel Labor Exp. '!$D$23:$D$40,0),MATCH('Quotation - Door 2'!$D$31,'Door and Panel Labor Exp. '!$J$1:$M$1,0))),
IF('Quotation - Door 2'!$D$30=Controller!$A$13,(INDEX('Door and Panel Labor Exp. '!$J$41:$M$59,MATCH(MIN(IF('Door and Panel Labor Exp. '!$D$41:$D$59&gt;=('Quotation - Door 2'!$D$34*'Quotation - Door 2'!$D$35),'Door and Panel Labor Exp. '!$D$41:$D$59)),'Door and Panel Labor Exp. '!$D$41:$D$59,0),MATCH('Quotation - Door 2'!$D$31,'Door and Panel Labor Exp. '!$J$1:$M$1,0))),
0)))</f>
        <v>218.4</v>
      </c>
      <c r="AH16" s="71">
        <f>+AF16+AG16+IF('Doors - Step 1'!$E$12='Cal. Sheet Door 2'!$AE$3,'Accessories Install - Labour'!$F$83,0)</f>
        <v>731.22921278688523</v>
      </c>
      <c r="AI16" s="71">
        <f>+$U$15+'Cost Sheet'!$P$10</f>
        <v>12.956203623813632</v>
      </c>
      <c r="AJ16" s="71">
        <f t="shared" ref="AJ16:AK24" si="5">+AF16</f>
        <v>512.82921278688525</v>
      </c>
      <c r="AK16" s="71">
        <f t="shared" si="5"/>
        <v>218.4</v>
      </c>
      <c r="AL16" s="71">
        <f>_xlfn.IFNA(AH16*(1+(INDEX('Product Mark-up'!$F$4:$F$8,MATCH('Cal. Sheet Door 2'!$D$2,'Product Mark-up'!$C$4:$C$8,0)))),0)</f>
        <v>731.22921278688523</v>
      </c>
      <c r="AT16" s="751" t="s">
        <v>482</v>
      </c>
      <c r="AU16" s="751"/>
      <c r="AV16" s="751"/>
      <c r="AW16" s="752"/>
      <c r="AX16" s="932" t="s">
        <v>389</v>
      </c>
      <c r="AY16" s="933"/>
    </row>
    <row r="17" spans="1:51" ht="46.5" x14ac:dyDescent="0.35">
      <c r="A17" s="544"/>
      <c r="B17" s="21" t="str">
        <f>'Quotation - Door 2'!B46</f>
        <v>Option</v>
      </c>
      <c r="C17" s="21" t="str">
        <f>'Quotation - Door 2'!C46</f>
        <v>Freezer Door</v>
      </c>
      <c r="D17" s="121" t="str">
        <f>'Quotation - Door 2'!D46</f>
        <v xml:space="preserve">575VAC/1AMP Electric Defrost system. </v>
      </c>
      <c r="E17" s="19"/>
      <c r="F17" s="20"/>
      <c r="G17" s="20"/>
      <c r="H17" s="71"/>
      <c r="I17" s="71">
        <f>IF($D17=0,0,'Cost Sheet'!$N$28)</f>
        <v>2750</v>
      </c>
      <c r="J17" s="20">
        <f t="shared" si="1"/>
        <v>0</v>
      </c>
      <c r="K17" s="71">
        <f t="shared" si="2"/>
        <v>0</v>
      </c>
      <c r="L17" s="71">
        <f>_xlfn.IFNA(I17*(1+(INDEX('Product Mark-up'!$F$4:$F$8,MATCH('Cal. Sheet Door 2'!$D$2,'Product Mark-up'!$C$4:$C$8,0)))),0)</f>
        <v>2750</v>
      </c>
      <c r="N17" s="28" t="s">
        <v>348</v>
      </c>
      <c r="O17" s="71">
        <f>+$O$15+'Cost Sheet'!$N$3</f>
        <v>12.542357301704966</v>
      </c>
      <c r="P17" s="49" t="s">
        <v>349</v>
      </c>
      <c r="Q17" s="30">
        <f>((($D$6)+(($D$7+($O$12*2))*2))*'Cal. Sheet Door 2'!$L$2)</f>
        <v>28.748850000000001</v>
      </c>
      <c r="R17" s="71">
        <f>+Q17*O17</f>
        <v>360.57834871312082</v>
      </c>
      <c r="S17" s="71" cm="1">
        <f t="array" ref="S17">IF(OR(('Quotation - Door 2'!$D$30=Controller!$A$16),('Quotation - Door 2'!$D$30=Controller!$A$17)),
(INDEX('Door and Panel Labor Exp. '!$J$5:$M$22,MATCH(MIN(IF('Door and Panel Labor Exp. '!$D$5:$D$22&gt;=('Quotation - Door 2'!$D$34*'Quotation - Door 2'!$D$35),'Door and Panel Labor Exp. '!$D$5:$D$22)),'Door and Panel Labor Exp. '!$D$5:$D$22,0),MATCH('Quotation - Door 2'!$D$31,'Door and Panel Labor Exp. '!$J$1:$M$1,0))),
IF(OR('Quotation - Door 2'!$D$30=Controller!$A$14,'Quotation - Door 2'!$D$30=Controller!$A$15),(INDEX('Door and Panel Labor Exp. '!$J$23:$M$40,MATCH(MIN(IF('Door and Panel Labor Exp. '!$D$23:$D$40&gt;=('Quotation - Door 2'!$D$34*'Quotation - Door 2'!$D$35),'Door and Panel Labor Exp. '!$D$23:$D$40)),'Door and Panel Labor Exp. '!$D$23:$D$40,0),MATCH('Quotation - Door 2'!$D$31,'Door and Panel Labor Exp. '!$J$1:$M$1,0))),
IF('Quotation - Door 2'!$D$30=Controller!$A$13,(INDEX('Door and Panel Labor Exp. '!$J$41:$M$59,MATCH(MIN(IF('Door and Panel Labor Exp. '!$D$41:$D$59&gt;=('Quotation - Door 2'!$D$34*'Quotation - Door 2'!$D$35),'Door and Panel Labor Exp. '!$D$41:$D$59)),'Door and Panel Labor Exp. '!$D$41:$D$59,0),MATCH('Quotation - Door 2'!$D$31,'Door and Panel Labor Exp. '!$J$1:$M$1,0))),
0)))</f>
        <v>218.4</v>
      </c>
      <c r="T17" s="71">
        <f t="shared" si="3"/>
        <v>578.97834871312079</v>
      </c>
      <c r="U17" s="71">
        <f>+$U$15+'Cost Sheet'!$P$3</f>
        <v>12.542357301704966</v>
      </c>
      <c r="V17" s="71">
        <f t="shared" si="4"/>
        <v>360.57834871312082</v>
      </c>
      <c r="W17" s="71">
        <f t="shared" si="4"/>
        <v>218.4</v>
      </c>
      <c r="X17" s="71">
        <f>_xlfn.IFNA(T17*(1+(INDEX('Product Mark-up'!$F$4:$F$8,MATCH('Cal. Sheet Door 2'!$D$2,'Product Mark-up'!$C$4:$C$8,0)))),0)</f>
        <v>578.97834871312079</v>
      </c>
      <c r="AB17" s="28" t="s">
        <v>348</v>
      </c>
      <c r="AC17" s="71">
        <f>+$O$15+'Cost Sheet'!$N$3</f>
        <v>12.542357301704966</v>
      </c>
      <c r="AD17" s="49" t="s">
        <v>349</v>
      </c>
      <c r="AE17" s="30">
        <f>((($D$6*2)+(($D$7+($O$12*2))*2))*'Cal. Sheet Door 2'!$L$2)</f>
        <v>39.58175</v>
      </c>
      <c r="AF17" s="71">
        <f>+AE17*AC17</f>
        <v>496.44845112676052</v>
      </c>
      <c r="AG17" s="71" cm="1">
        <f t="array" ref="AG17">IF(OR(('Quotation - Door 2'!$D$30=Controller!$A$16),('Quotation - Door 2'!$D$30=Controller!$A$17)),
(INDEX('Door and Panel Labor Exp. '!$J$5:$M$22,MATCH(MIN(IF('Door and Panel Labor Exp. '!$D$5:$D$22&gt;=('Quotation - Door 2'!$D$34*'Quotation - Door 2'!$D$35),'Door and Panel Labor Exp. '!$D$5:$D$22)),'Door and Panel Labor Exp. '!$D$5:$D$22,0),MATCH('Quotation - Door 2'!$D$31,'Door and Panel Labor Exp. '!$J$1:$M$1,0))),
IF(OR('Quotation - Door 2'!$D$30=Controller!$A$14,'Quotation - Door 2'!$D$30=Controller!$A$15),(INDEX('Door and Panel Labor Exp. '!$J$23:$M$40,MATCH(MIN(IF('Door and Panel Labor Exp. '!$D$23:$D$40&gt;=('Quotation - Door 2'!$D$34*'Quotation - Door 2'!$D$35),'Door and Panel Labor Exp. '!$D$23:$D$40)),'Door and Panel Labor Exp. '!$D$23:$D$40,0),MATCH('Quotation - Door 2'!$D$31,'Door and Panel Labor Exp. '!$J$1:$M$1,0))),
IF('Quotation - Door 2'!$D$30=Controller!$A$13,(INDEX('Door and Panel Labor Exp. '!$J$41:$M$59,MATCH(MIN(IF('Door and Panel Labor Exp. '!$D$41:$D$59&gt;=('Quotation - Door 2'!$D$34*'Quotation - Door 2'!$D$35),'Door and Panel Labor Exp. '!$D$41:$D$59)),'Door and Panel Labor Exp. '!$D$41:$D$59,0),MATCH('Quotation - Door 2'!$D$31,'Door and Panel Labor Exp. '!$J$1:$M$1,0))),
0)))</f>
        <v>218.4</v>
      </c>
      <c r="AH17" s="71">
        <f>+AF17+AG17+IF('Doors - Step 1'!$E$12='Cal. Sheet Door 2'!$AE$3,'Accessories Install - Labour'!$F$83,0)</f>
        <v>714.84845112676055</v>
      </c>
      <c r="AI17" s="71">
        <f>+$U$15+'Cost Sheet'!$P$3</f>
        <v>12.542357301704966</v>
      </c>
      <c r="AJ17" s="71">
        <f t="shared" si="5"/>
        <v>496.44845112676052</v>
      </c>
      <c r="AK17" s="71">
        <f t="shared" si="5"/>
        <v>218.4</v>
      </c>
      <c r="AL17" s="71">
        <f>_xlfn.IFNA(AH17*(1+(INDEX('Product Mark-up'!$F$4:$F$8,MATCH('Cal. Sheet Door 2'!$D$2,'Product Mark-up'!$C$4:$C$8,0)))),0)</f>
        <v>714.84845112676055</v>
      </c>
      <c r="AT17" s="46" t="s">
        <v>483</v>
      </c>
      <c r="AU17" s="19">
        <v>20</v>
      </c>
      <c r="AV17" s="19">
        <v>30</v>
      </c>
      <c r="AW17" s="19">
        <v>8</v>
      </c>
      <c r="AX17" s="165" t="s">
        <v>484</v>
      </c>
      <c r="AY17" s="165" t="s">
        <v>388</v>
      </c>
    </row>
    <row r="18" spans="1:51" ht="46.5" x14ac:dyDescent="0.35">
      <c r="A18" s="544"/>
      <c r="B18" s="21" t="str">
        <f>'Quotation - Door 2'!B47</f>
        <v>Option</v>
      </c>
      <c r="C18" s="21" t="str">
        <f>'Quotation - Door 2'!C47</f>
        <v>Kick Plate Material</v>
      </c>
      <c r="D18" s="121">
        <f>'Quotation - Door 2'!D47</f>
        <v>0</v>
      </c>
      <c r="E18" s="940">
        <f>_xlfn.IFNA((INDEX('Cost Sheet'!$N:$N,MATCH('Quotation - Door 2'!$D$47,'Cost Sheet'!$C:$C,0))),0)</f>
        <v>0</v>
      </c>
      <c r="F18" s="947" t="e">
        <f>IF(D20="Interior and Exterior",(2*(($D$6*'Cal. Sheet Door 2'!$L$2)*(INDEX('Cal. Sheet Door 2'!$Z$3:$Z$6,MATCH('Quotation - Door 2'!$D$48,'Cal. Sheet Door 2'!$Y$3:$Y$6,0))))),(($D$6*'Cal. Sheet Door 2'!$L$2)*(INDEX('Cal. Sheet Door 2'!$Z$3:$Z$6,MATCH('Quotation - Door 2'!$D$48,'Cal. Sheet Door 2'!$Y$3:$Y$6,0)))))</f>
        <v>#N/A</v>
      </c>
      <c r="G18" s="950" t="s">
        <v>133</v>
      </c>
      <c r="H18" s="944">
        <f>+IF(D19=0,0,IF(D20="Interior and Exterior",(2*INDEX('Accessories Install - Labour'!$E:$E,MATCH('Cal. Sheet Door 2'!$D19,'Accessories Install - Labour'!$C:$C,0))),INDEX('Accessories Install - Labour'!$E:$E,MATCH('Cal. Sheet Door 2'!$D19,'Accessories Install - Labour'!$C:$C,0))))</f>
        <v>0</v>
      </c>
      <c r="I18" s="940" t="e">
        <f>(E18*F18)+H18</f>
        <v>#N/A</v>
      </c>
      <c r="J18" s="940">
        <f t="shared" si="1"/>
        <v>0</v>
      </c>
      <c r="K18" s="944">
        <f t="shared" si="2"/>
        <v>0</v>
      </c>
      <c r="L18" s="940">
        <f>_xlfn.IFNA(I18*(1+(INDEX('Product Mark-up'!$F$4:$F$8,MATCH('Cal. Sheet Door 2'!$D$2,'Product Mark-up'!$C$4:$C$8,0)))),0)</f>
        <v>0</v>
      </c>
      <c r="N18" s="28" t="s">
        <v>350</v>
      </c>
      <c r="O18" s="71">
        <f>+$O$15+'Cost Sheet'!$N$5</f>
        <v>12.476670784943579</v>
      </c>
      <c r="P18" s="49" t="s">
        <v>349</v>
      </c>
      <c r="Q18" s="30">
        <f>((($D$6)+(($D$7+($O$12*2))*2))*'Cal. Sheet Door 2'!$L$2)</f>
        <v>28.748850000000001</v>
      </c>
      <c r="R18" s="71">
        <f>+Q18*O18</f>
        <v>358.68993689572522</v>
      </c>
      <c r="S18" s="71" cm="1">
        <f t="array" ref="S18">IF(OR(('Quotation - Door 2'!$D$30=Controller!$A$16),('Quotation - Door 2'!$D$30=Controller!$A$17)),
(INDEX('Door and Panel Labor Exp. '!$J$5:$M$22,MATCH(MIN(IF('Door and Panel Labor Exp. '!$D$5:$D$22&gt;=('Quotation - Door 2'!$D$34*'Quotation - Door 2'!$D$35),'Door and Panel Labor Exp. '!$D$5:$D$22)),'Door and Panel Labor Exp. '!$D$5:$D$22,0),MATCH('Quotation - Door 2'!$D$31,'Door and Panel Labor Exp. '!$J$1:$M$1,0))),
IF(OR('Quotation - Door 2'!$D$30=Controller!$A$14,'Quotation - Door 2'!$D$30=Controller!$A$15),(INDEX('Door and Panel Labor Exp. '!$J$23:$M$40,MATCH(MIN(IF('Door and Panel Labor Exp. '!$D$23:$D$40&gt;=('Quotation - Door 2'!$D$34*'Quotation - Door 2'!$D$35),'Door and Panel Labor Exp. '!$D$23:$D$40)),'Door and Panel Labor Exp. '!$D$23:$D$40,0),MATCH('Quotation - Door 2'!$D$31,'Door and Panel Labor Exp. '!$J$1:$M$1,0))),
IF('Quotation - Door 2'!$D$30=Controller!$A$13,(INDEX('Door and Panel Labor Exp. '!$J$41:$M$59,MATCH(MIN(IF('Door and Panel Labor Exp. '!$D$41:$D$59&gt;=('Quotation - Door 2'!$D$34*'Quotation - Door 2'!$D$35),'Door and Panel Labor Exp. '!$D$41:$D$59)),'Door and Panel Labor Exp. '!$D$41:$D$59,0),MATCH('Quotation - Door 2'!$D$31,'Door and Panel Labor Exp. '!$J$1:$M$1,0))),
0)))</f>
        <v>218.4</v>
      </c>
      <c r="T18" s="71">
        <f t="shared" si="3"/>
        <v>577.08993689572526</v>
      </c>
      <c r="U18" s="71">
        <f>+$U$15+'Cost Sheet'!$P$5</f>
        <v>12.476670784943579</v>
      </c>
      <c r="V18" s="71">
        <f t="shared" si="4"/>
        <v>358.68993689572522</v>
      </c>
      <c r="W18" s="71">
        <f t="shared" si="4"/>
        <v>218.4</v>
      </c>
      <c r="X18" s="71">
        <f>_xlfn.IFNA(T18*(1+(INDEX('Product Mark-up'!$F$4:$F$8,MATCH('Cal. Sheet Door 2'!$D$2,'Product Mark-up'!$C$4:$C$8,0)))),0)</f>
        <v>577.08993689572526</v>
      </c>
      <c r="AB18" s="28" t="s">
        <v>350</v>
      </c>
      <c r="AC18" s="71">
        <f>+$O$15+'Cost Sheet'!$N$5</f>
        <v>12.476670784943579</v>
      </c>
      <c r="AD18" s="49" t="s">
        <v>349</v>
      </c>
      <c r="AE18" s="30">
        <f>((($D$6*2)+(($D$7+($O$12*2))*2))*'Cal. Sheet Door 2'!$L$2)</f>
        <v>39.58175</v>
      </c>
      <c r="AF18" s="71">
        <f>+AE18*AC18</f>
        <v>493.84846384194049</v>
      </c>
      <c r="AG18" s="71" cm="1">
        <f t="array" ref="AG18">IF(OR(('Quotation - Door 2'!$D$30=Controller!$A$16),('Quotation - Door 2'!$D$30=Controller!$A$17)),
(INDEX('Door and Panel Labor Exp. '!$J$5:$M$22,MATCH(MIN(IF('Door and Panel Labor Exp. '!$D$5:$D$22&gt;=('Quotation - Door 2'!$D$34*'Quotation - Door 2'!$D$35),'Door and Panel Labor Exp. '!$D$5:$D$22)),'Door and Panel Labor Exp. '!$D$5:$D$22,0),MATCH('Quotation - Door 2'!$D$31,'Door and Panel Labor Exp. '!$J$1:$M$1,0))),
IF(OR('Quotation - Door 2'!$D$30=Controller!$A$14,'Quotation - Door 2'!$D$30=Controller!$A$15),(INDEX('Door and Panel Labor Exp. '!$J$23:$M$40,MATCH(MIN(IF('Door and Panel Labor Exp. '!$D$23:$D$40&gt;=('Quotation - Door 2'!$D$34*'Quotation - Door 2'!$D$35),'Door and Panel Labor Exp. '!$D$23:$D$40)),'Door and Panel Labor Exp. '!$D$23:$D$40,0),MATCH('Quotation - Door 2'!$D$31,'Door and Panel Labor Exp. '!$J$1:$M$1,0))),
IF('Quotation - Door 2'!$D$30=Controller!$A$13,(INDEX('Door and Panel Labor Exp. '!$J$41:$M$59,MATCH(MIN(IF('Door and Panel Labor Exp. '!$D$41:$D$59&gt;=('Quotation - Door 2'!$D$34*'Quotation - Door 2'!$D$35),'Door and Panel Labor Exp. '!$D$41:$D$59)),'Door and Panel Labor Exp. '!$D$41:$D$59,0),MATCH('Quotation - Door 2'!$D$31,'Door and Panel Labor Exp. '!$J$1:$M$1,0))),
0)))</f>
        <v>218.4</v>
      </c>
      <c r="AH18" s="71">
        <f>+AF18+AG18+IF('Doors - Step 1'!$E$12='Cal. Sheet Door 2'!$AE$3,'Accessories Install - Labour'!$F$83,0)</f>
        <v>712.24846384194052</v>
      </c>
      <c r="AI18" s="71">
        <f>+$U$15+'Cost Sheet'!$P$5</f>
        <v>12.476670784943579</v>
      </c>
      <c r="AJ18" s="71">
        <f t="shared" si="5"/>
        <v>493.84846384194049</v>
      </c>
      <c r="AK18" s="71">
        <f t="shared" si="5"/>
        <v>218.4</v>
      </c>
      <c r="AL18" s="71">
        <f>_xlfn.IFNA(AH18*(1+(INDEX('Product Mark-up'!$F$4:$F$8,MATCH('Cal. Sheet Door 2'!$D$2,'Product Mark-up'!$C$4:$C$8,0)))),0)</f>
        <v>712.24846384194052</v>
      </c>
      <c r="AT18" s="46"/>
      <c r="AU18" s="19"/>
      <c r="AV18" s="19"/>
      <c r="AW18" s="19"/>
      <c r="AX18" s="167"/>
      <c r="AY18" s="167"/>
    </row>
    <row r="19" spans="1:51" ht="46.5" x14ac:dyDescent="0.35">
      <c r="A19" s="544"/>
      <c r="B19" s="21" t="str">
        <f>'Quotation - Door 2'!B48</f>
        <v>Option</v>
      </c>
      <c r="C19" s="181" t="str">
        <f>'Quotation - Door 2'!C48</f>
        <v>Kick Plate Size</v>
      </c>
      <c r="D19" s="121">
        <f>'Quotation - Door 2'!D48</f>
        <v>0</v>
      </c>
      <c r="E19" s="940"/>
      <c r="F19" s="948"/>
      <c r="G19" s="951"/>
      <c r="H19" s="945"/>
      <c r="I19" s="940"/>
      <c r="J19" s="940">
        <f t="shared" si="1"/>
        <v>0</v>
      </c>
      <c r="K19" s="945">
        <f t="shared" si="2"/>
        <v>0</v>
      </c>
      <c r="L19" s="940">
        <f>_xlfn.IFNA(I19*(1+(INDEX('Product Mark-up'!$F$4:$F$8,MATCH('Calculation Sheet - BOM '!$D$2,'Product Mark-up'!$C$4:$C$8,0)))),0)</f>
        <v>0</v>
      </c>
      <c r="N19" s="28" t="s">
        <v>351</v>
      </c>
      <c r="O19" s="71">
        <f>+'Cost Sheet'!$N$27+'Cost Sheet'!$N$10</f>
        <v>2.7368286238136323</v>
      </c>
      <c r="P19" s="49" t="s">
        <v>352</v>
      </c>
      <c r="Q19" s="30">
        <f>SUM((($O$12*($D$7+$O$12))*2),($O$12*$D$6))*$L$4</f>
        <v>13.315774951862501</v>
      </c>
      <c r="R19" s="71">
        <f>+O19*Q19*2</f>
        <v>72.885988073035776</v>
      </c>
      <c r="S19" s="71" cm="1">
        <f t="array" ref="S19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T19" s="71">
        <f t="shared" si="3"/>
        <v>1029.6859880730358</v>
      </c>
      <c r="U19" s="71">
        <f>+'Cost Sheet'!$P$27+'Cost Sheet'!$P$10</f>
        <v>2.7368286238136323</v>
      </c>
      <c r="V19" s="71">
        <f t="shared" si="4"/>
        <v>72.885988073035776</v>
      </c>
      <c r="W19" s="71">
        <f t="shared" si="4"/>
        <v>956.8</v>
      </c>
      <c r="X19" s="71">
        <f>_xlfn.IFNA(T19*(1+(INDEX('Product Mark-up'!$F$4:$F$8,MATCH('Cal. Sheet Door 2'!$D$2,'Product Mark-up'!$C$4:$C$8,0)))),0)</f>
        <v>1029.6859880730358</v>
      </c>
      <c r="AB19" s="28" t="s">
        <v>351</v>
      </c>
      <c r="AC19" s="71">
        <f>+'Cost Sheet'!$N$27+'Cost Sheet'!$N$10</f>
        <v>2.7368286238136323</v>
      </c>
      <c r="AD19" s="49" t="s">
        <v>352</v>
      </c>
      <c r="AE19" s="30">
        <f>SUM((($O$12*($D$7+(2*$O$12)))),($O$12*($D$6+(2*$O$12))))*2*$L$4</f>
        <v>19.883825865150001</v>
      </c>
      <c r="AF19" s="71">
        <f>+AC19*AE19*2</f>
        <v>108.83724755733677</v>
      </c>
      <c r="AG19" s="71" cm="1">
        <f t="array" ref="AG19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AH19" s="71">
        <f>+AF19+AG19+IF('Doors - Step 1'!$E$12='Cal. Sheet Door 2'!$AE$3,'Accessories Install - Labour'!$F$83,0)</f>
        <v>1065.6372475573367</v>
      </c>
      <c r="AI19" s="71">
        <f>+'Cost Sheet'!$P$27+'Cost Sheet'!$P$10</f>
        <v>2.7368286238136323</v>
      </c>
      <c r="AJ19" s="71">
        <f t="shared" si="5"/>
        <v>108.83724755733677</v>
      </c>
      <c r="AK19" s="71">
        <f t="shared" si="5"/>
        <v>956.8</v>
      </c>
      <c r="AL19" s="71">
        <f>_xlfn.IFNA(AH19*(1+(INDEX('Product Mark-up'!$F$4:$F$8,MATCH('Cal. Sheet Door 2'!$D$2,'Product Mark-up'!$C$4:$C$8,0)))),0)</f>
        <v>1065.6372475573367</v>
      </c>
      <c r="AT19" s="46"/>
      <c r="AU19" s="19"/>
      <c r="AV19" s="19"/>
      <c r="AW19" s="19"/>
      <c r="AX19" s="167"/>
      <c r="AY19" s="167"/>
    </row>
    <row r="20" spans="1:51" ht="46.5" x14ac:dyDescent="0.35">
      <c r="A20" s="544"/>
      <c r="B20" s="21" t="str">
        <f>'Quotation - Door 2'!B49</f>
        <v>Option</v>
      </c>
      <c r="C20" s="181" t="str">
        <f>'Quotation - Door 2'!C49</f>
        <v>Kick Plate Location</v>
      </c>
      <c r="D20" s="121">
        <f>'Quotation - Door 2'!D49</f>
        <v>0</v>
      </c>
      <c r="E20" s="940"/>
      <c r="F20" s="949"/>
      <c r="G20" s="952"/>
      <c r="H20" s="946"/>
      <c r="I20" s="940"/>
      <c r="J20" s="940">
        <f t="shared" si="1"/>
        <v>0</v>
      </c>
      <c r="K20" s="946">
        <f t="shared" si="2"/>
        <v>0</v>
      </c>
      <c r="L20" s="940">
        <f>_xlfn.IFNA(I20*(1+(INDEX('Product Mark-up'!$F$4:$F$8,MATCH('Calculation Sheet - BOM '!$D$2,'Product Mark-up'!$C$4:$C$8,0)))),0)</f>
        <v>0</v>
      </c>
      <c r="N20" s="28" t="s">
        <v>353</v>
      </c>
      <c r="O20" s="71">
        <f>+'Cost Sheet'!$N$27+'Cost Sheet'!$N$3</f>
        <v>2.3229823017049664</v>
      </c>
      <c r="P20" s="49" t="s">
        <v>352</v>
      </c>
      <c r="Q20" s="30">
        <f t="shared" ref="Q20:Q21" si="6">SUM((($O$12*($D$7+$O$12))*2),($O$12*$D$6))*$L$4</f>
        <v>13.315774951862501</v>
      </c>
      <c r="R20" s="71">
        <f>+O20*Q20*2</f>
        <v>61.864619093325786</v>
      </c>
      <c r="S20" s="71" cm="1">
        <f t="array" ref="S20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T20" s="71">
        <f t="shared" si="3"/>
        <v>1018.6646190933258</v>
      </c>
      <c r="U20" s="71">
        <f>+'Cost Sheet'!$P$27+'Cost Sheet'!$P$3</f>
        <v>2.3229823017049664</v>
      </c>
      <c r="V20" s="71">
        <f t="shared" si="4"/>
        <v>61.864619093325786</v>
      </c>
      <c r="W20" s="71">
        <f t="shared" si="4"/>
        <v>956.8</v>
      </c>
      <c r="X20" s="71">
        <f>_xlfn.IFNA(T20*(1+(INDEX('Product Mark-up'!$F$4:$F$8,MATCH('Cal. Sheet Door 2'!$D$2,'Product Mark-up'!$C$4:$C$8,0)))),0)</f>
        <v>1018.6646190933258</v>
      </c>
      <c r="AB20" s="28" t="s">
        <v>353</v>
      </c>
      <c r="AC20" s="71">
        <f>+'Cost Sheet'!$N$27+'Cost Sheet'!$N$3</f>
        <v>2.3229823017049664</v>
      </c>
      <c r="AD20" s="49" t="s">
        <v>352</v>
      </c>
      <c r="AE20" s="30">
        <f>SUM((($O$12*($D$7+(2*$O$12)))),($O$12*($D$6+(2*$O$12))))*2*$L$4</f>
        <v>19.883825865150001</v>
      </c>
      <c r="AF20" s="71">
        <f>+AC20*AE20*2</f>
        <v>92.379551149853796</v>
      </c>
      <c r="AG20" s="71" cm="1">
        <f t="array" ref="AG20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AH20" s="71">
        <f>+AF20+AG20+IF('Doors - Step 1'!$E$12='Cal. Sheet Door 2'!$AE$3,'Accessories Install - Labour'!$F$83,0)</f>
        <v>1049.1795511498538</v>
      </c>
      <c r="AI20" s="71">
        <f>+'Cost Sheet'!$P$27+'Cost Sheet'!$P$3</f>
        <v>2.3229823017049664</v>
      </c>
      <c r="AJ20" s="71">
        <f t="shared" si="5"/>
        <v>92.379551149853796</v>
      </c>
      <c r="AK20" s="71">
        <f t="shared" si="5"/>
        <v>956.8</v>
      </c>
      <c r="AL20" s="71">
        <f>_xlfn.IFNA(AH20*(1+(INDEX('Product Mark-up'!$F$4:$F$8,MATCH('Cal. Sheet Door 2'!$D$2,'Product Mark-up'!$C$4:$C$8,0)))),0)</f>
        <v>1049.1795511498538</v>
      </c>
      <c r="AT20" s="46"/>
      <c r="AU20" s="19"/>
      <c r="AV20" s="19"/>
      <c r="AW20" s="19"/>
      <c r="AX20" s="167"/>
      <c r="AY20" s="167"/>
    </row>
    <row r="21" spans="1:51" ht="46.5" x14ac:dyDescent="0.35">
      <c r="A21" s="544"/>
      <c r="B21" s="21" t="str">
        <f>'Quotation - Door 2'!B50</f>
        <v>Option</v>
      </c>
      <c r="C21" s="21" t="str">
        <f>'Quotation - Door 2'!C50</f>
        <v>ViewPort Window Size</v>
      </c>
      <c r="D21" s="121">
        <f>'Quotation - Door 2'!D50</f>
        <v>0</v>
      </c>
      <c r="E21" s="71">
        <f>IF($D21=0,0,(INDEX('Cost Sheet'!$N:$N,MATCH('Quotation - Door 2'!$D50,'Cost Sheet'!$C:$C,0))+((2*(15+21))*'Cal. Sheet Door 2'!$L$2*'Cost Sheet'!$N$65)))</f>
        <v>0</v>
      </c>
      <c r="F21" s="20"/>
      <c r="G21" s="121" t="s">
        <v>354</v>
      </c>
      <c r="H21" s="71"/>
      <c r="I21" s="71">
        <f>+E21+H21</f>
        <v>0</v>
      </c>
      <c r="J21" s="71">
        <f t="shared" si="1"/>
        <v>0</v>
      </c>
      <c r="K21" s="71">
        <f t="shared" si="2"/>
        <v>0</v>
      </c>
      <c r="L21" s="71">
        <f>_xlfn.IFNA(I21*(1+(INDEX('Product Mark-up'!$F$4:$F$8,MATCH('Cal. Sheet Door 2'!$D$2,'Product Mark-up'!$C$4:$C$8,0)))),0)</f>
        <v>0</v>
      </c>
      <c r="N21" s="28" t="s">
        <v>355</v>
      </c>
      <c r="O21" s="71">
        <f>+'Cost Sheet'!$N$27+'Cost Sheet'!$N$5</f>
        <v>2.2572957849435795</v>
      </c>
      <c r="P21" s="49" t="s">
        <v>352</v>
      </c>
      <c r="Q21" s="30">
        <f t="shared" si="6"/>
        <v>13.315774951862501</v>
      </c>
      <c r="R21" s="71">
        <f>+O21*Q21*2</f>
        <v>60.11528534419304</v>
      </c>
      <c r="S21" s="71" cm="1">
        <f t="array" ref="S21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T21" s="71">
        <f t="shared" si="3"/>
        <v>1016.915285344193</v>
      </c>
      <c r="U21" s="71">
        <f>+'Cost Sheet'!$P$27+'Cost Sheet'!$P$5</f>
        <v>2.2572957849435795</v>
      </c>
      <c r="V21" s="71">
        <f t="shared" si="4"/>
        <v>60.11528534419304</v>
      </c>
      <c r="W21" s="71">
        <f t="shared" si="4"/>
        <v>956.8</v>
      </c>
      <c r="X21" s="71">
        <f>_xlfn.IFNA(T21*(1+(INDEX('Product Mark-up'!$F$4:$F$8,MATCH('Cal. Sheet Door 2'!$D$2,'Product Mark-up'!$C$4:$C$8,0)))),0)</f>
        <v>1016.915285344193</v>
      </c>
      <c r="AB21" s="28" t="s">
        <v>355</v>
      </c>
      <c r="AC21" s="71">
        <f>+'Cost Sheet'!$N$27+'Cost Sheet'!$N$5</f>
        <v>2.2572957849435795</v>
      </c>
      <c r="AD21" s="49" t="s">
        <v>352</v>
      </c>
      <c r="AE21" s="30">
        <f>SUM((($O$12*($D$7+(2*$O$12)))),($O$12*($D$6+(2*$O$12))))*2*$L$4</f>
        <v>19.883825865150001</v>
      </c>
      <c r="AF21" s="71">
        <f>+AC21*AE21*2</f>
        <v>89.767352627910441</v>
      </c>
      <c r="AG21" s="71" cm="1">
        <f t="array" ref="AG21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AH21" s="71">
        <f>+AF21+AG21+IF('Doors - Step 1'!$E$12='Cal. Sheet Door 2'!$AE$3,'Accessories Install - Labour'!$F$83,0)</f>
        <v>1046.5673526279104</v>
      </c>
      <c r="AI21" s="71">
        <f>+'Cost Sheet'!$P$27+'Cost Sheet'!$P$5</f>
        <v>2.2572957849435795</v>
      </c>
      <c r="AJ21" s="71">
        <f t="shared" si="5"/>
        <v>89.767352627910441</v>
      </c>
      <c r="AK21" s="71">
        <f t="shared" si="5"/>
        <v>956.8</v>
      </c>
      <c r="AL21" s="71">
        <f>_xlfn.IFNA(AH21*(1+(INDEX('Product Mark-up'!$F$4:$F$8,MATCH('Cal. Sheet Door 2'!$D$2,'Product Mark-up'!$C$4:$C$8,0)))),0)</f>
        <v>1046.5673526279104</v>
      </c>
      <c r="AT21" s="46"/>
      <c r="AU21" s="19"/>
      <c r="AV21" s="19"/>
      <c r="AW21" s="19"/>
      <c r="AX21" s="167"/>
      <c r="AY21" s="167"/>
    </row>
    <row r="22" spans="1:51" ht="46.5" x14ac:dyDescent="0.35">
      <c r="A22" s="544"/>
      <c r="B22" s="21" t="str">
        <f>'Quotation - Door 2'!B51</f>
        <v>Option</v>
      </c>
      <c r="C22" s="181" t="str">
        <f>'Quotation - Door 2'!C51</f>
        <v>ViewPort Window Type</v>
      </c>
      <c r="D22" s="121">
        <f>'Quotation - Door 2'!D51</f>
        <v>0</v>
      </c>
      <c r="E22" s="19"/>
      <c r="F22" s="20"/>
      <c r="G22" s="19" t="s">
        <v>133</v>
      </c>
      <c r="H22" s="71">
        <f>+IF(D22=0,0,IF(D22="Insulated",'Accessories Install - Labour'!$F$9,'Accessories Install - Labour'!$F$10))</f>
        <v>0</v>
      </c>
      <c r="I22" s="71">
        <f>+H22</f>
        <v>0</v>
      </c>
      <c r="J22" s="20">
        <f t="shared" si="1"/>
        <v>0</v>
      </c>
      <c r="K22" s="71">
        <f t="shared" si="2"/>
        <v>0</v>
      </c>
      <c r="L22" s="71">
        <f>_xlfn.IFNA(I22*(1+(INDEX('Product Mark-up'!$F$4:$F$8,MATCH('Cal. Sheet Door 2'!$D$2,'Product Mark-up'!$C$4:$C$8,0)))),0)</f>
        <v>0</v>
      </c>
      <c r="N22" s="28" t="s">
        <v>356</v>
      </c>
      <c r="O22" s="71">
        <f>+'Cost Sheet'!$N$24+'Cost Sheet'!$N$10</f>
        <v>6.0253702904802982</v>
      </c>
      <c r="P22" s="49" t="s">
        <v>347</v>
      </c>
      <c r="Q22" s="30">
        <f>((($D$6*2)+(($D$7+($O$12*2))*2))*'Cal. Sheet Door 2'!$L$2)</f>
        <v>39.58175</v>
      </c>
      <c r="R22" s="71">
        <f>('Cost Sheet'!$N$24*$Q22)+('Cost Sheet'!$N$10*$Q$21)</f>
        <v>196.56885594038303</v>
      </c>
      <c r="S22" s="71" cm="1">
        <f t="array" ref="S22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T22" s="71">
        <f t="shared" si="3"/>
        <v>1153.3688559403829</v>
      </c>
      <c r="U22" s="71">
        <f>+'Cost Sheet'!$P$24+'Cost Sheet'!$P$10</f>
        <v>6.0253702904802982</v>
      </c>
      <c r="V22" s="71">
        <f t="shared" si="4"/>
        <v>196.56885594038303</v>
      </c>
      <c r="W22" s="71">
        <f t="shared" si="4"/>
        <v>956.8</v>
      </c>
      <c r="X22" s="71">
        <f>_xlfn.IFNA(T22*(1+(INDEX('Product Mark-up'!$F$4:$F$8,MATCH('Cal. Sheet Door 2'!$D$2,'Product Mark-up'!$C$4:$C$8,0)))),0)</f>
        <v>1153.3688559403829</v>
      </c>
      <c r="AB22" s="28" t="s">
        <v>356</v>
      </c>
      <c r="AC22" s="71">
        <f>+'Cost Sheet'!$N$24+'Cost Sheet'!$N$10</f>
        <v>6.0253702904802982</v>
      </c>
      <c r="AD22" s="49" t="s">
        <v>347</v>
      </c>
      <c r="AE22" s="30">
        <f>((($D$6*2)+(($D$7+($O$12*2))*2))*'Cal. Sheet Door 2'!$L$2)</f>
        <v>39.58175</v>
      </c>
      <c r="AF22" s="71">
        <f>('Cost Sheet'!$N$24*$Q22)+('Cost Sheet'!$N$10*$Q$21)</f>
        <v>196.56885594038303</v>
      </c>
      <c r="AG22" s="71" cm="1">
        <f t="array" ref="AG22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AH22" s="71">
        <f>+AF22+AG22+IF('Doors - Step 1'!$E$12='Cal. Sheet Door 2'!$AE$3,'Accessories Install - Labour'!$F$83,0)</f>
        <v>1153.3688559403829</v>
      </c>
      <c r="AI22" s="71">
        <f>+'Cost Sheet'!$P$24+'Cost Sheet'!$P$10</f>
        <v>6.0253702904802982</v>
      </c>
      <c r="AJ22" s="71">
        <f t="shared" si="5"/>
        <v>196.56885594038303</v>
      </c>
      <c r="AK22" s="71">
        <f t="shared" si="5"/>
        <v>956.8</v>
      </c>
      <c r="AL22" s="71">
        <f>_xlfn.IFNA(AH22*(1+(INDEX('Product Mark-up'!$F$4:$F$8,MATCH('Cal. Sheet Door 2'!$D$2,'Product Mark-up'!$C$4:$C$8,0)))),0)</f>
        <v>1153.3688559403829</v>
      </c>
      <c r="AT22" s="46"/>
      <c r="AU22" s="19"/>
      <c r="AV22" s="19"/>
      <c r="AW22" s="19"/>
      <c r="AX22" s="167"/>
      <c r="AY22" s="167"/>
    </row>
    <row r="23" spans="1:51" ht="46.5" x14ac:dyDescent="0.35">
      <c r="A23" s="544"/>
      <c r="B23" s="21" t="str">
        <f>'Quotation - Door 2'!B52</f>
        <v>Not Required</v>
      </c>
      <c r="C23" s="21" t="str">
        <f>'Quotation - Door 2'!C52</f>
        <v>Motion Sensor</v>
      </c>
      <c r="D23" s="121">
        <f>'Quotation - Door 2'!D52</f>
        <v>0</v>
      </c>
      <c r="E23" s="71">
        <f>IF($D23=0,0,(INDEX('Cost Sheet'!$N:$N,MATCH('Quotation - Door 2'!$D52,'Cost Sheet'!$C:$C,0))))</f>
        <v>0</v>
      </c>
      <c r="F23" s="20"/>
      <c r="G23" s="19" t="s">
        <v>133</v>
      </c>
      <c r="H23" s="71"/>
      <c r="I23" s="71">
        <f>IF($D23=0,0,(INDEX('Cost Sheet'!$N:$N,MATCH('Quotation - Door 2'!$D52,'Cost Sheet'!$C:$C,0))))</f>
        <v>0</v>
      </c>
      <c r="J23" s="20">
        <f t="shared" si="1"/>
        <v>0</v>
      </c>
      <c r="K23" s="71">
        <f t="shared" si="2"/>
        <v>0</v>
      </c>
      <c r="L23" s="71">
        <f>_xlfn.IFNA(I23*(1+(INDEX('Product Mark-up'!$F$4:$F$8,MATCH('Cal. Sheet Door 2'!$D$2,'Product Mark-up'!$C$4:$C$8,0)))),0)</f>
        <v>0</v>
      </c>
      <c r="N23" s="28" t="s">
        <v>55</v>
      </c>
      <c r="O23" s="71">
        <f>+'Cost Sheet'!$N$24+'Cost Sheet'!$N$3</f>
        <v>5.6115239683716327</v>
      </c>
      <c r="P23" s="49" t="s">
        <v>349</v>
      </c>
      <c r="Q23" s="30">
        <f>((($D$6*2)+(($D$7+($O$12*2))*2))*'Cal. Sheet Door 2'!$L$2)</f>
        <v>39.58175</v>
      </c>
      <c r="R23" s="71">
        <f>('Cost Sheet'!$N$24*$Q23)+('Cost Sheet'!$N$3*$Q$21)</f>
        <v>191.05817145052805</v>
      </c>
      <c r="S23" s="71" cm="1">
        <f t="array" ref="S23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T23" s="71">
        <f t="shared" si="3"/>
        <v>1147.8581714505281</v>
      </c>
      <c r="U23" s="71">
        <f>+'Cost Sheet'!$P$24+'Cost Sheet'!$P$3</f>
        <v>5.6115239683716327</v>
      </c>
      <c r="V23" s="71">
        <f t="shared" si="4"/>
        <v>191.05817145052805</v>
      </c>
      <c r="W23" s="71">
        <f t="shared" si="4"/>
        <v>956.8</v>
      </c>
      <c r="X23" s="71">
        <f>_xlfn.IFNA(T23*(1+(INDEX('Product Mark-up'!$F$4:$F$8,MATCH('Cal. Sheet Door 2'!$D$2,'Product Mark-up'!$C$4:$C$8,0)))),0)</f>
        <v>1147.8581714505281</v>
      </c>
      <c r="AB23" s="28" t="s">
        <v>55</v>
      </c>
      <c r="AC23" s="71">
        <f>+'Cost Sheet'!$N$24+'Cost Sheet'!$N$3</f>
        <v>5.6115239683716327</v>
      </c>
      <c r="AD23" s="49" t="s">
        <v>349</v>
      </c>
      <c r="AE23" s="30">
        <f>((($D$6*2)+(($D$7+($O$12*2))*2))*'Cal. Sheet Door 2'!$L$2)</f>
        <v>39.58175</v>
      </c>
      <c r="AF23" s="71">
        <f>('Cost Sheet'!$N$24*$Q23)+('Cost Sheet'!$N$3*$Q$21)</f>
        <v>191.05817145052805</v>
      </c>
      <c r="AG23" s="71" cm="1">
        <f t="array" ref="AG23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AH23" s="71">
        <f>+AF23+AG23+IF('Doors - Step 1'!$E$12='Cal. Sheet Door 2'!$AE$3,'Accessories Install - Labour'!$F$83,0)</f>
        <v>1147.8581714505281</v>
      </c>
      <c r="AI23" s="71">
        <f>+'Cost Sheet'!$P$24+'Cost Sheet'!$P$3</f>
        <v>5.6115239683716327</v>
      </c>
      <c r="AJ23" s="71">
        <f t="shared" si="5"/>
        <v>191.05817145052805</v>
      </c>
      <c r="AK23" s="71">
        <f t="shared" si="5"/>
        <v>956.8</v>
      </c>
      <c r="AL23" s="71">
        <f>_xlfn.IFNA(AH23*(1+(INDEX('Product Mark-up'!$F$4:$F$8,MATCH('Cal. Sheet Door 2'!$D$2,'Product Mark-up'!$C$4:$C$8,0)))),0)</f>
        <v>1147.8581714505281</v>
      </c>
      <c r="AT23" s="46"/>
      <c r="AU23" s="19"/>
      <c r="AV23" s="19"/>
      <c r="AW23" s="19"/>
      <c r="AX23" s="167"/>
      <c r="AY23" s="167"/>
    </row>
    <row r="24" spans="1:51" ht="46.5" x14ac:dyDescent="0.35">
      <c r="A24" s="544"/>
      <c r="B24" s="21" t="str">
        <f>'Quotation - Door 2'!B53</f>
        <v>Not Required</v>
      </c>
      <c r="C24" s="21" t="str">
        <f>'Quotation - Door 2'!C53</f>
        <v>Additional Heater Location</v>
      </c>
      <c r="D24" s="121">
        <f>'Quotation - Door 2'!D53</f>
        <v>0</v>
      </c>
      <c r="E24" s="71">
        <f>IF($D24=0,0,(E81*4*((($D$6+$D$7)*2)*$L$2)))</f>
        <v>0</v>
      </c>
      <c r="F24" s="20"/>
      <c r="G24" s="20"/>
      <c r="H24" s="71"/>
      <c r="I24" s="71">
        <f>IF($D24=0,0,(I81*4*((($D$6+$D$7)*2)*$L$2)))</f>
        <v>0</v>
      </c>
      <c r="J24" s="20">
        <f t="shared" si="1"/>
        <v>0</v>
      </c>
      <c r="K24" s="71">
        <f t="shared" si="2"/>
        <v>0</v>
      </c>
      <c r="L24" s="71">
        <f>_xlfn.IFNA(I24*(1+(INDEX('Product Mark-up'!$F$4:$F$8,MATCH('Cal. Sheet Door 2'!$D$2,'Product Mark-up'!$C$4:$C$8,0)))),0)</f>
        <v>0</v>
      </c>
      <c r="N24" s="28" t="s">
        <v>357</v>
      </c>
      <c r="O24" s="71">
        <f>+'Cost Sheet'!$N$24+'Cost Sheet'!$N$5</f>
        <v>5.5458374516102458</v>
      </c>
      <c r="P24" s="49" t="s">
        <v>349</v>
      </c>
      <c r="Q24" s="30">
        <f>((($D$6*2)+(($D$7+($O$12*2))*2))*'Cal. Sheet Door 2'!$L$2)</f>
        <v>39.58175</v>
      </c>
      <c r="R24" s="71">
        <f>('Cost Sheet'!$N$24*$Q24)+('Cost Sheet'!$N$5*$Q$21)</f>
        <v>190.18350457596168</v>
      </c>
      <c r="S24" s="71" cm="1">
        <f t="array" ref="S24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T24" s="71">
        <f t="shared" si="3"/>
        <v>1146.9835045759617</v>
      </c>
      <c r="U24" s="71">
        <f>+'Cost Sheet'!$P$24+'Cost Sheet'!$P$5</f>
        <v>5.5458374516102458</v>
      </c>
      <c r="V24" s="71">
        <f t="shared" si="4"/>
        <v>190.18350457596168</v>
      </c>
      <c r="W24" s="71">
        <f t="shared" si="4"/>
        <v>956.8</v>
      </c>
      <c r="X24" s="71">
        <f>_xlfn.IFNA(T24*(1+(INDEX('Product Mark-up'!$F$4:$F$8,MATCH('Cal. Sheet Door 2'!$D$2,'Product Mark-up'!$C$4:$C$8,0)))),0)</f>
        <v>1146.9835045759617</v>
      </c>
      <c r="AB24" s="28" t="s">
        <v>357</v>
      </c>
      <c r="AC24" s="71">
        <f>+'Cost Sheet'!$N$24+'Cost Sheet'!$N$5</f>
        <v>5.5458374516102458</v>
      </c>
      <c r="AD24" s="49" t="s">
        <v>349</v>
      </c>
      <c r="AE24" s="30">
        <f>((($D$6*2)+(($D$7+($O$12*2))*2))*'Cal. Sheet Door 2'!$L$2)</f>
        <v>39.58175</v>
      </c>
      <c r="AF24" s="71">
        <f>('Cost Sheet'!$N$24*$Q24)+('Cost Sheet'!$N$5*$Q$21)</f>
        <v>190.18350457596168</v>
      </c>
      <c r="AG24" s="71" cm="1">
        <f t="array" ref="AG24">IF(OR(('Quotation - Door 2'!$D$30=Controller!$A$16),('Quotation - Door 2'!$D$30=Controller!$A$17)),
(INDEX('Door and Panel Labor Exp. '!$N$5:$Q$22,MATCH(MIN(IF('Door and Panel Labor Exp. '!$D$5:$D$22&gt;=('Quotation - Door 2'!$D$34*'Quotation - Door 2'!$D$35),'Door and Panel Labor Exp. '!$D$5:$D$22)),'Door and Panel Labor Exp. '!$D$5:$D$22,0),MATCH('Quotation - Door 2'!$D$31,'Door and Panel Labor Exp. '!$N$1:$Q$1,0))),
IF(OR('Quotation - Door 2'!$D$30=Controller!$A$14,'Quotation - Door 2'!$D$30=Controller!$A$15),(INDEX('Door and Panel Labor Exp. '!$N$23:$Q$40,MATCH(MIN(IF('Door and Panel Labor Exp. '!$D$23:$D$40&gt;=('Quotation - Door 2'!$D$34*'Quotation - Door 2'!$D$35),'Door and Panel Labor Exp. '!$D$23:$D$40)),'Door and Panel Labor Exp. '!$D$23:$D$40,0),MATCH('Quotation - Door 2'!$D$31,'Door and Panel Labor Exp. '!$N$1:$Q$1,0))),
IF('Quotation - Door 2'!$D$30=Controller!$A$13,(INDEX('Door and Panel Labor Exp. '!$N$41:$Q$59,MATCH(MIN(IF('Door and Panel Labor Exp. '!$D$41:$D$59&gt;=('Quotation - Door 2'!$D$34*'Quotation - Door 2'!$D$35),'Door and Panel Labor Exp. '!$D$41:$D$59)),'Door and Panel Labor Exp. '!$D$41:$D$59,0),MATCH('Quotation - Door 2'!$D$31,'Door and Panel Labor Exp. '!$N$1:$Q$1,0))),
0)))</f>
        <v>956.8</v>
      </c>
      <c r="AH24" s="71">
        <f>+AF24+AG24+IF('Doors - Step 1'!$E$12='Cal. Sheet Door 2'!$AE$3,'Accessories Install - Labour'!$F$83,0)</f>
        <v>1146.9835045759617</v>
      </c>
      <c r="AI24" s="71">
        <f>+'Cost Sheet'!$P$24+'Cost Sheet'!$P$5</f>
        <v>5.5458374516102458</v>
      </c>
      <c r="AJ24" s="71">
        <f t="shared" si="5"/>
        <v>190.18350457596168</v>
      </c>
      <c r="AK24" s="71">
        <f t="shared" si="5"/>
        <v>956.8</v>
      </c>
      <c r="AL24" s="71">
        <f>_xlfn.IFNA(AH24*(1+(INDEX('Product Mark-up'!$F$4:$F$8,MATCH('Cal. Sheet Door 2'!$D$2,'Product Mark-up'!$C$4:$C$8,0)))),0)</f>
        <v>1146.9835045759617</v>
      </c>
      <c r="AT24" s="46" t="s">
        <v>378</v>
      </c>
      <c r="AU24" s="19" t="s">
        <v>381</v>
      </c>
      <c r="AV24" s="19" t="s">
        <v>382</v>
      </c>
      <c r="AW24" s="19" t="s">
        <v>383</v>
      </c>
    </row>
    <row r="25" spans="1:51" x14ac:dyDescent="0.35">
      <c r="A25" s="544"/>
      <c r="B25" s="21" t="str">
        <f ca="1">'Quotation - Door 2'!B54</f>
        <v/>
      </c>
      <c r="C25" s="21" t="str">
        <f ca="1">'Quotation - Door 2'!C54</f>
        <v>Tamper Proof Hardware</v>
      </c>
      <c r="D25" s="121">
        <f>'Quotation - Door 2'!D54</f>
        <v>0</v>
      </c>
      <c r="E25" s="71">
        <f>IF($D25=0,0,(INDEX('Cost Sheet'!$N:$N,MATCH('Quotation - Door 2'!$D54,'Cost Sheet'!$C:$C,0))))*2</f>
        <v>0</v>
      </c>
      <c r="F25" s="20"/>
      <c r="G25" s="19" t="s">
        <v>133</v>
      </c>
      <c r="H25" s="71">
        <f>+'Accessories Install - Labour'!$E$15*2</f>
        <v>26</v>
      </c>
      <c r="I25" s="71">
        <f>IF($D25=0,0,(INDEX('Cost Sheet'!$N:$N,MATCH('Quotation - Door 2'!$D54,'Cost Sheet'!$C:$C,0))))+H25</f>
        <v>26</v>
      </c>
      <c r="J25" s="71">
        <f t="shared" si="1"/>
        <v>0</v>
      </c>
      <c r="K25" s="71">
        <f t="shared" si="2"/>
        <v>26</v>
      </c>
      <c r="L25" s="71">
        <f>_xlfn.IFNA(I25*(1+(INDEX('Product Mark-up'!$F$4:$F$8,MATCH('Cal. Sheet Door 2'!$D$2,'Product Mark-up'!$C$4:$C$8,0)))),0)</f>
        <v>26</v>
      </c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T25" s="46" t="s">
        <v>386</v>
      </c>
      <c r="AU25" s="19">
        <f>+AU17*12</f>
        <v>240</v>
      </c>
      <c r="AV25" s="19">
        <f>+AV17*12</f>
        <v>360</v>
      </c>
      <c r="AW25" s="19">
        <f>+AW17*12</f>
        <v>96</v>
      </c>
      <c r="AX25" s="19">
        <f>+((AU25*AW25)*2)+((AV25*AW25)*2)</f>
        <v>115200</v>
      </c>
      <c r="AY25" s="3">
        <f>+AX25/144</f>
        <v>800</v>
      </c>
    </row>
    <row r="26" spans="1:51" ht="58" x14ac:dyDescent="0.35">
      <c r="A26" s="544"/>
      <c r="B26" s="21" t="str">
        <f>'Quotation - Door 2'!B55</f>
        <v/>
      </c>
      <c r="C26" s="21">
        <f>'Quotation - Door 2'!C55</f>
        <v>0</v>
      </c>
      <c r="D26" s="121">
        <f>'Quotation - Door 2'!D55</f>
        <v>0</v>
      </c>
      <c r="E26" s="71">
        <f>IF($D26=0,0,(INDEX('Cost Sheet'!$N:$N,MATCH('Quotation - Door 2'!$D55,'Cost Sheet'!$C:$C,0))))</f>
        <v>0</v>
      </c>
      <c r="F26" s="20"/>
      <c r="G26" s="19" t="s">
        <v>133</v>
      </c>
      <c r="H26" s="71">
        <f>+'Accessories Install - Labour'!$E$17</f>
        <v>21.666666666666668</v>
      </c>
      <c r="I26" s="71">
        <f>+E26+H26</f>
        <v>21.666666666666668</v>
      </c>
      <c r="J26" s="71">
        <f t="shared" si="1"/>
        <v>0</v>
      </c>
      <c r="K26" s="71">
        <f t="shared" si="2"/>
        <v>21.666666666666668</v>
      </c>
      <c r="L26" s="71">
        <f>_xlfn.IFNA(I26*(1+(INDEX('Product Mark-up'!$F$4:$F$8,MATCH('Cal. Sheet Door 2'!$D$2,'Product Mark-up'!$C$4:$C$8,0)))),0)</f>
        <v>21.666666666666668</v>
      </c>
      <c r="N26" s="119" t="s">
        <v>358</v>
      </c>
      <c r="O26" s="160" t="s">
        <v>321</v>
      </c>
      <c r="P26" s="160" t="s">
        <v>322</v>
      </c>
      <c r="Q26" s="160" t="s">
        <v>323</v>
      </c>
      <c r="R26" s="160" t="s">
        <v>324</v>
      </c>
      <c r="S26" s="160" t="s">
        <v>134</v>
      </c>
      <c r="T26" s="160" t="s">
        <v>325</v>
      </c>
      <c r="U26" s="160" t="s">
        <v>326</v>
      </c>
      <c r="V26" s="160" t="s">
        <v>327</v>
      </c>
      <c r="W26" s="160" t="s">
        <v>328</v>
      </c>
      <c r="X26" s="160" t="s">
        <v>329</v>
      </c>
      <c r="AB26" s="119" t="s">
        <v>358</v>
      </c>
      <c r="AC26" s="160" t="s">
        <v>321</v>
      </c>
      <c r="AD26" s="160" t="s">
        <v>322</v>
      </c>
      <c r="AE26" s="160" t="s">
        <v>323</v>
      </c>
      <c r="AF26" s="160" t="s">
        <v>324</v>
      </c>
      <c r="AG26" s="160" t="s">
        <v>134</v>
      </c>
      <c r="AH26" s="160" t="s">
        <v>325</v>
      </c>
      <c r="AI26" s="160" t="s">
        <v>326</v>
      </c>
      <c r="AJ26" s="160" t="s">
        <v>327</v>
      </c>
      <c r="AK26" s="160" t="s">
        <v>328</v>
      </c>
      <c r="AL26" s="160" t="s">
        <v>329</v>
      </c>
      <c r="AT26" s="751" t="s">
        <v>485</v>
      </c>
      <c r="AU26" s="751"/>
      <c r="AV26" s="751"/>
      <c r="AW26" s="751"/>
    </row>
    <row r="27" spans="1:51" ht="31" x14ac:dyDescent="0.35">
      <c r="A27" s="544"/>
      <c r="B27" s="21" t="str">
        <f>'Quotation - Door 2'!B56</f>
        <v/>
      </c>
      <c r="C27" s="21">
        <f>'Quotation - Door 2'!C56</f>
        <v>0</v>
      </c>
      <c r="D27" s="121">
        <f>'Quotation - Door 2'!D56</f>
        <v>0</v>
      </c>
      <c r="E27" s="71">
        <f>IF($D27=0,0,(INDEX('Cost Sheet'!$N:$N,MATCH('Quotation - Door 2'!$D56,'Cost Sheet'!$C:$C,0))))</f>
        <v>0</v>
      </c>
      <c r="F27" s="20"/>
      <c r="G27" s="19" t="s">
        <v>133</v>
      </c>
      <c r="H27" s="71">
        <f>+IF($D27=0,0,INDEX('Accessories Install - Labour'!$E:$E,MATCH('Cal. Sheet Door 2'!$D27,'Accessories Install - Labour'!$C:$C,0)))</f>
        <v>0</v>
      </c>
      <c r="I27" s="71">
        <f>+E27+H27</f>
        <v>0</v>
      </c>
      <c r="J27" s="71">
        <f t="shared" si="1"/>
        <v>0</v>
      </c>
      <c r="K27" s="71">
        <f t="shared" si="2"/>
        <v>0</v>
      </c>
      <c r="L27" s="71">
        <f>_xlfn.IFNA(I27*(1+(INDEX('Product Mark-up'!$F$4:$F$8,MATCH('Cal. Sheet Door 2'!$D$2,'Product Mark-up'!$C$4:$C$8,0)))),0)</f>
        <v>0</v>
      </c>
      <c r="N27" s="28" t="s">
        <v>344</v>
      </c>
      <c r="O27" s="71">
        <f>+'Cost Sheet'!$N$15</f>
        <v>3.8724791666666665</v>
      </c>
      <c r="P27" s="49" t="s">
        <v>359</v>
      </c>
      <c r="Q27" s="30">
        <f>+(($D$7*1)*$L$4)*2</f>
        <v>1.3332266688000001</v>
      </c>
      <c r="R27" s="71">
        <f>+Q27*O27</f>
        <v>5.1628924993723997</v>
      </c>
      <c r="S27" s="71">
        <f>+S15*0.75</f>
        <v>163.80000000000001</v>
      </c>
      <c r="T27" s="71">
        <f t="shared" ref="T27:T36" si="7">+R27+S27</f>
        <v>168.9628924993724</v>
      </c>
      <c r="U27" s="71">
        <f>+'Cost Sheet'!$N$15</f>
        <v>3.8724791666666665</v>
      </c>
      <c r="V27" s="71">
        <f>+R27</f>
        <v>5.1628924993723997</v>
      </c>
      <c r="W27" s="71">
        <f>+S27</f>
        <v>163.80000000000001</v>
      </c>
      <c r="X27" s="71">
        <f>_xlfn.IFNA(T27*(1+(INDEX('Product Mark-up'!$F$4:$F$8,MATCH('Cal. Sheet Door 2'!$D$2,'Product Mark-up'!$C$4:$C$8,0)))),0)</f>
        <v>168.9628924993724</v>
      </c>
      <c r="AB27" s="28" t="s">
        <v>344</v>
      </c>
      <c r="AC27" s="71">
        <f>+'Cost Sheet'!$N$15</f>
        <v>3.8724791666666665</v>
      </c>
      <c r="AD27" s="49" t="s">
        <v>359</v>
      </c>
      <c r="AE27" s="30">
        <f>+(($D$7*1)*$L$4)*2</f>
        <v>1.3332266688000001</v>
      </c>
      <c r="AF27" s="71">
        <f>+AE27*AC27</f>
        <v>5.1628924993723997</v>
      </c>
      <c r="AG27" s="71">
        <f>+AG15*0.75</f>
        <v>163.80000000000001</v>
      </c>
      <c r="AH27" s="71">
        <f t="shared" ref="AH27:AH36" si="8">+AF27+AG27</f>
        <v>168.9628924993724</v>
      </c>
      <c r="AI27" s="71">
        <f>+'Cost Sheet'!$N$15</f>
        <v>3.8724791666666665</v>
      </c>
      <c r="AJ27" s="71">
        <f>+AF27</f>
        <v>5.1628924993723997</v>
      </c>
      <c r="AK27" s="71">
        <f>+AG27</f>
        <v>163.80000000000001</v>
      </c>
      <c r="AL27" s="71">
        <f>_xlfn.IFNA(AH27*(1+(INDEX('Product Mark-up'!$F$4:$F$8,MATCH('Cal. Sheet Door 2'!$D$2,'Product Mark-up'!$C$4:$C$8,0)))),0)</f>
        <v>168.9628924993724</v>
      </c>
      <c r="AT27" s="144"/>
      <c r="AU27" s="144"/>
      <c r="AV27" s="144"/>
      <c r="AW27" s="144"/>
    </row>
    <row r="28" spans="1:51" ht="62" x14ac:dyDescent="0.35">
      <c r="A28" s="544"/>
      <c r="B28" s="21" t="str">
        <f>'Quotation - Door 2'!B57</f>
        <v/>
      </c>
      <c r="C28" s="21">
        <f>'Quotation - Door 2'!C57</f>
        <v>0</v>
      </c>
      <c r="D28" s="121">
        <f>'Quotation - Door 2'!D57</f>
        <v>0</v>
      </c>
      <c r="E28" s="71">
        <f>IF($D28=0,0,(INDEX('Cost Sheet'!$N:$N,MATCH('Quotation - Door 2'!$D57,'Cost Sheet'!$C:$C,0))))</f>
        <v>0</v>
      </c>
      <c r="F28" s="20"/>
      <c r="G28" s="19" t="s">
        <v>133</v>
      </c>
      <c r="H28" s="71">
        <f>+IF($D28=0,0,INDEX('Accessories Install - Labour'!$E:$E,MATCH('Cal. Sheet Door 2'!$D28,'Accessories Install - Labour'!$C:$C,0)))</f>
        <v>0</v>
      </c>
      <c r="I28" s="71">
        <f>+E28+H28</f>
        <v>0</v>
      </c>
      <c r="J28" s="71">
        <f t="shared" si="1"/>
        <v>0</v>
      </c>
      <c r="K28" s="71">
        <f t="shared" si="2"/>
        <v>0</v>
      </c>
      <c r="L28" s="71">
        <f>_xlfn.IFNA(I28*(1+(INDEX('Product Mark-up'!$F$4:$F$8,MATCH('Cal. Sheet Door 2'!$D$2,'Product Mark-up'!$C$4:$C$8,0)))),0)</f>
        <v>0</v>
      </c>
      <c r="N28" s="28" t="s">
        <v>346</v>
      </c>
      <c r="O28" s="71">
        <f>+$O$27+'Cost Sheet'!$N$10</f>
        <v>5.4686827904802993</v>
      </c>
      <c r="P28" s="49" t="s">
        <v>360</v>
      </c>
      <c r="Q28" s="30">
        <f>+(($D$7*1)*$L$4)*2</f>
        <v>1.3332266688000001</v>
      </c>
      <c r="R28" s="71">
        <f>($O$27*$Q$27)+('Cost Sheet'!$N$10*2*$Q$31)</f>
        <v>22.187702420200701</v>
      </c>
      <c r="S28" s="71">
        <f>+S16*0.75</f>
        <v>163.80000000000001</v>
      </c>
      <c r="T28" s="71">
        <f t="shared" si="7"/>
        <v>185.98770242020072</v>
      </c>
      <c r="U28" s="71">
        <f>+$O$27+'Cost Sheet'!$N$10</f>
        <v>5.4686827904802993</v>
      </c>
      <c r="V28" s="71">
        <f t="shared" ref="V28:W36" si="9">+R28</f>
        <v>22.187702420200701</v>
      </c>
      <c r="W28" s="71">
        <f t="shared" si="9"/>
        <v>163.80000000000001</v>
      </c>
      <c r="X28" s="71">
        <f>_xlfn.IFNA(T28*(1+(INDEX('Product Mark-up'!$F$4:$F$8,MATCH('Cal. Sheet Door 2'!$D$2,'Product Mark-up'!$C$4:$C$8,0)))),0)</f>
        <v>185.98770242020072</v>
      </c>
      <c r="AB28" s="28" t="s">
        <v>346</v>
      </c>
      <c r="AC28" s="71">
        <f>+$O$27+'Cost Sheet'!$N$10</f>
        <v>5.4686827904802993</v>
      </c>
      <c r="AD28" s="49" t="s">
        <v>360</v>
      </c>
      <c r="AE28" s="30">
        <f>+(($D$7*1)*$L$4)*2</f>
        <v>1.3332266688000001</v>
      </c>
      <c r="AF28" s="71">
        <f>($O$27*$Q$27)+('Cost Sheet'!$N$10*2*$Q$31)</f>
        <v>22.187702420200701</v>
      </c>
      <c r="AG28" s="71">
        <f>+AG16*0.75</f>
        <v>163.80000000000001</v>
      </c>
      <c r="AH28" s="71">
        <f t="shared" si="8"/>
        <v>185.98770242020072</v>
      </c>
      <c r="AI28" s="71">
        <f>+$O$27+'Cost Sheet'!$N$10</f>
        <v>5.4686827904802993</v>
      </c>
      <c r="AJ28" s="71">
        <f t="shared" ref="AJ28:AK36" si="10">+AF28</f>
        <v>22.187702420200701</v>
      </c>
      <c r="AK28" s="71">
        <f t="shared" si="10"/>
        <v>163.80000000000001</v>
      </c>
      <c r="AL28" s="71">
        <f>_xlfn.IFNA(AH28*(1+(INDEX('Product Mark-up'!$F$4:$F$8,MATCH('Cal. Sheet Door 2'!$D$2,'Product Mark-up'!$C$4:$C$8,0)))),0)</f>
        <v>185.98770242020072</v>
      </c>
      <c r="AT28" s="144"/>
      <c r="AU28" s="144"/>
      <c r="AV28" s="144"/>
      <c r="AW28" s="144"/>
    </row>
    <row r="29" spans="1:51" ht="62" x14ac:dyDescent="0.35">
      <c r="A29" s="544"/>
      <c r="B29" s="21" t="str">
        <f>'Quotation - Door 2'!B58</f>
        <v/>
      </c>
      <c r="C29" s="21">
        <f>'Quotation - Door 2'!C58</f>
        <v>0</v>
      </c>
      <c r="D29" s="121">
        <f>'Quotation - Door 2'!D58</f>
        <v>0</v>
      </c>
      <c r="E29" s="71">
        <f>IF($D29=0,0,(INDEX('Cost Sheet'!$N:$N,MATCH('Quotation - Door 2'!$D58,'Cost Sheet'!$C:$C,0))))</f>
        <v>0</v>
      </c>
      <c r="G29" s="19" t="s">
        <v>133</v>
      </c>
      <c r="H29" s="71">
        <f>+IF($D29=0,0,INDEX('Accessories Install - Labour'!$E:$E,MATCH('Cal. Sheet Door 2'!$D29,'Accessories Install - Labour'!$C:$C,0)))</f>
        <v>0</v>
      </c>
      <c r="I29" s="71">
        <f>IFERROR(E29+H29,E29)</f>
        <v>0</v>
      </c>
      <c r="J29" s="71">
        <f t="shared" si="1"/>
        <v>0</v>
      </c>
      <c r="K29" s="71">
        <f t="shared" si="2"/>
        <v>0</v>
      </c>
      <c r="L29" s="71">
        <f>_xlfn.IFNA(I29*(1+(INDEX('Product Mark-up'!$F$4:$F$8,MATCH('Cal. Sheet Door 2'!$D$2,'Product Mark-up'!$C$4:$C$8,0)))),0)</f>
        <v>0</v>
      </c>
      <c r="N29" s="28" t="s">
        <v>348</v>
      </c>
      <c r="O29" s="71">
        <f>+$O$27+'Cost Sheet'!$N$3</f>
        <v>5.0548364683716329</v>
      </c>
      <c r="P29" s="49" t="s">
        <v>361</v>
      </c>
      <c r="Q29" s="30">
        <f>+(($D$7*1)*$L$4)*2</f>
        <v>1.3332266688000001</v>
      </c>
      <c r="R29" s="71">
        <f>($O$27*$Q$27)+('Cost Sheet'!$N$3*2*$Q$31)</f>
        <v>17.773694792840153</v>
      </c>
      <c r="S29" s="71">
        <f>+S17*0.75</f>
        <v>163.80000000000001</v>
      </c>
      <c r="T29" s="71">
        <f t="shared" si="7"/>
        <v>181.57369479284017</v>
      </c>
      <c r="U29" s="71">
        <f>+$O$27+'Cost Sheet'!$N$3</f>
        <v>5.0548364683716329</v>
      </c>
      <c r="V29" s="71">
        <f t="shared" si="9"/>
        <v>17.773694792840153</v>
      </c>
      <c r="W29" s="71">
        <f t="shared" si="9"/>
        <v>163.80000000000001</v>
      </c>
      <c r="X29" s="71">
        <f>_xlfn.IFNA(T29*(1+(INDEX('Product Mark-up'!$F$4:$F$8,MATCH('Cal. Sheet Door 2'!$D$2,'Product Mark-up'!$C$4:$C$8,0)))),0)</f>
        <v>181.57369479284017</v>
      </c>
      <c r="AB29" s="28" t="s">
        <v>348</v>
      </c>
      <c r="AC29" s="71">
        <f>+$O$27+'Cost Sheet'!$N$3</f>
        <v>5.0548364683716329</v>
      </c>
      <c r="AD29" s="49" t="s">
        <v>361</v>
      </c>
      <c r="AE29" s="30">
        <f>+(($D$7*1)*$L$4)*2</f>
        <v>1.3332266688000001</v>
      </c>
      <c r="AF29" s="71">
        <f>($O$27*$Q$27)+('Cost Sheet'!$N$3*2*$Q$31)</f>
        <v>17.773694792840153</v>
      </c>
      <c r="AG29" s="71">
        <f>+AG17*0.75</f>
        <v>163.80000000000001</v>
      </c>
      <c r="AH29" s="71">
        <f t="shared" si="8"/>
        <v>181.57369479284017</v>
      </c>
      <c r="AI29" s="71">
        <f>+$O$27+'Cost Sheet'!$N$3</f>
        <v>5.0548364683716329</v>
      </c>
      <c r="AJ29" s="71">
        <f t="shared" si="10"/>
        <v>17.773694792840153</v>
      </c>
      <c r="AK29" s="71">
        <f t="shared" si="10"/>
        <v>163.80000000000001</v>
      </c>
      <c r="AL29" s="71">
        <f>_xlfn.IFNA(AH29*(1+(INDEX('Product Mark-up'!$F$4:$F$8,MATCH('Cal. Sheet Door 2'!$D$2,'Product Mark-up'!$C$4:$C$8,0)))),0)</f>
        <v>181.57369479284017</v>
      </c>
      <c r="AT29" s="144"/>
      <c r="AU29" s="144"/>
      <c r="AV29" s="144"/>
      <c r="AW29" s="144"/>
    </row>
    <row r="30" spans="1:51" ht="62" x14ac:dyDescent="0.35">
      <c r="A30" s="544"/>
      <c r="B30" s="21" t="str">
        <f>'Quotation - Door 2'!B59</f>
        <v/>
      </c>
      <c r="C30" s="21">
        <f>'Quotation - Door 2'!C59</f>
        <v>0</v>
      </c>
      <c r="D30" s="121">
        <f>'Quotation - Door 2'!D59</f>
        <v>0</v>
      </c>
      <c r="E30" s="71">
        <f>IF($D30=0,0,(INDEX('Cost Sheet'!$N:$N,MATCH('Quotation - Door 2'!$D59,'Cost Sheet'!$C:$C,0))))</f>
        <v>0</v>
      </c>
      <c r="G30" s="19" t="s">
        <v>133</v>
      </c>
      <c r="H30" s="71">
        <f>+IF($D30=0,0,INDEX('Accessories Install - Labour'!$E:$E,MATCH('Cal. Sheet Door 2'!$D30,'Accessories Install - Labour'!$C:$C,0)))</f>
        <v>0</v>
      </c>
      <c r="I30" s="71">
        <f>+E30+H30</f>
        <v>0</v>
      </c>
      <c r="J30" s="71">
        <f t="shared" si="1"/>
        <v>0</v>
      </c>
      <c r="K30" s="71">
        <f t="shared" si="2"/>
        <v>0</v>
      </c>
      <c r="L30" s="71">
        <f>_xlfn.IFNA(I30*(1+(INDEX('Product Mark-up'!$F$4:$F$8,MATCH('Cal. Sheet Door 2'!$D$2,'Product Mark-up'!$C$4:$C$8,0)))),0)</f>
        <v>0</v>
      </c>
      <c r="N30" s="28" t="s">
        <v>350</v>
      </c>
      <c r="O30" s="71">
        <f>+$O$27+'Cost Sheet'!$N$5</f>
        <v>4.989149951610246</v>
      </c>
      <c r="P30" s="49" t="s">
        <v>361</v>
      </c>
      <c r="Q30" s="30">
        <f>+(($D$7*1)*$L$4)*2</f>
        <v>1.3332266688000001</v>
      </c>
      <c r="R30" s="71">
        <f>($O$27*$Q$27)+('Cost Sheet'!$N$5*2*$Q$31)</f>
        <v>17.073094665425277</v>
      </c>
      <c r="S30" s="71">
        <f>+S18*0.75</f>
        <v>163.80000000000001</v>
      </c>
      <c r="T30" s="71">
        <f t="shared" si="7"/>
        <v>180.8730946654253</v>
      </c>
      <c r="U30" s="71">
        <f>+$O$27+'Cost Sheet'!$N$5</f>
        <v>4.989149951610246</v>
      </c>
      <c r="V30" s="71">
        <f t="shared" si="9"/>
        <v>17.073094665425277</v>
      </c>
      <c r="W30" s="71">
        <f t="shared" si="9"/>
        <v>163.80000000000001</v>
      </c>
      <c r="X30" s="71">
        <f>_xlfn.IFNA(T30*(1+(INDEX('Product Mark-up'!$F$4:$F$8,MATCH('Cal. Sheet Door 2'!$D$2,'Product Mark-up'!$C$4:$C$8,0)))),0)</f>
        <v>180.8730946654253</v>
      </c>
      <c r="AB30" s="28" t="s">
        <v>350</v>
      </c>
      <c r="AC30" s="71">
        <f>+$O$27+'Cost Sheet'!$N$5</f>
        <v>4.989149951610246</v>
      </c>
      <c r="AD30" s="49" t="s">
        <v>361</v>
      </c>
      <c r="AE30" s="30">
        <f>+(($D$7*1)*$L$4)*2</f>
        <v>1.3332266688000001</v>
      </c>
      <c r="AF30" s="71">
        <f>($O$27*$Q$27)+('Cost Sheet'!$N$5*2*$Q$31)</f>
        <v>17.073094665425277</v>
      </c>
      <c r="AG30" s="71">
        <f>+AG18*0.75</f>
        <v>163.80000000000001</v>
      </c>
      <c r="AH30" s="71">
        <f t="shared" si="8"/>
        <v>180.8730946654253</v>
      </c>
      <c r="AI30" s="71">
        <f>+$O$27+'Cost Sheet'!$N$5</f>
        <v>4.989149951610246</v>
      </c>
      <c r="AJ30" s="71">
        <f t="shared" si="10"/>
        <v>17.073094665425277</v>
      </c>
      <c r="AK30" s="71">
        <f t="shared" si="10"/>
        <v>163.80000000000001</v>
      </c>
      <c r="AL30" s="71">
        <f>_xlfn.IFNA(AH30*(1+(INDEX('Product Mark-up'!$F$4:$F$8,MATCH('Cal. Sheet Door 2'!$D$2,'Product Mark-up'!$C$4:$C$8,0)))),0)</f>
        <v>180.8730946654253</v>
      </c>
      <c r="AT30" s="46" t="s">
        <v>386</v>
      </c>
      <c r="AU30" s="19" t="e">
        <f>+#REF!*12</f>
        <v>#REF!</v>
      </c>
      <c r="AV30" s="19" t="e">
        <f>+#REF!*12</f>
        <v>#REF!</v>
      </c>
      <c r="AW30" s="19" t="e">
        <f>+#REF!*12</f>
        <v>#REF!</v>
      </c>
      <c r="AX30" s="19" t="e">
        <f>+((AU30*AW30)*2)+((AV30*AW30)*2)</f>
        <v>#REF!</v>
      </c>
      <c r="AY30" s="3" t="e">
        <f>+AX30/144</f>
        <v>#REF!</v>
      </c>
    </row>
    <row r="31" spans="1:51" ht="46.5" x14ac:dyDescent="0.35">
      <c r="A31" s="544"/>
      <c r="N31" s="28" t="s">
        <v>351</v>
      </c>
      <c r="O31" s="71">
        <f>+'Cost Sheet'!$N$27+'Cost Sheet'!$N$10</f>
        <v>2.7368286238136323</v>
      </c>
      <c r="P31" s="49" t="s">
        <v>362</v>
      </c>
      <c r="Q31" s="30">
        <f>+(($D$7*$D$9)*$L$4)*2</f>
        <v>5.3329066752000003</v>
      </c>
      <c r="R31" s="71">
        <f>+O31*Q31*2</f>
        <v>29.190503273628302</v>
      </c>
      <c r="S31" s="71">
        <f>+S19*0.25</f>
        <v>239.2</v>
      </c>
      <c r="T31" s="71">
        <f t="shared" si="7"/>
        <v>268.39050327362827</v>
      </c>
      <c r="U31" s="71">
        <f>+'Cost Sheet'!$N$27+'Cost Sheet'!$N$10</f>
        <v>2.7368286238136323</v>
      </c>
      <c r="V31" s="71">
        <f t="shared" si="9"/>
        <v>29.190503273628302</v>
      </c>
      <c r="W31" s="71">
        <f t="shared" si="9"/>
        <v>239.2</v>
      </c>
      <c r="X31" s="71">
        <f>_xlfn.IFNA(T31*(1+(INDEX('Product Mark-up'!$F$4:$F$8,MATCH('Cal. Sheet Door 2'!$D$2,'Product Mark-up'!$C$4:$C$8,0)))),0)</f>
        <v>268.39050327362827</v>
      </c>
      <c r="AB31" s="28" t="s">
        <v>351</v>
      </c>
      <c r="AC31" s="71">
        <f>+'Cost Sheet'!$N$27+'Cost Sheet'!$N$10</f>
        <v>2.7368286238136323</v>
      </c>
      <c r="AD31" s="49" t="s">
        <v>362</v>
      </c>
      <c r="AE31" s="30">
        <f>+(($D$7*$D$9)*$L$4)*2</f>
        <v>5.3329066752000003</v>
      </c>
      <c r="AF31" s="71">
        <f>+AC31*AE31*2</f>
        <v>29.190503273628302</v>
      </c>
      <c r="AG31" s="71">
        <f t="shared" ref="AG31:AG36" si="11">+AG19*0.25</f>
        <v>239.2</v>
      </c>
      <c r="AH31" s="71">
        <f t="shared" si="8"/>
        <v>268.39050327362827</v>
      </c>
      <c r="AI31" s="71">
        <f>+'Cost Sheet'!$N$27+'Cost Sheet'!$N$10</f>
        <v>2.7368286238136323</v>
      </c>
      <c r="AJ31" s="71">
        <f t="shared" si="10"/>
        <v>29.190503273628302</v>
      </c>
      <c r="AK31" s="71">
        <f t="shared" si="10"/>
        <v>239.2</v>
      </c>
      <c r="AL31" s="71">
        <f>_xlfn.IFNA(AH31*(1+(INDEX('Product Mark-up'!$F$4:$F$8,MATCH('Cal. Sheet Door 2'!$D$2,'Product Mark-up'!$C$4:$C$8,0)))),0)</f>
        <v>268.39050327362827</v>
      </c>
    </row>
    <row r="32" spans="1:51" ht="46.5" x14ac:dyDescent="0.35">
      <c r="A32" s="544"/>
      <c r="B32" s="21" t="str">
        <f>'Quotation - Door 2'!B61</f>
        <v>Labor</v>
      </c>
      <c r="C32" s="21" t="str">
        <f>'Quotation - Door 2'!C61</f>
        <v>Labor Expense</v>
      </c>
      <c r="D32" s="121">
        <f>'Quotation - Door 2'!D61</f>
        <v>0</v>
      </c>
      <c r="E32" s="20"/>
      <c r="F32" s="20"/>
      <c r="G32" s="20"/>
      <c r="H32" s="71"/>
      <c r="I32" s="71" cm="1">
        <f t="array" ref="I32">IF(OR(('Quotation - Door 2'!$D$30=Controller!$A$16),('Quotation - Door 2'!$D$30=Controller!$A$17)),
(INDEX('Door and Panel Labor Exp. '!$A$5:$I$22,MATCH(MIN(IF('Door and Panel Labor Exp. '!$D$5:$D$22&gt;=('Quotation - Door 2'!$D$34*'Quotation - Door 2'!$D$35),'Door and Panel Labor Exp. '!$D$5:$D$22)),'Door and Panel Labor Exp. '!$D$5:$D$22,0),MATCH('Quotation - Door 2'!$D$31,'Door and Panel Labor Exp. '!$A$1:$I$1,0))),
IF(OR('Quotation - Door 2'!$D$30=Controller!$A$14,'Quotation - Door 2'!$D$30=Controller!$A$15),(INDEX('Door and Panel Labor Exp. '!$A$23:$I$40,MATCH(MIN(IF('Door and Panel Labor Exp. '!$D$23:$D$40&gt;=('Quotation - Door 2'!$D$34*'Quotation - Door 2'!$D$35),'Door and Panel Labor Exp. '!$D$23:$D$40)),'Door and Panel Labor Exp. '!$D$23:$D$40,0),MATCH('Quotation - Door 2'!$D$31,'Door and Panel Labor Exp. '!$A$1:$I$1,0))),
IF('Quotation - Door 2'!$D$30=Controller!$A$13,(INDEX('Door and Panel Labor Exp. '!$A$41:$I$59,MATCH(MIN(IF('Door and Panel Labor Exp. '!$D$41:$D$59&gt;=('Quotation - Door 2'!$D$34*'Quotation - Door 2'!$D$35),'Door and Panel Labor Exp. '!$D$41:$D$59)),'Door and Panel Labor Exp. '!$D$41:$D$59,0),MATCH('Quotation - Door 2'!$D$31,'Door and Panel Labor Exp. '!$A$1:$I$1,0))),
"Please review the type of door")))</f>
        <v>1196</v>
      </c>
      <c r="J32" s="20">
        <f t="shared" ref="J32:J37" si="12">+E32</f>
        <v>0</v>
      </c>
      <c r="K32" s="71">
        <f t="shared" ref="K32:K37" si="13">+H32</f>
        <v>0</v>
      </c>
      <c r="L32" s="71">
        <f>IFERROR(I32*(1+(INDEX('Product Mark-up'!$F$4:$F$8,MATCH('Cal. Sheet Door 2'!$D$2,'Product Mark-up'!$C$4:$C$8,0)))),0)</f>
        <v>1196</v>
      </c>
      <c r="N32" s="28" t="s">
        <v>353</v>
      </c>
      <c r="O32" s="71">
        <f>+'Cost Sheet'!$N$27+'Cost Sheet'!$N$3</f>
        <v>2.3229823017049664</v>
      </c>
      <c r="P32" s="49" t="s">
        <v>362</v>
      </c>
      <c r="Q32" s="30">
        <f>+(($D$7*$D$9)*$L$4)*2</f>
        <v>5.3329066752000003</v>
      </c>
      <c r="R32" s="71">
        <f>+O32*Q32*2</f>
        <v>24.776495646267755</v>
      </c>
      <c r="S32" s="71">
        <f t="shared" ref="S32:S36" si="14">+S20*0.25</f>
        <v>239.2</v>
      </c>
      <c r="T32" s="71">
        <f t="shared" si="7"/>
        <v>263.97649564626772</v>
      </c>
      <c r="U32" s="71">
        <f>+'Cost Sheet'!$N$27+'Cost Sheet'!$N$3</f>
        <v>2.3229823017049664</v>
      </c>
      <c r="V32" s="71">
        <f t="shared" si="9"/>
        <v>24.776495646267755</v>
      </c>
      <c r="W32" s="71">
        <f t="shared" si="9"/>
        <v>239.2</v>
      </c>
      <c r="X32" s="71">
        <f>_xlfn.IFNA(T32*(1+(INDEX('Product Mark-up'!$F$4:$F$8,MATCH('Cal. Sheet Door 2'!$D$2,'Product Mark-up'!$C$4:$C$8,0)))),0)</f>
        <v>263.97649564626772</v>
      </c>
      <c r="AB32" s="28" t="s">
        <v>353</v>
      </c>
      <c r="AC32" s="71">
        <f>+'Cost Sheet'!$N$27+'Cost Sheet'!$N$3</f>
        <v>2.3229823017049664</v>
      </c>
      <c r="AD32" s="49" t="s">
        <v>362</v>
      </c>
      <c r="AE32" s="30">
        <f>+(($D$7*$D$9)*$L$4)*2</f>
        <v>5.3329066752000003</v>
      </c>
      <c r="AF32" s="71">
        <f>+AC32*AE32*2</f>
        <v>24.776495646267755</v>
      </c>
      <c r="AG32" s="71">
        <f t="shared" si="11"/>
        <v>239.2</v>
      </c>
      <c r="AH32" s="71">
        <f t="shared" si="8"/>
        <v>263.97649564626772</v>
      </c>
      <c r="AI32" s="71">
        <f>+'Cost Sheet'!$N$27+'Cost Sheet'!$N$3</f>
        <v>2.3229823017049664</v>
      </c>
      <c r="AJ32" s="71">
        <f t="shared" si="10"/>
        <v>24.776495646267755</v>
      </c>
      <c r="AK32" s="71">
        <f t="shared" si="10"/>
        <v>239.2</v>
      </c>
      <c r="AL32" s="71">
        <f>_xlfn.IFNA(AH32*(1+(INDEX('Product Mark-up'!$F$4:$F$8,MATCH('Cal. Sheet Door 2'!$D$2,'Product Mark-up'!$C$4:$C$8,0)))),0)</f>
        <v>263.97649564626772</v>
      </c>
    </row>
    <row r="33" spans="1:38" ht="46.5" x14ac:dyDescent="0.35">
      <c r="A33" s="544"/>
      <c r="B33" s="21" t="str">
        <f>'Quotation - Door 2'!B62</f>
        <v xml:space="preserve">Material </v>
      </c>
      <c r="C33" s="21" t="str">
        <f>'Quotation - Door 2'!C62</f>
        <v xml:space="preserve">Foam Expense </v>
      </c>
      <c r="D33" s="121">
        <f>'Quotation - Door 2'!D62</f>
        <v>0</v>
      </c>
      <c r="E33" s="20"/>
      <c r="F33" s="30"/>
      <c r="G33" s="20"/>
      <c r="H33" s="71"/>
      <c r="I33" s="71">
        <f>_xlfn.IFNA('Quotation - Door 2'!$D$34*'Quotation - Door 2'!$D$35*(INDEX('Cal. Sheet Door 2'!$R$6:$R$10,MATCH('Quotation - Door 2'!$D$36,'Cal. Sheet Door 2'!$P$6:$P$10,0))),0)</f>
        <v>246.43233333333333</v>
      </c>
      <c r="J33" s="20">
        <f t="shared" si="12"/>
        <v>0</v>
      </c>
      <c r="K33" s="71">
        <f t="shared" si="13"/>
        <v>0</v>
      </c>
      <c r="L33" s="71">
        <f>_xlfn.IFNA(I33*(1+(INDEX('Product Mark-up'!$F$4:$F$8,MATCH('Cal. Sheet Door 2'!$D$2,'Product Mark-up'!$C$4:$C$8,0)))),0)</f>
        <v>246.43233333333333</v>
      </c>
      <c r="N33" s="28" t="s">
        <v>355</v>
      </c>
      <c r="O33" s="71">
        <f>+'Cost Sheet'!$N$27+'Cost Sheet'!$N$5</f>
        <v>2.2572957849435795</v>
      </c>
      <c r="P33" s="49" t="s">
        <v>362</v>
      </c>
      <c r="Q33" s="30">
        <f>+(($D$7*$D$9)*$L$4)*2</f>
        <v>5.3329066752000003</v>
      </c>
      <c r="R33" s="71">
        <f>+O33*Q33*2</f>
        <v>24.075895518852878</v>
      </c>
      <c r="S33" s="71">
        <f t="shared" si="14"/>
        <v>239.2</v>
      </c>
      <c r="T33" s="71">
        <f t="shared" si="7"/>
        <v>263.27589551885285</v>
      </c>
      <c r="U33" s="71">
        <f>+'Cost Sheet'!$N$27+'Cost Sheet'!$N$5</f>
        <v>2.2572957849435795</v>
      </c>
      <c r="V33" s="71">
        <f t="shared" si="9"/>
        <v>24.075895518852878</v>
      </c>
      <c r="W33" s="71">
        <f t="shared" si="9"/>
        <v>239.2</v>
      </c>
      <c r="X33" s="71">
        <f>_xlfn.IFNA(T33*(1+(INDEX('Product Mark-up'!$F$4:$F$8,MATCH('Cal. Sheet Door 2'!$D$2,'Product Mark-up'!$C$4:$C$8,0)))),0)</f>
        <v>263.27589551885285</v>
      </c>
      <c r="AB33" s="28" t="s">
        <v>355</v>
      </c>
      <c r="AC33" s="71">
        <f>+'Cost Sheet'!$N$27+'Cost Sheet'!$N$5</f>
        <v>2.2572957849435795</v>
      </c>
      <c r="AD33" s="49" t="s">
        <v>362</v>
      </c>
      <c r="AE33" s="30">
        <f>+(($D$7*$D$9)*$L$4)*2</f>
        <v>5.3329066752000003</v>
      </c>
      <c r="AF33" s="71">
        <f>+AC33*AE33*2</f>
        <v>24.075895518852878</v>
      </c>
      <c r="AG33" s="71">
        <f t="shared" si="11"/>
        <v>239.2</v>
      </c>
      <c r="AH33" s="71">
        <f t="shared" si="8"/>
        <v>263.27589551885285</v>
      </c>
      <c r="AI33" s="71">
        <f>+'Cost Sheet'!$N$27+'Cost Sheet'!$N$5</f>
        <v>2.2572957849435795</v>
      </c>
      <c r="AJ33" s="71">
        <f t="shared" si="10"/>
        <v>24.075895518852878</v>
      </c>
      <c r="AK33" s="71">
        <f t="shared" si="10"/>
        <v>239.2</v>
      </c>
      <c r="AL33" s="71">
        <f>_xlfn.IFNA(AH33*(1+(INDEX('Product Mark-up'!$F$4:$F$8,MATCH('Cal. Sheet Door 2'!$D$2,'Product Mark-up'!$C$4:$C$8,0)))),0)</f>
        <v>263.27589551885285</v>
      </c>
    </row>
    <row r="34" spans="1:38" ht="46.5" x14ac:dyDescent="0.35">
      <c r="A34" s="544"/>
      <c r="B34" s="21" t="str">
        <f>'Quotation - Door 2'!B63</f>
        <v xml:space="preserve">Material </v>
      </c>
      <c r="C34" s="21" t="str">
        <f>'Quotation - Door 2'!C63</f>
        <v>Bottom Sweep</v>
      </c>
      <c r="D34" s="121" t="str">
        <f>'Quotation - Door 2'!D63</f>
        <v>Yes</v>
      </c>
      <c r="E34" s="71">
        <f>IF(D34="No",0,'Cost Sheet'!$N$72+'Cost Sheet'!$N$67)</f>
        <v>1.68</v>
      </c>
      <c r="F34" s="30">
        <f>(D6+11)*L2</f>
        <v>11.74953</v>
      </c>
      <c r="G34" s="19" t="s">
        <v>133</v>
      </c>
      <c r="H34" s="71">
        <f>+IF($D34=0,0,IF(D3="Freezer",'Accessories Install - Labour'!$F$29,'Accessories Install - Labour'!$F$28))</f>
        <v>13</v>
      </c>
      <c r="I34" s="71">
        <f>(E34*F34)+H34</f>
        <v>32.739210400000005</v>
      </c>
      <c r="J34" s="20">
        <f t="shared" si="12"/>
        <v>1.68</v>
      </c>
      <c r="K34" s="71">
        <f t="shared" si="13"/>
        <v>13</v>
      </c>
      <c r="L34" s="71">
        <f>_xlfn.IFNA(I34*(1+(INDEX('Product Mark-up'!$F$4:$F$8,MATCH('Cal. Sheet Door 2'!$D$2,'Product Mark-up'!$C$4:$C$8,0)))),0)</f>
        <v>32.739210400000005</v>
      </c>
      <c r="N34" s="28" t="s">
        <v>356</v>
      </c>
      <c r="O34" s="71">
        <f>+'Cost Sheet'!$N$24+'Cost Sheet'!$N$10</f>
        <v>6.0253702904802982</v>
      </c>
      <c r="P34" s="49" t="s">
        <v>347</v>
      </c>
      <c r="Q34" s="30">
        <f t="shared" ref="Q34:Q36" si="15">+($D$7*2*$L$2)</f>
        <v>15.999359999999999</v>
      </c>
      <c r="R34" s="71">
        <f>('Cost Sheet'!$N$24*$Q34)+('Cost Sheet'!$N$10*$Q$33)</f>
        <v>79.376236960414133</v>
      </c>
      <c r="S34" s="71">
        <f t="shared" si="14"/>
        <v>239.2</v>
      </c>
      <c r="T34" s="71">
        <f t="shared" si="7"/>
        <v>318.57623696041412</v>
      </c>
      <c r="U34" s="71">
        <f>+'Cost Sheet'!$N$24+'Cost Sheet'!$N$10</f>
        <v>6.0253702904802982</v>
      </c>
      <c r="V34" s="71">
        <f t="shared" si="9"/>
        <v>79.376236960414133</v>
      </c>
      <c r="W34" s="71">
        <f t="shared" si="9"/>
        <v>239.2</v>
      </c>
      <c r="X34" s="71">
        <f>_xlfn.IFNA(T34*(1+(INDEX('Product Mark-up'!$F$4:$F$8,MATCH('Cal. Sheet Door 2'!$D$2,'Product Mark-up'!$C$4:$C$8,0)))),0)</f>
        <v>318.57623696041412</v>
      </c>
      <c r="AB34" s="28" t="s">
        <v>356</v>
      </c>
      <c r="AC34" s="71">
        <f>+'Cost Sheet'!$N$24+'Cost Sheet'!$N$10</f>
        <v>6.0253702904802982</v>
      </c>
      <c r="AD34" s="49" t="s">
        <v>347</v>
      </c>
      <c r="AE34" s="30">
        <f t="shared" ref="AE34:AE36" si="16">+($D$7*2*$L$2)</f>
        <v>15.999359999999999</v>
      </c>
      <c r="AF34" s="71">
        <f>('Cost Sheet'!$N$24*$Q34)+('Cost Sheet'!$N$10*$Q$33)</f>
        <v>79.376236960414133</v>
      </c>
      <c r="AG34" s="71">
        <f t="shared" si="11"/>
        <v>239.2</v>
      </c>
      <c r="AH34" s="71">
        <f t="shared" si="8"/>
        <v>318.57623696041412</v>
      </c>
      <c r="AI34" s="71">
        <f>+'Cost Sheet'!$N$24+'Cost Sheet'!$N$10</f>
        <v>6.0253702904802982</v>
      </c>
      <c r="AJ34" s="71">
        <f t="shared" si="10"/>
        <v>79.376236960414133</v>
      </c>
      <c r="AK34" s="71">
        <f t="shared" si="10"/>
        <v>239.2</v>
      </c>
      <c r="AL34" s="71">
        <f>_xlfn.IFNA(AH34*(1+(INDEX('Product Mark-up'!$F$4:$F$8,MATCH('Cal. Sheet Door 2'!$D$2,'Product Mark-up'!$C$4:$C$8,0)))),0)</f>
        <v>318.57623696041412</v>
      </c>
    </row>
    <row r="35" spans="1:38" ht="46.5" x14ac:dyDescent="0.35">
      <c r="A35" s="544"/>
      <c r="B35" s="21" t="str">
        <f>'Quotation - Door 2'!B64</f>
        <v xml:space="preserve">Material </v>
      </c>
      <c r="C35" s="21" t="str">
        <f>'Quotation - Door 2'!C64</f>
        <v>Weather Strip</v>
      </c>
      <c r="D35" s="121" t="str">
        <f>'Quotation - Door 2'!D64</f>
        <v>No</v>
      </c>
      <c r="E35" s="71">
        <f>IF(D35="No",0,('Cost Sheet'!$N$73+('Cost Sheet'!$N$20)))</f>
        <v>0</v>
      </c>
      <c r="F35" s="30">
        <f>+($D$6+11)*2*L2</f>
        <v>23.49906</v>
      </c>
      <c r="G35" s="19" t="s">
        <v>133</v>
      </c>
      <c r="H35" s="71">
        <f>+IF($D35=0,0,IF(D3="Freezer",'Accessories Install - Labour'!$F$33,'Accessories Install - Labour'!$F$32))</f>
        <v>65</v>
      </c>
      <c r="I35" s="71">
        <f>IF(D35="No",0,H35+(F35*'Cost Sheet'!N73)+(IF(D8=4,(L2*4*2*'Cost Sheet'!$N$74),(L2*4*2*'Cost Sheet'!$N$75))))</f>
        <v>0</v>
      </c>
      <c r="J35" s="71">
        <f t="shared" si="12"/>
        <v>0</v>
      </c>
      <c r="K35" s="71">
        <f t="shared" si="13"/>
        <v>65</v>
      </c>
      <c r="L35" s="71">
        <f>_xlfn.IFNA(I35*(1+(INDEX('Product Mark-up'!$F$4:$F$8,MATCH('Cal. Sheet Door 2'!$D$2,'Product Mark-up'!$C$4:$C$8,0)))),0)</f>
        <v>0</v>
      </c>
      <c r="N35" s="28" t="s">
        <v>55</v>
      </c>
      <c r="O35" s="71">
        <f>+'Cost Sheet'!$N$24+'Cost Sheet'!$N$3</f>
        <v>5.6115239683716327</v>
      </c>
      <c r="P35" s="49" t="s">
        <v>349</v>
      </c>
      <c r="Q35" s="30">
        <f t="shared" si="15"/>
        <v>15.999359999999999</v>
      </c>
      <c r="R35" s="71">
        <f>('Cost Sheet'!$N$24*$Q35)+('Cost Sheet'!$N$3*$Q$33)</f>
        <v>77.169233146733859</v>
      </c>
      <c r="S35" s="71">
        <f t="shared" si="14"/>
        <v>239.2</v>
      </c>
      <c r="T35" s="71">
        <f t="shared" si="7"/>
        <v>316.36923314673385</v>
      </c>
      <c r="U35" s="71">
        <f>+'Cost Sheet'!$N$24+'Cost Sheet'!$N$3</f>
        <v>5.6115239683716327</v>
      </c>
      <c r="V35" s="71">
        <f t="shared" si="9"/>
        <v>77.169233146733859</v>
      </c>
      <c r="W35" s="71">
        <f t="shared" si="9"/>
        <v>239.2</v>
      </c>
      <c r="X35" s="71">
        <f>_xlfn.IFNA(T35*(1+(INDEX('Product Mark-up'!$F$4:$F$8,MATCH('Cal. Sheet Door 2'!$D$2,'Product Mark-up'!$C$4:$C$8,0)))),0)</f>
        <v>316.36923314673385</v>
      </c>
      <c r="AB35" s="28" t="s">
        <v>55</v>
      </c>
      <c r="AC35" s="71">
        <f>+'Cost Sheet'!$N$24+'Cost Sheet'!$N$3</f>
        <v>5.6115239683716327</v>
      </c>
      <c r="AD35" s="49" t="s">
        <v>349</v>
      </c>
      <c r="AE35" s="30">
        <f t="shared" si="16"/>
        <v>15.999359999999999</v>
      </c>
      <c r="AF35" s="71">
        <f>('Cost Sheet'!$N$24*$Q35)+('Cost Sheet'!$N$3*$Q$33)</f>
        <v>77.169233146733859</v>
      </c>
      <c r="AG35" s="71">
        <f t="shared" si="11"/>
        <v>239.2</v>
      </c>
      <c r="AH35" s="71">
        <f t="shared" si="8"/>
        <v>316.36923314673385</v>
      </c>
      <c r="AI35" s="71">
        <f>+'Cost Sheet'!$N$24+'Cost Sheet'!$N$3</f>
        <v>5.6115239683716327</v>
      </c>
      <c r="AJ35" s="71">
        <f t="shared" si="10"/>
        <v>77.169233146733859</v>
      </c>
      <c r="AK35" s="71">
        <f t="shared" si="10"/>
        <v>239.2</v>
      </c>
      <c r="AL35" s="71">
        <f>_xlfn.IFNA(AH35*(1+(INDEX('Product Mark-up'!$F$4:$F$8,MATCH('Cal. Sheet Door 2'!$D$2,'Product Mark-up'!$C$4:$C$8,0)))),0)</f>
        <v>316.36923314673385</v>
      </c>
    </row>
    <row r="36" spans="1:38" ht="46.5" x14ac:dyDescent="0.35">
      <c r="A36" s="544"/>
      <c r="B36" s="21" t="str">
        <f>'Quotation - Door 2'!B65</f>
        <v xml:space="preserve">Material </v>
      </c>
      <c r="C36" s="21" t="str">
        <f>'Quotation - Door 2'!C65</f>
        <v>Gasket</v>
      </c>
      <c r="D36" s="121" t="str">
        <f>'Quotation - Door 2'!D65</f>
        <v xml:space="preserve">Magnet </v>
      </c>
      <c r="E36" s="71">
        <f>+IF(D36="Magnet ",'Cost Sheet'!N79+'Cost Sheet'!N66,'Cost Sheet'!N69+'Cost Sheet'!N67+'Cost Sheet'!N70)</f>
        <v>1.1299999999999999</v>
      </c>
      <c r="F36" s="30">
        <f>+((D6+D7)*2)*L2</f>
        <v>37.66516</v>
      </c>
      <c r="G36" s="19" t="s">
        <v>133</v>
      </c>
      <c r="H36" s="71">
        <f>+IF($D36="Magnet",'Accessories Install - Labour'!F26,'Accessories Install - Labour'!F27)</f>
        <v>21.666666666666668</v>
      </c>
      <c r="I36" s="71">
        <f>(F36*E36)+H36</f>
        <v>64.22829746666666</v>
      </c>
      <c r="J36" s="71">
        <f t="shared" si="12"/>
        <v>1.1299999999999999</v>
      </c>
      <c r="K36" s="71">
        <f t="shared" si="13"/>
        <v>21.666666666666668</v>
      </c>
      <c r="L36" s="71">
        <f>_xlfn.IFNA(I36*(1+(INDEX('Product Mark-up'!$F$4:$F$8,MATCH('Cal. Sheet Door 2'!$D$2,'Product Mark-up'!$C$4:$C$8,0)))),0)</f>
        <v>64.22829746666666</v>
      </c>
      <c r="N36" s="28" t="s">
        <v>357</v>
      </c>
      <c r="O36" s="71">
        <f>+'Cost Sheet'!$N$24+'Cost Sheet'!$N$5</f>
        <v>5.5458374516102458</v>
      </c>
      <c r="P36" s="49" t="s">
        <v>349</v>
      </c>
      <c r="Q36" s="30">
        <f t="shared" si="15"/>
        <v>15.999359999999999</v>
      </c>
      <c r="R36" s="71">
        <f>('Cost Sheet'!$N$24*$Q36)+('Cost Sheet'!$N$5*$Q$33)</f>
        <v>76.818933083026423</v>
      </c>
      <c r="S36" s="71">
        <f t="shared" si="14"/>
        <v>239.2</v>
      </c>
      <c r="T36" s="71">
        <f t="shared" si="7"/>
        <v>316.01893308302641</v>
      </c>
      <c r="U36" s="71">
        <f>+'Cost Sheet'!$N$24+'Cost Sheet'!$N$5</f>
        <v>5.5458374516102458</v>
      </c>
      <c r="V36" s="71">
        <f t="shared" si="9"/>
        <v>76.818933083026423</v>
      </c>
      <c r="W36" s="71">
        <f t="shared" si="9"/>
        <v>239.2</v>
      </c>
      <c r="X36" s="71">
        <f>_xlfn.IFNA(T36*(1+(INDEX('Product Mark-up'!$F$4:$F$8,MATCH('Cal. Sheet Door 2'!$D$2,'Product Mark-up'!$C$4:$C$8,0)))),0)</f>
        <v>316.01893308302641</v>
      </c>
      <c r="AB36" s="28" t="s">
        <v>357</v>
      </c>
      <c r="AC36" s="71">
        <f>+'Cost Sheet'!$N$24+'Cost Sheet'!$N$5</f>
        <v>5.5458374516102458</v>
      </c>
      <c r="AD36" s="49" t="s">
        <v>349</v>
      </c>
      <c r="AE36" s="30">
        <f t="shared" si="16"/>
        <v>15.999359999999999</v>
      </c>
      <c r="AF36" s="71">
        <f>('Cost Sheet'!$N$24*$Q36)+('Cost Sheet'!$N$5*$Q$33)</f>
        <v>76.818933083026423</v>
      </c>
      <c r="AG36" s="71">
        <f t="shared" si="11"/>
        <v>239.2</v>
      </c>
      <c r="AH36" s="71">
        <f t="shared" si="8"/>
        <v>316.01893308302641</v>
      </c>
      <c r="AI36" s="71">
        <f>+'Cost Sheet'!$N$24+'Cost Sheet'!$N$5</f>
        <v>5.5458374516102458</v>
      </c>
      <c r="AJ36" s="71">
        <f t="shared" si="10"/>
        <v>76.818933083026423</v>
      </c>
      <c r="AK36" s="71">
        <f t="shared" si="10"/>
        <v>239.2</v>
      </c>
      <c r="AL36" s="71">
        <f>_xlfn.IFNA(AH36*(1+(INDEX('Product Mark-up'!$F$4:$F$8,MATCH('Cal. Sheet Door 2'!$D$2,'Product Mark-up'!$C$4:$C$8,0)))),0)</f>
        <v>316.01893308302641</v>
      </c>
    </row>
    <row r="37" spans="1:38" x14ac:dyDescent="0.35">
      <c r="A37" s="544"/>
      <c r="B37" s="21" t="str">
        <f>'Quotation - Door 2'!B66</f>
        <v xml:space="preserve">Material </v>
      </c>
      <c r="C37" s="21" t="str">
        <f>'Quotation - Door 2'!C66</f>
        <v xml:space="preserve">Additional Gasket </v>
      </c>
      <c r="D37" s="121" t="str">
        <f>'Quotation - Door 2'!D66</f>
        <v>Not Required</v>
      </c>
      <c r="E37" s="71" t="e">
        <f>IF($D37=0,0,(INDEX('Cost Sheet'!$N:$N,MATCH('Quotation - Door 2'!$D66,'Cost Sheet'!$C:$C,0))))</f>
        <v>#N/A</v>
      </c>
      <c r="F37" s="30">
        <f>+((D6+D7)*2)*L2</f>
        <v>37.66516</v>
      </c>
      <c r="G37" s="19" t="s">
        <v>133</v>
      </c>
      <c r="H37" s="71">
        <f>+IF($D37=0,0,'Accessories Install - Labour'!$E$26)</f>
        <v>21.666666666666668</v>
      </c>
      <c r="I37" s="71" t="e">
        <f>(F37*E37)+H37</f>
        <v>#N/A</v>
      </c>
      <c r="J37" s="71" t="e">
        <f t="shared" si="12"/>
        <v>#N/A</v>
      </c>
      <c r="K37" s="71">
        <f t="shared" si="13"/>
        <v>21.666666666666668</v>
      </c>
      <c r="L37" s="71">
        <f>_xlfn.IFNA(I37*(1+(INDEX('Product Mark-up'!$F$4:$F$8,MATCH('Cal. Sheet Door 2'!$D$2,'Product Mark-up'!$C$4:$C$8,0)))),0)</f>
        <v>0</v>
      </c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</row>
    <row r="38" spans="1:38" ht="58" x14ac:dyDescent="0.35">
      <c r="A38" s="544"/>
      <c r="N38" s="119" t="s">
        <v>363</v>
      </c>
      <c r="O38" s="160" t="s">
        <v>321</v>
      </c>
      <c r="P38" s="160" t="s">
        <v>322</v>
      </c>
      <c r="Q38" s="160" t="s">
        <v>323</v>
      </c>
      <c r="R38" s="160" t="s">
        <v>324</v>
      </c>
      <c r="S38" s="160" t="s">
        <v>134</v>
      </c>
      <c r="T38" s="160" t="s">
        <v>325</v>
      </c>
      <c r="U38" s="160" t="s">
        <v>326</v>
      </c>
      <c r="V38" s="160" t="s">
        <v>327</v>
      </c>
      <c r="W38" s="160" t="s">
        <v>328</v>
      </c>
      <c r="X38" s="160" t="s">
        <v>329</v>
      </c>
      <c r="AB38" s="119" t="s">
        <v>363</v>
      </c>
      <c r="AC38" s="160" t="s">
        <v>321</v>
      </c>
      <c r="AD38" s="160" t="s">
        <v>322</v>
      </c>
      <c r="AE38" s="160" t="s">
        <v>323</v>
      </c>
      <c r="AF38" s="160" t="s">
        <v>324</v>
      </c>
      <c r="AG38" s="160" t="s">
        <v>134</v>
      </c>
      <c r="AH38" s="160" t="s">
        <v>325</v>
      </c>
      <c r="AI38" s="160" t="s">
        <v>326</v>
      </c>
      <c r="AJ38" s="160" t="s">
        <v>327</v>
      </c>
      <c r="AK38" s="160" t="s">
        <v>328</v>
      </c>
      <c r="AL38" s="160" t="s">
        <v>329</v>
      </c>
    </row>
    <row r="39" spans="1:38" ht="31" x14ac:dyDescent="0.35">
      <c r="A39" s="544"/>
      <c r="E39" s="4">
        <f>34*78</f>
        <v>2652</v>
      </c>
      <c r="F39" s="4">
        <f>60*84</f>
        <v>5040</v>
      </c>
      <c r="G39" s="4">
        <f>+F39/E39</f>
        <v>1.9004524886877827</v>
      </c>
      <c r="N39" s="28" t="s">
        <v>344</v>
      </c>
      <c r="O39" s="71">
        <f>+'Cost Sheet'!$N$15</f>
        <v>3.8724791666666665</v>
      </c>
      <c r="P39" s="49" t="s">
        <v>364</v>
      </c>
      <c r="Q39" s="30">
        <f>SUM((($O$12*($D$7+(2*$O$12)))),($O$12*($D$6+(2*$O$12))))*2*$L$4</f>
        <v>19.883825865150001</v>
      </c>
      <c r="R39" s="71">
        <f>+Q39*O39</f>
        <v>76.999701416421189</v>
      </c>
      <c r="S39" s="71">
        <f>+S15*0.5</f>
        <v>109.2</v>
      </c>
      <c r="T39" s="71">
        <f t="shared" ref="T39:T46" si="17">+R39+S39</f>
        <v>186.19970141642119</v>
      </c>
      <c r="U39" s="71">
        <f>+'Cost Sheet'!$N$15</f>
        <v>3.8724791666666665</v>
      </c>
      <c r="V39" s="71">
        <f>+R39</f>
        <v>76.999701416421189</v>
      </c>
      <c r="W39" s="71">
        <f>+S39</f>
        <v>109.2</v>
      </c>
      <c r="X39" s="71">
        <f>_xlfn.IFNA(T39*(1+(INDEX('Product Mark-up'!$F$4:$F$8,MATCH('Cal. Sheet Door 2'!$D$2,'Product Mark-up'!$C$4:$C$8,0)))),0)</f>
        <v>186.19970141642119</v>
      </c>
      <c r="AB39" s="28" t="s">
        <v>344</v>
      </c>
      <c r="AC39" s="71">
        <f>+'Cost Sheet'!$N$15</f>
        <v>3.8724791666666665</v>
      </c>
      <c r="AD39" s="49" t="s">
        <v>364</v>
      </c>
      <c r="AE39" s="30">
        <f>SUM((($O$12*($D$7+(2*$O$12)))),($O$12*($D$6+(2*$O$12))))*2*$L$4</f>
        <v>19.883825865150001</v>
      </c>
      <c r="AF39" s="71">
        <f>+AE39*AC39</f>
        <v>76.999701416421189</v>
      </c>
      <c r="AG39" s="71" cm="1">
        <f t="array" ref="AG39">_xlfn.IFNA(IF(OR('Quotation - Door 2'!$D$30=Controller!$A$13, 'Quotation - Door 2'!$D$30=Controller!$A$14, 'Quotation - Door 2'!$D$30=Controller!$A$15),
INDEX('Door and Panel Labor Exp. '!$J$23:$M$40,
 (MATCH(1, ((ABS('Door and Panel Labor Exp. '!$C$23:$C$40 - 'Quotation - Door 2'!$D$35) = _xlfn.AGGREGATE(15, 3, ABS('Door and Panel Labor Exp. '!$C$23:$C$40 - 'Quotation - Door 2'!$D$35), 1)) *
 (ABS('Door and Panel Labor Exp. '!$B$23:$B$40 - 'Quotation - Door 2'!$D$34) = _xlfn.AGGREGATE(15, 3, ABS('Door and Panel Labor Exp. '!$B$23:$B$40 - 'Quotation - Door 2'!$D$34), 1))), 0)),
 MATCH('Quotation - Door 2'!$D$31, 'Door and Panel Labor Exp. '!$J$1:$M$1, 0)
),
INDEX('Door and Panel Labor Exp. '!$J$5:$M$16,
 (MATCH(1, ((ABS('Door and Panel Labor Exp. '!$C$5:$C$16 - 'Quotation - Door 2'!$D$35) = _xlfn.AGGREGATE(15, 3, ABS('Door and Panel Labor Exp. '!$C$5:$C$16 - 'Quotation - Door 2'!$D$35), 1)) *
 (ABS('Door and Panel Labor Exp. '!$B$5:$B$16 - 'Quotation - Door 2'!$D$34) = _xlfn.AGGREGATE(15, 3, ABS('Door and Panel Labor Exp. '!$B$5:$B$16 - 'Quotation - Door 2'!$D$34), 1))), 0)),
 MATCH('Quotation - Door 2'!$D$31, 'Door and Panel Labor Exp. '!$J$1:$M$1, 0)
)),0)</f>
        <v>0</v>
      </c>
      <c r="AH39" s="71">
        <f t="shared" ref="AH39:AH46" si="18">+AF39+AG39</f>
        <v>76.999701416421189</v>
      </c>
      <c r="AI39" s="71">
        <f>+'Cost Sheet'!$N$15</f>
        <v>3.8724791666666665</v>
      </c>
      <c r="AJ39" s="71">
        <f>+AF39</f>
        <v>76.999701416421189</v>
      </c>
      <c r="AK39" s="71">
        <f>+AG39</f>
        <v>0</v>
      </c>
      <c r="AL39" s="71">
        <f>_xlfn.IFNA(AH39*(1+(INDEX('Product Mark-up'!$F$4:$F$8,MATCH('Cal. Sheet Door 2'!$D$2,'Product Mark-up'!$C$4:$C$8,0)))),0)</f>
        <v>76.999701416421189</v>
      </c>
    </row>
    <row r="40" spans="1:38" ht="62" x14ac:dyDescent="0.35">
      <c r="A40" s="544"/>
      <c r="N40" s="28" t="s">
        <v>346</v>
      </c>
      <c r="O40" s="71">
        <f>+$O$39+'Cost Sheet'!$N$10</f>
        <v>5.4686827904802993</v>
      </c>
      <c r="P40" s="49" t="s">
        <v>365</v>
      </c>
      <c r="Q40" s="30">
        <f t="shared" ref="Q40:Q42" si="19">SUM((($O$12*($D$7+(2*$O$12)))),($O$12*($D$6+(2*$O$12))))*2*$L$4</f>
        <v>19.883825865150001</v>
      </c>
      <c r="R40" s="71">
        <f>($O$39*$Q$39)+('Cost Sheet'!$N$10*2*$Q$43)</f>
        <v>140.47697121888453</v>
      </c>
      <c r="S40" s="71">
        <f>+S16*0.5</f>
        <v>109.2</v>
      </c>
      <c r="T40" s="71">
        <f t="shared" si="17"/>
        <v>249.67697121888455</v>
      </c>
      <c r="U40" s="71">
        <f>+$O$39+'Cost Sheet'!$N$10</f>
        <v>5.4686827904802993</v>
      </c>
      <c r="V40" s="71">
        <f t="shared" ref="V40:W48" si="20">+R40</f>
        <v>140.47697121888453</v>
      </c>
      <c r="W40" s="71">
        <f t="shared" si="20"/>
        <v>109.2</v>
      </c>
      <c r="X40" s="71">
        <f>_xlfn.IFNA(T40*(1+(INDEX('Product Mark-up'!$F$4:$F$8,MATCH('Cal. Sheet Door 2'!$D$2,'Product Mark-up'!$C$4:$C$8,0)))),0)</f>
        <v>249.67697121888455</v>
      </c>
      <c r="AB40" s="28" t="s">
        <v>346</v>
      </c>
      <c r="AC40" s="71">
        <f>+$O$39+'Cost Sheet'!$N$10</f>
        <v>5.4686827904802993</v>
      </c>
      <c r="AD40" s="49" t="s">
        <v>365</v>
      </c>
      <c r="AE40" s="30">
        <f t="shared" ref="AE40:AE42" si="21">SUM((($O$12*($D$7+(2*$O$12)))),($O$12*($D$6+(2*$O$12))))*2*$L$4</f>
        <v>19.883825865150001</v>
      </c>
      <c r="AF40" s="71">
        <f>($O$39*$Q$39)+('Cost Sheet'!$N$10*2*$Q$43)</f>
        <v>140.47697121888453</v>
      </c>
      <c r="AG40" s="71" cm="1">
        <f t="array" ref="AG40">_xlfn.IFNA(IF(OR('Quotation - Door 2'!$D$30=Controller!$A$13, 'Quotation - Door 2'!$D$30=Controller!$A$14, 'Quotation - Door 2'!$D$30=Controller!$A$15),
INDEX('Door and Panel Labor Exp. '!$J$23:$M$40,
 (MATCH(1, ((ABS('Door and Panel Labor Exp. '!$C$23:$C$40 - 'Quotation - Door 2'!$D$35) = _xlfn.AGGREGATE(15, 3, ABS('Door and Panel Labor Exp. '!$C$23:$C$40 - 'Quotation - Door 2'!$D$35), 1)) *
 (ABS('Door and Panel Labor Exp. '!$B$23:$B$40 - 'Quotation - Door 2'!$D$34) = _xlfn.AGGREGATE(15, 3, ABS('Door and Panel Labor Exp. '!$B$23:$B$40 - 'Quotation - Door 2'!$D$34), 1))), 0)),
 MATCH('Quotation - Door 2'!$D$31, 'Door and Panel Labor Exp. '!$J$1:$M$1, 0)
),
INDEX('Door and Panel Labor Exp. '!$J$5:$M$16,
 (MATCH(1, ((ABS('Door and Panel Labor Exp. '!$C$5:$C$16 - 'Quotation - Door 2'!$D$35) = _xlfn.AGGREGATE(15, 3, ABS('Door and Panel Labor Exp. '!$C$5:$C$16 - 'Quotation - Door 2'!$D$35), 1)) *
 (ABS('Door and Panel Labor Exp. '!$B$5:$B$16 - 'Quotation - Door 2'!$D$34) = _xlfn.AGGREGATE(15, 3, ABS('Door and Panel Labor Exp. '!$B$5:$B$16 - 'Quotation - Door 2'!$D$34), 1))), 0)),
 MATCH('Quotation - Door 2'!$D$31, 'Door and Panel Labor Exp. '!$J$1:$M$1, 0)
)),0)</f>
        <v>0</v>
      </c>
      <c r="AH40" s="71">
        <f t="shared" si="18"/>
        <v>140.47697121888453</v>
      </c>
      <c r="AI40" s="71">
        <f>+$O$39+'Cost Sheet'!$N$10</f>
        <v>5.4686827904802993</v>
      </c>
      <c r="AJ40" s="71">
        <f t="shared" ref="AJ40:AK48" si="22">+AF40</f>
        <v>140.47697121888453</v>
      </c>
      <c r="AK40" s="71">
        <f t="shared" si="22"/>
        <v>0</v>
      </c>
      <c r="AL40" s="71">
        <f>_xlfn.IFNA(AH40*(1+(INDEX('Product Mark-up'!$F$4:$F$8,MATCH('Cal. Sheet Door 2'!$D$2,'Product Mark-up'!$C$4:$C$8,0)))),0)</f>
        <v>140.47697121888453</v>
      </c>
    </row>
    <row r="41" spans="1:38" ht="62" x14ac:dyDescent="0.35">
      <c r="A41" s="544"/>
      <c r="B41" s="226" t="s">
        <v>366</v>
      </c>
      <c r="D41" s="150" t="s">
        <v>82</v>
      </c>
      <c r="E41" s="160" t="s">
        <v>321</v>
      </c>
      <c r="F41" s="160" t="s">
        <v>334</v>
      </c>
      <c r="G41" s="160" t="s">
        <v>322</v>
      </c>
      <c r="H41" s="220" t="s">
        <v>335</v>
      </c>
      <c r="I41" s="160" t="s">
        <v>336</v>
      </c>
      <c r="J41" s="160" t="s">
        <v>337</v>
      </c>
      <c r="K41" s="220" t="s">
        <v>338</v>
      </c>
      <c r="L41" s="160" t="s">
        <v>339</v>
      </c>
      <c r="N41" s="28" t="s">
        <v>348</v>
      </c>
      <c r="O41" s="71">
        <f>+$O$39+'Cost Sheet'!$N$3</f>
        <v>5.0548364683716329</v>
      </c>
      <c r="P41" s="49" t="s">
        <v>367</v>
      </c>
      <c r="Q41" s="30">
        <f t="shared" si="19"/>
        <v>19.883825865150001</v>
      </c>
      <c r="R41" s="71">
        <f>($O$41*$Q$41)+('Cost Sheet'!$N$3*2*$Q$43)</f>
        <v>147.52906150889171</v>
      </c>
      <c r="S41" s="71">
        <f>+S17*0.5</f>
        <v>109.2</v>
      </c>
      <c r="T41" s="71">
        <f t="shared" si="17"/>
        <v>256.72906150889173</v>
      </c>
      <c r="U41" s="71">
        <f>+$O$39+'Cost Sheet'!$N$3</f>
        <v>5.0548364683716329</v>
      </c>
      <c r="V41" s="71">
        <f t="shared" si="20"/>
        <v>147.52906150889171</v>
      </c>
      <c r="W41" s="71">
        <f t="shared" si="20"/>
        <v>109.2</v>
      </c>
      <c r="X41" s="71">
        <f>_xlfn.IFNA(T41*(1+(INDEX('Product Mark-up'!$F$4:$F$8,MATCH('Cal. Sheet Door 2'!$D$2,'Product Mark-up'!$C$4:$C$8,0)))),0)</f>
        <v>256.72906150889173</v>
      </c>
      <c r="AB41" s="28" t="s">
        <v>348</v>
      </c>
      <c r="AC41" s="71">
        <f>+$O$39+'Cost Sheet'!$N$3</f>
        <v>5.0548364683716329</v>
      </c>
      <c r="AD41" s="49" t="s">
        <v>367</v>
      </c>
      <c r="AE41" s="30">
        <f t="shared" si="21"/>
        <v>19.883825865150001</v>
      </c>
      <c r="AF41" s="71">
        <f>($O$41*$Q$41)+('Cost Sheet'!$N$3*2*$Q$43)</f>
        <v>147.52906150889171</v>
      </c>
      <c r="AG41" s="71" cm="1">
        <f t="array" ref="AG41">_xlfn.IFNA(IF(OR('Quotation - Door 2'!$D$30=Controller!$A$13, 'Quotation - Door 2'!$D$30=Controller!$A$14, 'Quotation - Door 2'!$D$30=Controller!$A$15),
INDEX('Door and Panel Labor Exp. '!$J$23:$M$40,
 (MATCH(1, ((ABS('Door and Panel Labor Exp. '!$C$23:$C$40 - 'Quotation - Door 2'!$D$35) = _xlfn.AGGREGATE(15, 3, ABS('Door and Panel Labor Exp. '!$C$23:$C$40 - 'Quotation - Door 2'!$D$35), 1)) *
 (ABS('Door and Panel Labor Exp. '!$B$23:$B$40 - 'Quotation - Door 2'!$D$34) = _xlfn.AGGREGATE(15, 3, ABS('Door and Panel Labor Exp. '!$B$23:$B$40 - 'Quotation - Door 2'!$D$34), 1))), 0)),
 MATCH('Quotation - Door 2'!$D$31, 'Door and Panel Labor Exp. '!$J$1:$M$1, 0)
),
INDEX('Door and Panel Labor Exp. '!$J$5:$M$16,
 (MATCH(1, ((ABS('Door and Panel Labor Exp. '!$C$5:$C$16 - 'Quotation - Door 2'!$D$35) = _xlfn.AGGREGATE(15, 3, ABS('Door and Panel Labor Exp. '!$C$5:$C$16 - 'Quotation - Door 2'!$D$35), 1)) *
 (ABS('Door and Panel Labor Exp. '!$B$5:$B$16 - 'Quotation - Door 2'!$D$34) = _xlfn.AGGREGATE(15, 3, ABS('Door and Panel Labor Exp. '!$B$5:$B$16 - 'Quotation - Door 2'!$D$34), 1))), 0)),
 MATCH('Quotation - Door 2'!$D$31, 'Door and Panel Labor Exp. '!$J$1:$M$1, 0)
)),0)</f>
        <v>0</v>
      </c>
      <c r="AH41" s="71">
        <f t="shared" si="18"/>
        <v>147.52906150889171</v>
      </c>
      <c r="AI41" s="71">
        <f>+$O$39+'Cost Sheet'!$N$3</f>
        <v>5.0548364683716329</v>
      </c>
      <c r="AJ41" s="71">
        <f t="shared" si="22"/>
        <v>147.52906150889171</v>
      </c>
      <c r="AK41" s="71">
        <f t="shared" si="22"/>
        <v>0</v>
      </c>
      <c r="AL41" s="71">
        <f>_xlfn.IFNA(AH41*(1+(INDEX('Product Mark-up'!$F$4:$F$8,MATCH('Cal. Sheet Door 2'!$D$2,'Product Mark-up'!$C$4:$C$8,0)))),0)</f>
        <v>147.52906150889171</v>
      </c>
    </row>
    <row r="42" spans="1:38" ht="62" x14ac:dyDescent="0.35">
      <c r="A42" s="544"/>
      <c r="B42" s="227"/>
      <c r="C42" s="21" t="str">
        <f>'Quotation - Door 2'!C69</f>
        <v xml:space="preserve">Sliding Door Parts </v>
      </c>
      <c r="D42" s="121" t="str">
        <f>+IF(OR($D$2=Controller!$A$16,$D$2=Controller!$A$17),"","SS tube")</f>
        <v>SS tube</v>
      </c>
      <c r="E42" s="71">
        <f>IF($D42=0,0,(INDEX('Cost Sheet'!$N:$N,MATCH('Quotation - Door 2'!$D69,'Cost Sheet'!$C:$C,0))))</f>
        <v>12</v>
      </c>
      <c r="F42" s="19">
        <f>+IF(D6=0,0,((D6*2)+17))</f>
        <v>277</v>
      </c>
      <c r="G42" s="19" t="s">
        <v>133</v>
      </c>
      <c r="H42" s="71">
        <f>+IF($D6=0,0,IF($D$6&lt;48,IF('Cal. Sheet Door 2'!$D$5="Manual",'Accessories Install - Labour'!$F$56,'Accessories Install - Labour'!$F$57),IF('Cal. Sheet Door 2'!$D$5="Manual",'Accessories Install - Labour'!$F$58,'Accessories Install - Labour'!$F$59)))</f>
        <v>260</v>
      </c>
      <c r="I42" s="71">
        <f>_xlfn.IFNA(IF(D42=0,0,(E42*F42*L2))+H42,0)</f>
        <v>536.98892000000001</v>
      </c>
      <c r="J42" s="71">
        <f>IF($D6=0,0,(INDEX('Cost Sheet'!$P:$P,MATCH('Quotation - Door 2'!$D69,'Cost Sheet'!$C:$C,0))))</f>
        <v>12</v>
      </c>
      <c r="K42" s="71">
        <f t="shared" ref="K42:K53" si="23">+H42</f>
        <v>260</v>
      </c>
      <c r="L42" s="71">
        <f>_xlfn.IFNA(I42*(1+(INDEX('Product Mark-up'!$F$4:$F$8,MATCH('Cal. Sheet Door 2'!$D$2,'Product Mark-up'!$C$4:$C$8,0)))),0)</f>
        <v>536.98892000000001</v>
      </c>
      <c r="N42" s="28" t="s">
        <v>350</v>
      </c>
      <c r="O42" s="71">
        <f>+$O$39+'Cost Sheet'!$N$5</f>
        <v>4.989149951610246</v>
      </c>
      <c r="P42" s="49" t="s">
        <v>367</v>
      </c>
      <c r="Q42" s="30">
        <f t="shared" si="19"/>
        <v>19.883825865150001</v>
      </c>
      <c r="R42" s="71">
        <f>($O$39*$Q$39)+('Cost Sheet'!$N$5*2*$Q$43)</f>
        <v>121.40707628945819</v>
      </c>
      <c r="S42" s="71">
        <f>+S18*0.5</f>
        <v>109.2</v>
      </c>
      <c r="T42" s="71">
        <f t="shared" si="17"/>
        <v>230.60707628945818</v>
      </c>
      <c r="U42" s="71">
        <f>+$O$39+'Cost Sheet'!$N$5</f>
        <v>4.989149951610246</v>
      </c>
      <c r="V42" s="71">
        <f t="shared" si="20"/>
        <v>121.40707628945819</v>
      </c>
      <c r="W42" s="71">
        <f t="shared" si="20"/>
        <v>109.2</v>
      </c>
      <c r="X42" s="71">
        <f>_xlfn.IFNA(T42*(1+(INDEX('Product Mark-up'!$F$4:$F$8,MATCH('Cal. Sheet Door 2'!$D$2,'Product Mark-up'!$C$4:$C$8,0)))),0)</f>
        <v>230.60707628945818</v>
      </c>
      <c r="AB42" s="28" t="s">
        <v>350</v>
      </c>
      <c r="AC42" s="71">
        <f>+$O$39+'Cost Sheet'!$N$5</f>
        <v>4.989149951610246</v>
      </c>
      <c r="AD42" s="49" t="s">
        <v>367</v>
      </c>
      <c r="AE42" s="30">
        <f t="shared" si="21"/>
        <v>19.883825865150001</v>
      </c>
      <c r="AF42" s="71">
        <f>($O$39*$Q$39)+('Cost Sheet'!$N$5*2*$Q$43)</f>
        <v>121.40707628945819</v>
      </c>
      <c r="AG42" s="71" cm="1">
        <f t="array" ref="AG42">_xlfn.IFNA(IF(OR('Quotation - Door 2'!$D$30=Controller!$A$13, 'Quotation - Door 2'!$D$30=Controller!$A$14, 'Quotation - Door 2'!$D$30=Controller!$A$15),
INDEX('Door and Panel Labor Exp. '!$J$23:$M$40,
 (MATCH(1, ((ABS('Door and Panel Labor Exp. '!$C$23:$C$40 - 'Quotation - Door 2'!$D$35) = _xlfn.AGGREGATE(15, 3, ABS('Door and Panel Labor Exp. '!$C$23:$C$40 - 'Quotation - Door 2'!$D$35), 1)) *
 (ABS('Door and Panel Labor Exp. '!$B$23:$B$40 - 'Quotation - Door 2'!$D$34) = _xlfn.AGGREGATE(15, 3, ABS('Door and Panel Labor Exp. '!$B$23:$B$40 - 'Quotation - Door 2'!$D$34), 1))), 0)),
 MATCH('Quotation - Door 2'!$D$31, 'Door and Panel Labor Exp. '!$J$1:$M$1, 0)
),
INDEX('Door and Panel Labor Exp. '!$J$5:$M$16,
 (MATCH(1, ((ABS('Door and Panel Labor Exp. '!$C$5:$C$16 - 'Quotation - Door 2'!$D$35) = _xlfn.AGGREGATE(15, 3, ABS('Door and Panel Labor Exp. '!$C$5:$C$16 - 'Quotation - Door 2'!$D$35), 1)) *
 (ABS('Door and Panel Labor Exp. '!$B$5:$B$16 - 'Quotation - Door 2'!$D$34) = _xlfn.AGGREGATE(15, 3, ABS('Door and Panel Labor Exp. '!$B$5:$B$16 - 'Quotation - Door 2'!$D$34), 1))), 0)),
 MATCH('Quotation - Door 2'!$D$31, 'Door and Panel Labor Exp. '!$J$1:$M$1, 0)
)),0)</f>
        <v>0</v>
      </c>
      <c r="AH42" s="71">
        <f t="shared" si="18"/>
        <v>121.40707628945819</v>
      </c>
      <c r="AI42" s="71">
        <f>+$O$39+'Cost Sheet'!$N$5</f>
        <v>4.989149951610246</v>
      </c>
      <c r="AJ42" s="71">
        <f t="shared" si="22"/>
        <v>121.40707628945819</v>
      </c>
      <c r="AK42" s="71">
        <f t="shared" si="22"/>
        <v>0</v>
      </c>
      <c r="AL42" s="71">
        <f>_xlfn.IFNA(AH42*(1+(INDEX('Product Mark-up'!$F$4:$F$8,MATCH('Cal. Sheet Door 2'!$D$2,'Product Mark-up'!$C$4:$C$8,0)))),0)</f>
        <v>121.40707628945819</v>
      </c>
    </row>
    <row r="43" spans="1:38" ht="46.5" x14ac:dyDescent="0.35">
      <c r="A43" s="544"/>
      <c r="B43" s="227"/>
      <c r="C43" s="21" t="str">
        <f>'Quotation - Door 2'!C70</f>
        <v xml:space="preserve">Sliding Door Parts </v>
      </c>
      <c r="D43" s="121" t="str">
        <f>+IF(OR($D$2=Controller!$A$16,$D$2=Controller!$A$17),"","Main Roller")</f>
        <v>Main Roller</v>
      </c>
      <c r="E43" s="71">
        <f>IF($D43=0,0,(INDEX('Cost Sheet'!$N:$N,MATCH('Quotation - Door 2'!$D70,'Cost Sheet'!$C:$C,0))))</f>
        <v>168</v>
      </c>
      <c r="F43" s="20"/>
      <c r="G43" s="19" t="s">
        <v>133</v>
      </c>
      <c r="H43" s="71">
        <f>+IF($D6=0,0,INDEX('Accessories Install - Labour'!$E:$E,MATCH('Cal. Sheet Door 2'!$D43,'Accessories Install - Labour'!$C:$C,0)))</f>
        <v>17.333333333333332</v>
      </c>
      <c r="I43" s="71">
        <f>_xlfn.IFNA(IF(D6=0,0,(E43+H43)),0)</f>
        <v>185.33333333333334</v>
      </c>
      <c r="J43" s="71">
        <f>IF($D6=0,0,(INDEX('Cost Sheet'!$P:$P,MATCH('Quotation - Door 2'!$D70,'Cost Sheet'!$C:$C,0))))</f>
        <v>168</v>
      </c>
      <c r="K43" s="71">
        <f t="shared" si="23"/>
        <v>17.333333333333332</v>
      </c>
      <c r="L43" s="71">
        <f>_xlfn.IFNA(I43*(1+(INDEX('Product Mark-up'!$F$4:$F$8,MATCH('Cal. Sheet Door 2'!$D$2,'Product Mark-up'!$C$4:$C$8,0)))),0)</f>
        <v>185.33333333333334</v>
      </c>
      <c r="N43" s="28" t="s">
        <v>351</v>
      </c>
      <c r="O43" s="71">
        <f>+'Cost Sheet'!$N$27+'Cost Sheet'!$N$10</f>
        <v>2.7368286238136323</v>
      </c>
      <c r="P43" s="49" t="s">
        <v>352</v>
      </c>
      <c r="Q43" s="30">
        <f>SUM((($O$12*($D$7+(2*$O$12)))),($O$12*($D$6+(2*$O$12))))*2*$L$4</f>
        <v>19.883825865150001</v>
      </c>
      <c r="R43" s="71">
        <f>+O43*Q43*2</f>
        <v>108.83724755733677</v>
      </c>
      <c r="S43" s="71">
        <f>+S19*0.4</f>
        <v>382.72</v>
      </c>
      <c r="T43" s="71">
        <f t="shared" si="17"/>
        <v>491.55724755733678</v>
      </c>
      <c r="U43" s="71">
        <f>+'Cost Sheet'!$N$27+'Cost Sheet'!$N$10</f>
        <v>2.7368286238136323</v>
      </c>
      <c r="V43" s="71">
        <f t="shared" si="20"/>
        <v>108.83724755733677</v>
      </c>
      <c r="W43" s="71">
        <f t="shared" si="20"/>
        <v>382.72</v>
      </c>
      <c r="X43" s="71">
        <f>_xlfn.IFNA(T43*(1+(INDEX('Product Mark-up'!$F$4:$F$8,MATCH('Cal. Sheet Door 2'!$D$2,'Product Mark-up'!$C$4:$C$8,0)))),0)</f>
        <v>491.55724755733678</v>
      </c>
      <c r="AB43" s="28" t="s">
        <v>351</v>
      </c>
      <c r="AC43" s="71">
        <f>+'Cost Sheet'!$N$27+'Cost Sheet'!$N$10</f>
        <v>2.7368286238136323</v>
      </c>
      <c r="AD43" s="49" t="s">
        <v>352</v>
      </c>
      <c r="AE43" s="30">
        <f>SUM((($O$12*($D$7+(2*$O$12)))),($O$12*($D$6+(2*$O$12))))*2*$L$4</f>
        <v>19.883825865150001</v>
      </c>
      <c r="AF43" s="71">
        <f>+AC43*AE43*2</f>
        <v>108.83724755733677</v>
      </c>
      <c r="AG43" s="71">
        <f t="shared" ref="AG43:AG48" si="24">+AG19*0.4</f>
        <v>382.72</v>
      </c>
      <c r="AH43" s="71">
        <f t="shared" si="18"/>
        <v>491.55724755733678</v>
      </c>
      <c r="AI43" s="71">
        <f>+'Cost Sheet'!$N$27+'Cost Sheet'!$N$10</f>
        <v>2.7368286238136323</v>
      </c>
      <c r="AJ43" s="71">
        <f t="shared" si="22"/>
        <v>108.83724755733677</v>
      </c>
      <c r="AK43" s="71">
        <f t="shared" si="22"/>
        <v>382.72</v>
      </c>
      <c r="AL43" s="71">
        <f>_xlfn.IFNA(AH43*(1+(INDEX('Product Mark-up'!$F$4:$F$8,MATCH('Cal. Sheet Door 2'!$D$2,'Product Mark-up'!$C$4:$C$8,0)))),0)</f>
        <v>491.55724755733678</v>
      </c>
    </row>
    <row r="44" spans="1:38" ht="46.5" x14ac:dyDescent="0.35">
      <c r="A44" s="544"/>
      <c r="B44" s="227"/>
      <c r="C44" s="21" t="str">
        <f>'Quotation - Door 2'!C71</f>
        <v xml:space="preserve">Sliding Door Parts </v>
      </c>
      <c r="D44" s="121" t="str">
        <f>+IF(OR($D$2=Controller!$A$16,$D$2=Controller!$A$17),"","Bottom Stay Roller")</f>
        <v>Bottom Stay Roller</v>
      </c>
      <c r="E44" s="71">
        <f>IF($D44=0,0,(INDEX('Cost Sheet'!$N:$N,MATCH('Quotation - Door 2'!$D71,'Cost Sheet'!$C:$C,0))))</f>
        <v>27</v>
      </c>
      <c r="F44" s="20"/>
      <c r="G44" s="19" t="s">
        <v>133</v>
      </c>
      <c r="H44" s="71">
        <f>+IF($D6=0,0,IF($D$6&lt;48,'Accessories Install - Labour'!$F$62,'Accessories Install - Labour'!$F$63))</f>
        <v>78</v>
      </c>
      <c r="I44" s="71">
        <f>_xlfn.IFNA(IF(D6=0,0,(E44+H44)),0)</f>
        <v>105</v>
      </c>
      <c r="J44" s="71">
        <f>IF($D6=0,0,(INDEX('Cost Sheet'!$P:$P,MATCH('Quotation - Door 2'!$D71,'Cost Sheet'!$C:$C,0))))</f>
        <v>27</v>
      </c>
      <c r="K44" s="71">
        <f t="shared" si="23"/>
        <v>78</v>
      </c>
      <c r="L44" s="71">
        <f>_xlfn.IFNA(I44*(1+(INDEX('Product Mark-up'!$F$4:$F$8,MATCH('Cal. Sheet Door 2'!$D$2,'Product Mark-up'!$C$4:$C$8,0)))),0)</f>
        <v>105</v>
      </c>
      <c r="N44" s="28" t="s">
        <v>353</v>
      </c>
      <c r="O44" s="71">
        <f>+'Cost Sheet'!$N$27+'Cost Sheet'!$N$3</f>
        <v>2.3229823017049664</v>
      </c>
      <c r="P44" s="49" t="s">
        <v>352</v>
      </c>
      <c r="Q44" s="30">
        <f>SUM((($O$12*($D$7+(2*$O$12)))),($O$12*($D$6+(2*$O$12))))*2*$L$4</f>
        <v>19.883825865150001</v>
      </c>
      <c r="R44" s="71">
        <f>+O44*Q44*2</f>
        <v>92.379551149853796</v>
      </c>
      <c r="S44" s="71">
        <f t="shared" ref="S44:S48" si="25">+S20*0.4</f>
        <v>382.72</v>
      </c>
      <c r="T44" s="71">
        <f t="shared" si="17"/>
        <v>475.09955114985382</v>
      </c>
      <c r="U44" s="71">
        <f>+'Cost Sheet'!$N$27+'Cost Sheet'!$N$3</f>
        <v>2.3229823017049664</v>
      </c>
      <c r="V44" s="71">
        <f t="shared" si="20"/>
        <v>92.379551149853796</v>
      </c>
      <c r="W44" s="71">
        <f t="shared" si="20"/>
        <v>382.72</v>
      </c>
      <c r="X44" s="71">
        <f>_xlfn.IFNA(T44*(1+(INDEX('Product Mark-up'!$F$4:$F$8,MATCH('Cal. Sheet Door 2'!$D$2,'Product Mark-up'!$C$4:$C$8,0)))),0)</f>
        <v>475.09955114985382</v>
      </c>
      <c r="AB44" s="28" t="s">
        <v>353</v>
      </c>
      <c r="AC44" s="71">
        <f>+'Cost Sheet'!$N$27+'Cost Sheet'!$N$3</f>
        <v>2.3229823017049664</v>
      </c>
      <c r="AD44" s="49" t="s">
        <v>352</v>
      </c>
      <c r="AE44" s="30">
        <f>SUM((($O$12*($D$7+(2*$O$12)))),($O$12*($D$6+(2*$O$12))))*2*$L$4</f>
        <v>19.883825865150001</v>
      </c>
      <c r="AF44" s="71">
        <f>+AC44*AE44*2</f>
        <v>92.379551149853796</v>
      </c>
      <c r="AG44" s="71">
        <f t="shared" si="24"/>
        <v>382.72</v>
      </c>
      <c r="AH44" s="71">
        <f t="shared" si="18"/>
        <v>475.09955114985382</v>
      </c>
      <c r="AI44" s="71">
        <f>+'Cost Sheet'!$N$27+'Cost Sheet'!$N$3</f>
        <v>2.3229823017049664</v>
      </c>
      <c r="AJ44" s="71">
        <f t="shared" si="22"/>
        <v>92.379551149853796</v>
      </c>
      <c r="AK44" s="71">
        <f t="shared" si="22"/>
        <v>382.72</v>
      </c>
      <c r="AL44" s="71">
        <f>_xlfn.IFNA(AH44*(1+(INDEX('Product Mark-up'!$F$4:$F$8,MATCH('Cal. Sheet Door 2'!$D$2,'Product Mark-up'!$C$4:$C$8,0)))),0)</f>
        <v>475.09955114985382</v>
      </c>
    </row>
    <row r="45" spans="1:38" ht="46.5" x14ac:dyDescent="0.35">
      <c r="A45" s="544"/>
      <c r="B45" s="227"/>
      <c r="C45" s="21" t="str">
        <f>'Quotation - Door 2'!C72</f>
        <v xml:space="preserve">Sliding Door Parts </v>
      </c>
      <c r="D45" s="121" t="str">
        <f>+IF(OR($D$2=Controller!$A$16,$D$2=Controller!$A$17),"",IF($D$5="Motorized","Electric door bracket",IF($D$4="Wood","Wood Frame bracket","Aluminum Frame bracket")))</f>
        <v>Electric door bracket</v>
      </c>
      <c r="E45" s="71">
        <f>IF($D45=0,0,(INDEX('Cost Sheet'!$N:$N,MATCH('Quotation - Door 2'!$D72,'Cost Sheet'!$C:$C,0))))</f>
        <v>17</v>
      </c>
      <c r="F45" s="19">
        <f>ROUNDUP(($F$42/30),0)</f>
        <v>10</v>
      </c>
      <c r="G45" s="19" t="s">
        <v>133</v>
      </c>
      <c r="H45" s="71">
        <f>+IF($D6=0,0,IF($D$6&lt;48,'Accessories Install - Labour'!$F$64,'Accessories Install - Labour'!$F$65))</f>
        <v>26</v>
      </c>
      <c r="I45" s="71">
        <f>_xlfn.IFNA(IF(D6=0,0,((E45*$F$45)+H45)),0)</f>
        <v>196</v>
      </c>
      <c r="J45" s="71">
        <f>IF($D6=0,0,(INDEX('Cost Sheet'!$P:$P,MATCH('Quotation - Door 2'!$D72,'Cost Sheet'!$C:$C,0))))</f>
        <v>17</v>
      </c>
      <c r="K45" s="71">
        <f t="shared" si="23"/>
        <v>26</v>
      </c>
      <c r="L45" s="71">
        <f>_xlfn.IFNA(I45*(1+(INDEX('Product Mark-up'!$F$4:$F$8,MATCH('Cal. Sheet Door 2'!$D$2,'Product Mark-up'!$C$4:$C$8,0)))),0)</f>
        <v>196</v>
      </c>
      <c r="N45" s="28" t="s">
        <v>355</v>
      </c>
      <c r="O45" s="71">
        <f>+'Cost Sheet'!$N$27+'Cost Sheet'!$N$5</f>
        <v>2.2572957849435795</v>
      </c>
      <c r="P45" s="49" t="s">
        <v>352</v>
      </c>
      <c r="Q45" s="30">
        <f>SUM((($O$12*($D$7+(2*$O$12)))),($O$12*($D$6+(2*$O$12))))*2*$L$4</f>
        <v>19.883825865150001</v>
      </c>
      <c r="R45" s="71">
        <f>+O45*Q45*2</f>
        <v>89.767352627910441</v>
      </c>
      <c r="S45" s="71">
        <f t="shared" si="25"/>
        <v>382.72</v>
      </c>
      <c r="T45" s="71">
        <f t="shared" si="17"/>
        <v>472.48735262791047</v>
      </c>
      <c r="U45" s="71">
        <f>+'Cost Sheet'!$N$27+'Cost Sheet'!$N$5</f>
        <v>2.2572957849435795</v>
      </c>
      <c r="V45" s="71">
        <f t="shared" si="20"/>
        <v>89.767352627910441</v>
      </c>
      <c r="W45" s="71">
        <f t="shared" si="20"/>
        <v>382.72</v>
      </c>
      <c r="X45" s="71">
        <f>_xlfn.IFNA(T45*(1+(INDEX('Product Mark-up'!$F$4:$F$8,MATCH('Cal. Sheet Door 2'!$D$2,'Product Mark-up'!$C$4:$C$8,0)))),0)</f>
        <v>472.48735262791047</v>
      </c>
      <c r="AB45" s="28" t="s">
        <v>355</v>
      </c>
      <c r="AC45" s="71">
        <f>+'Cost Sheet'!$N$27+'Cost Sheet'!$N$5</f>
        <v>2.2572957849435795</v>
      </c>
      <c r="AD45" s="49" t="s">
        <v>352</v>
      </c>
      <c r="AE45" s="30">
        <f>SUM((($O$12*($D$7+(2*$O$12)))),($O$12*($D$6+(2*$O$12))))*2*$L$4</f>
        <v>19.883825865150001</v>
      </c>
      <c r="AF45" s="71">
        <f>+AC45*AE45*2</f>
        <v>89.767352627910441</v>
      </c>
      <c r="AG45" s="71">
        <f t="shared" si="24"/>
        <v>382.72</v>
      </c>
      <c r="AH45" s="71">
        <f t="shared" si="18"/>
        <v>472.48735262791047</v>
      </c>
      <c r="AI45" s="71">
        <f>+'Cost Sheet'!$N$27+'Cost Sheet'!$N$5</f>
        <v>2.2572957849435795</v>
      </c>
      <c r="AJ45" s="71">
        <f t="shared" si="22"/>
        <v>89.767352627910441</v>
      </c>
      <c r="AK45" s="71">
        <f t="shared" si="22"/>
        <v>382.72</v>
      </c>
      <c r="AL45" s="71">
        <f>_xlfn.IFNA(AH45*(1+(INDEX('Product Mark-up'!$F$4:$F$8,MATCH('Cal. Sheet Door 2'!$D$2,'Product Mark-up'!$C$4:$C$8,0)))),0)</f>
        <v>472.48735262791047</v>
      </c>
    </row>
    <row r="46" spans="1:38" ht="46.5" x14ac:dyDescent="0.35">
      <c r="A46" s="207"/>
      <c r="B46" s="227"/>
      <c r="C46" s="21" t="str">
        <f>'Quotation - Door 2'!C73</f>
        <v xml:space="preserve">Sliding Door Parts </v>
      </c>
      <c r="D46" s="121" t="str">
        <f>+IF(OR($D$2=Controller!$A$16,$D$2=Controller!$A$17),"","Outside and Inside Handle")</f>
        <v>Outside and Inside Handle</v>
      </c>
      <c r="E46" s="71">
        <f>_xlfn.IFNA(IF($D46="",0,'Cost Sheet'!$N$180+'Cost Sheet'!$N$181),0)</f>
        <v>30</v>
      </c>
      <c r="F46" s="20"/>
      <c r="G46" s="19" t="s">
        <v>133</v>
      </c>
      <c r="H46" s="71">
        <f>+IF($D46="",0,'Accessories Install - Labour'!$F$73+'Accessories Install - Labour'!$F$74)</f>
        <v>52</v>
      </c>
      <c r="I46" s="71">
        <f>_xlfn.IFNA(IF(D46=0,0,(E46+H46)),0)</f>
        <v>82</v>
      </c>
      <c r="J46" s="71" t="e">
        <f>IF($D46=0,0,(INDEX('Cost Sheet'!$P:$P,MATCH('Quotation - Door 2'!$D73,'Cost Sheet'!$C:$C,0))))</f>
        <v>#N/A</v>
      </c>
      <c r="K46" s="71">
        <f t="shared" si="23"/>
        <v>52</v>
      </c>
      <c r="L46" s="71">
        <f>_xlfn.IFNA(I46*(1+(INDEX('Product Mark-up'!$F$4:$F$8,MATCH('Cal. Sheet Door 2'!$D$2,'Product Mark-up'!$C$4:$C$8,0)))),0)</f>
        <v>82</v>
      </c>
      <c r="N46" s="28" t="s">
        <v>356</v>
      </c>
      <c r="O46" s="71">
        <f>+'Cost Sheet'!$N$24+'Cost Sheet'!$N$10</f>
        <v>6.0253702904802982</v>
      </c>
      <c r="P46" s="49" t="s">
        <v>347</v>
      </c>
      <c r="Q46" s="30">
        <f>((($D$6*2)+(($D$7+($O$12*2))*2))*'Cal. Sheet Door 2'!$L$2)</f>
        <v>39.58175</v>
      </c>
      <c r="R46" s="71">
        <f>('Cost Sheet'!$N$24*$Q46)+('Cost Sheet'!$N$10*$Q$21)</f>
        <v>196.56885594038303</v>
      </c>
      <c r="S46" s="71">
        <f t="shared" si="25"/>
        <v>382.72</v>
      </c>
      <c r="T46" s="71">
        <f t="shared" si="17"/>
        <v>579.28885594038309</v>
      </c>
      <c r="U46" s="71">
        <f>+'Cost Sheet'!$N$24+'Cost Sheet'!$N$10</f>
        <v>6.0253702904802982</v>
      </c>
      <c r="V46" s="71">
        <f t="shared" si="20"/>
        <v>196.56885594038303</v>
      </c>
      <c r="W46" s="71">
        <f t="shared" si="20"/>
        <v>382.72</v>
      </c>
      <c r="X46" s="71">
        <f>_xlfn.IFNA(T46*(1+(INDEX('Product Mark-up'!$F$4:$F$8,MATCH('Cal. Sheet Door 2'!$D$2,'Product Mark-up'!$C$4:$C$8,0)))),0)</f>
        <v>579.28885594038309</v>
      </c>
      <c r="AB46" s="28" t="s">
        <v>356</v>
      </c>
      <c r="AC46" s="71">
        <f>+'Cost Sheet'!$N$24+'Cost Sheet'!$N$10</f>
        <v>6.0253702904802982</v>
      </c>
      <c r="AD46" s="49" t="s">
        <v>347</v>
      </c>
      <c r="AE46" s="30">
        <f>((($D$6*2)+(($D$7+($O$12*2))*2))*'Cal. Sheet Door 2'!$L$2)</f>
        <v>39.58175</v>
      </c>
      <c r="AF46" s="71">
        <f>('Cost Sheet'!$N$24*$Q46)+('Cost Sheet'!$N$10*$Q$21)</f>
        <v>196.56885594038303</v>
      </c>
      <c r="AG46" s="71">
        <f t="shared" si="24"/>
        <v>382.72</v>
      </c>
      <c r="AH46" s="71">
        <f t="shared" si="18"/>
        <v>579.28885594038309</v>
      </c>
      <c r="AI46" s="71">
        <f>+'Cost Sheet'!$N$24+'Cost Sheet'!$N$10</f>
        <v>6.0253702904802982</v>
      </c>
      <c r="AJ46" s="71">
        <f t="shared" si="22"/>
        <v>196.56885594038303</v>
      </c>
      <c r="AK46" s="71">
        <f t="shared" si="22"/>
        <v>382.72</v>
      </c>
      <c r="AL46" s="71">
        <f>_xlfn.IFNA(AH46*(1+(INDEX('Product Mark-up'!$F$4:$F$8,MATCH('Cal. Sheet Door 2'!$D$2,'Product Mark-up'!$C$4:$C$8,0)))),0)</f>
        <v>579.28885594038309</v>
      </c>
    </row>
    <row r="47" spans="1:38" ht="46.5" x14ac:dyDescent="0.35">
      <c r="A47" s="207"/>
      <c r="B47" s="227"/>
      <c r="C47" s="21" t="str">
        <f>'Quotation - Door 2'!C74</f>
        <v xml:space="preserve">Sliding Door Parts </v>
      </c>
      <c r="D47" s="121" t="str">
        <f>+IF(OR($D$2=Controller!$A$16,$D$2=Controller!$A$17),"",IF($D$3="Cooler","Pull Cord - Cooler","Pull Cord - Freezer"))</f>
        <v>Pull Cord - Freezer</v>
      </c>
      <c r="E47" s="71">
        <f>IF($D47=0,0,(INDEX('Cost Sheet'!$N:$N,MATCH('Quotation - Door 2'!$D74,'Cost Sheet'!$C:$C,0))))</f>
        <v>58</v>
      </c>
      <c r="F47" s="20"/>
      <c r="G47" s="19" t="s">
        <v>133</v>
      </c>
      <c r="H47" s="71">
        <f>+IF($D47=0,0,'Accessories Install - Labour'!F76)</f>
        <v>13</v>
      </c>
      <c r="I47" s="71">
        <f t="shared" ref="I47:I53" si="26">_xlfn.IFNA(IF(D47=0,0,(E47+H47)),0)</f>
        <v>71</v>
      </c>
      <c r="J47" s="71">
        <f>IF($D47=0,0,(INDEX('Cost Sheet'!$P:$P,MATCH('Quotation - Door 2'!$D74,'Cost Sheet'!$C:$C,0))))</f>
        <v>58</v>
      </c>
      <c r="K47" s="71">
        <f t="shared" si="23"/>
        <v>13</v>
      </c>
      <c r="L47" s="71">
        <f>_xlfn.IFNA(I47*(1+(INDEX('Product Mark-up'!$F$4:$F$8,MATCH('Cal. Sheet Door 2'!$D$2,'Product Mark-up'!$C$4:$C$8,0)))),0)</f>
        <v>71</v>
      </c>
      <c r="N47" s="28" t="s">
        <v>55</v>
      </c>
      <c r="O47" s="71">
        <f>+'Cost Sheet'!$N$24+'Cost Sheet'!$N$3</f>
        <v>5.6115239683716327</v>
      </c>
      <c r="P47" s="49" t="s">
        <v>349</v>
      </c>
      <c r="Q47" s="30">
        <f>((($D$6*2)+(($D$7+($O$12*2))*2))*'Cal. Sheet Door 2'!$L$2)</f>
        <v>39.58175</v>
      </c>
      <c r="R47" s="71">
        <f>('Cost Sheet'!$N$24*$Q47)+('Cost Sheet'!$N$3*$Q$21)</f>
        <v>191.05817145052805</v>
      </c>
      <c r="S47" s="71">
        <f t="shared" si="25"/>
        <v>382.72</v>
      </c>
      <c r="T47" s="71">
        <f>+R47+S47</f>
        <v>573.77817145052813</v>
      </c>
      <c r="U47" s="71">
        <f>+'Cost Sheet'!$N$24+'Cost Sheet'!$N$3</f>
        <v>5.6115239683716327</v>
      </c>
      <c r="V47" s="71">
        <f t="shared" si="20"/>
        <v>191.05817145052805</v>
      </c>
      <c r="W47" s="71">
        <f t="shared" si="20"/>
        <v>382.72</v>
      </c>
      <c r="X47" s="71">
        <f>_xlfn.IFNA(T47*(1+(INDEX('Product Mark-up'!$F$4:$F$8,MATCH('Cal. Sheet Door 2'!$D$2,'Product Mark-up'!$C$4:$C$8,0)))),0)</f>
        <v>573.77817145052813</v>
      </c>
      <c r="AB47" s="28" t="s">
        <v>55</v>
      </c>
      <c r="AC47" s="71">
        <f>+'Cost Sheet'!$N$24+'Cost Sheet'!$N$3</f>
        <v>5.6115239683716327</v>
      </c>
      <c r="AD47" s="49" t="s">
        <v>349</v>
      </c>
      <c r="AE47" s="30">
        <f>((($D$6*2)+(($D$7+($O$12*2))*2))*'Cal. Sheet Door 2'!$L$2)</f>
        <v>39.58175</v>
      </c>
      <c r="AF47" s="71">
        <f>('Cost Sheet'!$N$24*$Q47)+('Cost Sheet'!$N$3*$Q$21)</f>
        <v>191.05817145052805</v>
      </c>
      <c r="AG47" s="71">
        <f t="shared" si="24"/>
        <v>382.72</v>
      </c>
      <c r="AH47" s="71">
        <f>+AF47+AG47</f>
        <v>573.77817145052813</v>
      </c>
      <c r="AI47" s="71">
        <f>+'Cost Sheet'!$N$24+'Cost Sheet'!$N$3</f>
        <v>5.6115239683716327</v>
      </c>
      <c r="AJ47" s="71">
        <f t="shared" si="22"/>
        <v>191.05817145052805</v>
      </c>
      <c r="AK47" s="71">
        <f t="shared" si="22"/>
        <v>382.72</v>
      </c>
      <c r="AL47" s="71">
        <f>_xlfn.IFNA(AH47*(1+(INDEX('Product Mark-up'!$F$4:$F$8,MATCH('Cal. Sheet Door 2'!$D$2,'Product Mark-up'!$C$4:$C$8,0)))),0)</f>
        <v>573.77817145052813</v>
      </c>
    </row>
    <row r="48" spans="1:38" ht="46.5" x14ac:dyDescent="0.35">
      <c r="B48" s="227"/>
      <c r="C48" s="21" t="str">
        <f>'Quotation - Door 2'!C75</f>
        <v>Sliding Door Parts</v>
      </c>
      <c r="D48" s="121" t="str">
        <f>+IF(OR($D$2=Controller!$A$16,$D$2=Controller!$A$17),"","Guide Latch/Catch Set")</f>
        <v>Guide Latch/Catch Set</v>
      </c>
      <c r="E48" s="71">
        <f>IF($D48=0,0,(INDEX('Cost Sheet'!$N:$N,MATCH('Quotation - Door 2'!$D75,'Cost Sheet'!$C:$C,0))))</f>
        <v>10</v>
      </c>
      <c r="F48" s="20"/>
      <c r="G48" s="19" t="s">
        <v>133</v>
      </c>
      <c r="H48" s="71">
        <f>+IF($D48=0,0,'Accessories Install - Labour'!F75)</f>
        <v>17.333333333333332</v>
      </c>
      <c r="I48" s="71">
        <f t="shared" si="26"/>
        <v>27.333333333333332</v>
      </c>
      <c r="J48" s="71">
        <f>IF($D48=0,0,(INDEX('Cost Sheet'!$P:$P,MATCH('Quotation - Door 2'!$D75,'Cost Sheet'!$C:$C,0))))</f>
        <v>10</v>
      </c>
      <c r="K48" s="71">
        <f t="shared" si="23"/>
        <v>17.333333333333332</v>
      </c>
      <c r="L48" s="71">
        <f>_xlfn.IFNA(I48*(1+(INDEX('Product Mark-up'!$F$4:$F$8,MATCH('Cal. Sheet Door 2'!$D$2,'Product Mark-up'!$C$4:$C$8,0)))),0)</f>
        <v>27.333333333333332</v>
      </c>
      <c r="N48" s="28" t="s">
        <v>357</v>
      </c>
      <c r="O48" s="71">
        <f>+'Cost Sheet'!$N$24+'Cost Sheet'!$N$5</f>
        <v>5.5458374516102458</v>
      </c>
      <c r="P48" s="49" t="s">
        <v>349</v>
      </c>
      <c r="Q48" s="30">
        <f>((($D$6*2)+(($D$7+($O$12*2))*2))*'Cal. Sheet Door 2'!$L$2)</f>
        <v>39.58175</v>
      </c>
      <c r="R48" s="71">
        <f>('Cost Sheet'!$N$24*$Q48)+('Cost Sheet'!$N$5*$Q$21)</f>
        <v>190.18350457596168</v>
      </c>
      <c r="S48" s="71">
        <f t="shared" si="25"/>
        <v>382.72</v>
      </c>
      <c r="T48" s="71">
        <f>+R48+S48</f>
        <v>572.90350457596173</v>
      </c>
      <c r="U48" s="71">
        <f>+'Cost Sheet'!$N$24+'Cost Sheet'!$N$5</f>
        <v>5.5458374516102458</v>
      </c>
      <c r="V48" s="71">
        <f t="shared" si="20"/>
        <v>190.18350457596168</v>
      </c>
      <c r="W48" s="71">
        <f t="shared" si="20"/>
        <v>382.72</v>
      </c>
      <c r="X48" s="71">
        <f>_xlfn.IFNA(T48*(1+(INDEX('Product Mark-up'!$F$4:$F$8,MATCH('Cal. Sheet Door 2'!$D$2,'Product Mark-up'!$C$4:$C$8,0)))),0)</f>
        <v>572.90350457596173</v>
      </c>
      <c r="AB48" s="28" t="s">
        <v>357</v>
      </c>
      <c r="AC48" s="71">
        <f>+'Cost Sheet'!$N$24+'Cost Sheet'!$N$5</f>
        <v>5.5458374516102458</v>
      </c>
      <c r="AD48" s="49" t="s">
        <v>349</v>
      </c>
      <c r="AE48" s="30">
        <f>((($D$6*2)+(($D$7+($O$12*2))*2))*'Cal. Sheet Door 2'!$L$2)</f>
        <v>39.58175</v>
      </c>
      <c r="AF48" s="71">
        <f>('Cost Sheet'!$N$24*$Q48)+('Cost Sheet'!$N$5*$Q$21)</f>
        <v>190.18350457596168</v>
      </c>
      <c r="AG48" s="71">
        <f t="shared" si="24"/>
        <v>382.72</v>
      </c>
      <c r="AH48" s="71">
        <f>+AF48+AG48</f>
        <v>572.90350457596173</v>
      </c>
      <c r="AI48" s="71">
        <f>+'Cost Sheet'!$N$24+'Cost Sheet'!$N$5</f>
        <v>5.5458374516102458</v>
      </c>
      <c r="AJ48" s="71">
        <f t="shared" si="22"/>
        <v>190.18350457596168</v>
      </c>
      <c r="AK48" s="71">
        <f t="shared" si="22"/>
        <v>382.72</v>
      </c>
      <c r="AL48" s="71">
        <f>_xlfn.IFNA(AH48*(1+(INDEX('Product Mark-up'!$F$4:$F$8,MATCH('Cal. Sheet Door 2'!$D$2,'Product Mark-up'!$C$4:$C$8,0)))),0)</f>
        <v>572.90350457596173</v>
      </c>
    </row>
    <row r="49" spans="1:24" x14ac:dyDescent="0.35">
      <c r="B49" s="227"/>
      <c r="C49" s="21" t="str">
        <f>'Quotation - Door 2'!C76</f>
        <v>Sliding Door Parts</v>
      </c>
      <c r="D49" s="121">
        <f>'Quotation - Door 2'!D76</f>
        <v>0</v>
      </c>
      <c r="E49" s="71">
        <f>IF($D49=0,0,(INDEX('Cost Sheet'!$N:$N,MATCH('Quotation - Door 2'!$D76,'Cost Sheet'!$C:$C,0))))</f>
        <v>0</v>
      </c>
      <c r="F49" s="20"/>
      <c r="G49" s="19" t="s">
        <v>133</v>
      </c>
      <c r="H49" s="71">
        <f>+IF($D49=0,0,INDEX('Accessories Install - Labour'!$E:$E,MATCH('Cal. Sheet Door 2'!$D49,'Accessories Install - Labour'!$C:$C,0)))</f>
        <v>0</v>
      </c>
      <c r="I49" s="71">
        <f t="shared" si="26"/>
        <v>0</v>
      </c>
      <c r="J49" s="71">
        <f>IF($D49=0,0,(INDEX('Cost Sheet'!$P:$P,MATCH('Quotation - Door 2'!$D76,'Cost Sheet'!$C:$C,0))))</f>
        <v>0</v>
      </c>
      <c r="K49" s="71">
        <f t="shared" si="23"/>
        <v>0</v>
      </c>
      <c r="L49" s="71">
        <f>_xlfn.IFNA(I49*(1+(INDEX('Product Mark-up'!$F$4:$F$8,MATCH('Cal. Sheet Door 2'!$D$2,'Product Mark-up'!$C$4:$C$8,0)))),0)</f>
        <v>0</v>
      </c>
      <c r="N49" s="4"/>
      <c r="P49" s="4"/>
    </row>
    <row r="50" spans="1:24" ht="43.5" x14ac:dyDescent="0.35">
      <c r="B50" s="227"/>
      <c r="C50" s="21" t="str">
        <f>'Quotation - Door 2'!C77</f>
        <v>Sliding Door Parts</v>
      </c>
      <c r="D50" s="121">
        <f>'Quotation - Door 2'!D77</f>
        <v>0</v>
      </c>
      <c r="E50" s="71">
        <f>IF($D50=0,0,(INDEX('Cost Sheet'!$N:$N,MATCH('Quotation - Door 2'!$D77,'Cost Sheet'!$C:$C,0))))</f>
        <v>0</v>
      </c>
      <c r="F50" s="20"/>
      <c r="G50" s="19" t="s">
        <v>133</v>
      </c>
      <c r="H50" s="71"/>
      <c r="I50" s="71">
        <f t="shared" si="26"/>
        <v>0</v>
      </c>
      <c r="J50" s="71">
        <f>IF($D50=0,0,(INDEX('Cost Sheet'!$P:$P,MATCH('Quotation - Door 2'!$D77,'Cost Sheet'!$C:$C,0))))</f>
        <v>0</v>
      </c>
      <c r="K50" s="71">
        <f t="shared" si="23"/>
        <v>0</v>
      </c>
      <c r="L50" s="71">
        <f>_xlfn.IFNA(I50*(1+(INDEX('Product Mark-up'!$F$4:$F$8,MATCH('Cal. Sheet Door 2'!$D$2,'Product Mark-up'!$C$4:$C$8,0)))),0)</f>
        <v>0</v>
      </c>
      <c r="N50" s="119" t="s">
        <v>368</v>
      </c>
      <c r="O50" s="160" t="s">
        <v>321</v>
      </c>
      <c r="P50" s="160" t="s">
        <v>322</v>
      </c>
      <c r="Q50" s="160" t="s">
        <v>323</v>
      </c>
      <c r="R50" s="160" t="s">
        <v>324</v>
      </c>
      <c r="S50" s="160" t="s">
        <v>134</v>
      </c>
      <c r="T50" s="160" t="s">
        <v>325</v>
      </c>
      <c r="U50" s="160" t="s">
        <v>326</v>
      </c>
      <c r="V50" s="160" t="s">
        <v>327</v>
      </c>
      <c r="W50" s="160" t="s">
        <v>328</v>
      </c>
      <c r="X50" s="160" t="s">
        <v>329</v>
      </c>
    </row>
    <row r="51" spans="1:24" ht="31" x14ac:dyDescent="0.35">
      <c r="B51" s="228"/>
      <c r="C51" s="21" t="str">
        <f>'Quotation - Door 2'!C78</f>
        <v>Sliding Door Parts</v>
      </c>
      <c r="D51" s="121">
        <f>'Quotation - Door 2'!D80</f>
        <v>0</v>
      </c>
      <c r="E51" s="71">
        <f>IF($D51=0,0,(INDEX('Cost Sheet'!$N:$N,MATCH('Quotation - Door 2'!$D78,'Cost Sheet'!$C:$C,0))))</f>
        <v>0</v>
      </c>
      <c r="F51" s="20"/>
      <c r="G51" s="19" t="s">
        <v>133</v>
      </c>
      <c r="H51" s="71">
        <f>+IF($D51=0,0,INDEX('Accessories Install - Labour'!$E:$E,MATCH('Cal. Sheet Door 2'!$D51,'Accessories Install - Labour'!$C:$C,0)))</f>
        <v>0</v>
      </c>
      <c r="I51" s="71">
        <f t="shared" si="26"/>
        <v>0</v>
      </c>
      <c r="J51" s="71">
        <f>IF($D51=0,0,(INDEX('Cost Sheet'!$P:$P,MATCH('Quotation - Door 2'!$D78,'Cost Sheet'!$C:$C,0))))</f>
        <v>0</v>
      </c>
      <c r="K51" s="71">
        <f t="shared" si="23"/>
        <v>0</v>
      </c>
      <c r="L51" s="71">
        <f>_xlfn.IFNA(I51*(1+(INDEX('Product Mark-up'!$F$4:$F$8,MATCH('Cal. Sheet Door 2'!$D$2,'Product Mark-up'!$C$4:$C$8,0)))),0)</f>
        <v>0</v>
      </c>
      <c r="N51" s="28" t="s">
        <v>51</v>
      </c>
      <c r="O51" s="71">
        <f>+'Cost Sheet'!N3+'Cost Sheet'!$N$25</f>
        <v>2.2323573017049667</v>
      </c>
      <c r="P51" s="503" t="s">
        <v>369</v>
      </c>
      <c r="Q51" s="30">
        <f>+(4*('Doors - Step 1'!$C$16*16)*'Cal. Sheet Door 2'!$L$4)+(2*('Doors - Step 1'!$C$22*('Doors - Step 1'!$C$15+16))*'Cal. Sheet Door 2'!$L$4)</f>
        <v>28.886577824</v>
      </c>
      <c r="R51" s="71">
        <f>((Q51*'Cost Sheet'!N3)+(INDEX($R$7:$R$11,MATCH('Doors - Step 1'!$C$18,'Cal. Sheet Door 2'!$P$7:$P$11,0))*'Cal. Sheet Door 2'!$Q$51)+('Cost Sheet'!N25*(((2*Hinch)+Winch)*in2ft)))</f>
        <v>49.074081792819975</v>
      </c>
      <c r="S51" s="71">
        <f>+IF('Doors - Step 1'!$C$11=Controller!$A$17,'Accessories Install - Labour'!$F$84,0)</f>
        <v>0</v>
      </c>
      <c r="T51" s="71">
        <f t="shared" ref="T51:T52" si="27">+R51+S51</f>
        <v>49.074081792819975</v>
      </c>
      <c r="U51" s="71">
        <f>+'Cost Sheet'!$N$15</f>
        <v>3.8724791666666665</v>
      </c>
      <c r="V51" s="71">
        <f t="shared" ref="V51:W52" si="28">+R51</f>
        <v>49.074081792819975</v>
      </c>
      <c r="W51" s="71">
        <f t="shared" si="28"/>
        <v>0</v>
      </c>
      <c r="X51" s="71">
        <f>_xlfn.IFNA(T51*(1+(INDEX('Product Mark-up'!$F$4:$F$8,MATCH('Cal. Sheet Door 2'!$D$2,'Product Mark-up'!$C$4:$C$8,0)))),0)</f>
        <v>49.074081792819975</v>
      </c>
    </row>
    <row r="52" spans="1:24" x14ac:dyDescent="0.35">
      <c r="B52" s="225"/>
      <c r="C52" s="21" t="str">
        <f>'Quotation - Door 2'!C79</f>
        <v>Sliding Door Parts</v>
      </c>
      <c r="D52" s="121">
        <f>'Quotation - Door 2'!D81</f>
        <v>0</v>
      </c>
      <c r="E52" s="71">
        <f>IF($D52=0,0,(INDEX('Cost Sheet'!$N:$N,MATCH('Quotation - Door 2'!$D79,'Cost Sheet'!$C:$C,0))))</f>
        <v>0</v>
      </c>
      <c r="F52" s="20"/>
      <c r="G52" s="19" t="s">
        <v>133</v>
      </c>
      <c r="H52" s="71">
        <f>+IF($D52=0,0,INDEX('Accessories Install - Labour'!$E:$E,MATCH('Cal. Sheet Door 2'!$D52,'Accessories Install - Labour'!$C:$C,0)))</f>
        <v>0</v>
      </c>
      <c r="I52" s="71">
        <f t="shared" si="26"/>
        <v>0</v>
      </c>
      <c r="J52" s="71">
        <f>IF($D52=0,0,(INDEX('Cost Sheet'!$P:$P,MATCH('Quotation - Door 2'!$D79,'Cost Sheet'!$C:$C,0))))</f>
        <v>0</v>
      </c>
      <c r="K52" s="71">
        <f t="shared" si="23"/>
        <v>0</v>
      </c>
      <c r="L52" s="71">
        <f>_xlfn.IFNA(I52*(1+(INDEX('Product Mark-up'!$F$4:$F$8,MATCH('Cal. Sheet Door 2'!$D$2,'Product Mark-up'!$C$4:$C$8,0)))),0)</f>
        <v>0</v>
      </c>
      <c r="N52" s="28" t="s">
        <v>370</v>
      </c>
      <c r="O52" s="71">
        <f>+'Cost Sheet'!N5+'Cost Sheet'!$N$25</f>
        <v>2.1666707849435793</v>
      </c>
      <c r="P52" s="503" t="s">
        <v>369</v>
      </c>
      <c r="Q52" s="30">
        <f>+(4*('Doors - Step 1'!$C$16*16)*'Cal. Sheet Door 2'!$L$4)+(2*('Doors - Step 1'!$C$22*('Doors - Step 1'!$C$15+16))*'Cal. Sheet Door 2'!$L$4)</f>
        <v>28.886577824</v>
      </c>
      <c r="R52" s="71">
        <f>((Q52*'Cost Sheet'!N5)+(INDEX($R$7:$R$11,MATCH('Doors - Step 1'!$C$18,'Cal. Sheet Door 2'!$P$7:$P$11,0))*'Cal. Sheet Door 2'!$Q$51)+('Cost Sheet'!N26*(((2*Hinch)+Winch)*in2ft)))</f>
        <v>43.076787114404681</v>
      </c>
      <c r="S52" s="71">
        <f>+IF('Doors - Step 1'!$C$11=Controller!$A$17,'Accessories Install - Labour'!$F$84,0)</f>
        <v>0</v>
      </c>
      <c r="T52" s="71">
        <f t="shared" si="27"/>
        <v>43.076787114404681</v>
      </c>
      <c r="U52" s="71">
        <f>+'Cost Sheet'!$N$15</f>
        <v>3.8724791666666665</v>
      </c>
      <c r="V52" s="71">
        <f t="shared" si="28"/>
        <v>43.076787114404681</v>
      </c>
      <c r="W52" s="71">
        <f t="shared" si="28"/>
        <v>0</v>
      </c>
      <c r="X52" s="71">
        <f>_xlfn.IFNA(T52*(1+(INDEX('Product Mark-up'!$F$4:$F$8,MATCH('Cal. Sheet Door 2'!$D$2,'Product Mark-up'!$C$4:$C$8,0)))),0)</f>
        <v>43.076787114404681</v>
      </c>
    </row>
    <row r="53" spans="1:24" x14ac:dyDescent="0.35">
      <c r="B53" s="225"/>
      <c r="C53" s="21" t="str">
        <f>'Quotation - Door 2'!C80</f>
        <v>Sliding Door Parts</v>
      </c>
      <c r="D53" s="121">
        <f>'Quotation - Door 2'!D82</f>
        <v>0</v>
      </c>
      <c r="E53" s="71">
        <f>IF($D53=0,0,(INDEX('Cost Sheet'!$N:$N,MATCH('Quotation - Door 2'!$D80,'Cost Sheet'!$C:$C,0))))</f>
        <v>0</v>
      </c>
      <c r="F53" s="20"/>
      <c r="G53" s="19" t="s">
        <v>133</v>
      </c>
      <c r="H53" s="71">
        <f>+IF($D53=0,0,INDEX('Accessories Install - Labour'!$E:$E,MATCH('Cal. Sheet Door 2'!$D53,'Accessories Install - Labour'!$C:$C,0)))</f>
        <v>0</v>
      </c>
      <c r="I53" s="71">
        <f t="shared" si="26"/>
        <v>0</v>
      </c>
      <c r="J53" s="71">
        <f>IF($D53=0,0,(INDEX('Cost Sheet'!$P:$P,MATCH('Quotation - Door 2'!$D80,'Cost Sheet'!$C:$C,0))))</f>
        <v>0</v>
      </c>
      <c r="K53" s="71">
        <f t="shared" si="23"/>
        <v>0</v>
      </c>
      <c r="L53" s="71">
        <f>_xlfn.IFNA(I53*(1+(INDEX('Product Mark-up'!$F$4:$F$8,MATCH('Cal. Sheet Door 2'!$D$2,'Product Mark-up'!$C$4:$C$8,0)))),0)</f>
        <v>0</v>
      </c>
      <c r="N53" s="4"/>
      <c r="P53" s="4"/>
    </row>
    <row r="54" spans="1:24" x14ac:dyDescent="0.35">
      <c r="D54" s="4"/>
      <c r="H54" s="4"/>
      <c r="K54" s="4"/>
      <c r="L54" s="4"/>
      <c r="N54" s="4"/>
      <c r="P54" s="4"/>
    </row>
    <row r="55" spans="1:24" x14ac:dyDescent="0.35">
      <c r="D55" s="4"/>
      <c r="H55" s="4"/>
      <c r="K55" s="4"/>
      <c r="L55" s="4"/>
      <c r="N55" s="4"/>
      <c r="P55" s="4"/>
    </row>
    <row r="56" spans="1:24" x14ac:dyDescent="0.35">
      <c r="D56" s="4"/>
      <c r="H56" s="4"/>
      <c r="K56" s="4"/>
      <c r="L56" s="4"/>
      <c r="N56" s="4"/>
      <c r="P56" s="4"/>
    </row>
    <row r="57" spans="1:24" ht="43.5" x14ac:dyDescent="0.35">
      <c r="D57" s="150" t="s">
        <v>82</v>
      </c>
      <c r="E57" s="160" t="s">
        <v>321</v>
      </c>
      <c r="F57" s="160" t="s">
        <v>334</v>
      </c>
      <c r="G57" s="160" t="s">
        <v>322</v>
      </c>
      <c r="H57" s="220" t="s">
        <v>335</v>
      </c>
      <c r="I57" s="160" t="s">
        <v>336</v>
      </c>
      <c r="J57" s="160" t="s">
        <v>337</v>
      </c>
      <c r="K57" s="220" t="s">
        <v>338</v>
      </c>
      <c r="L57" s="160" t="s">
        <v>339</v>
      </c>
      <c r="N57" s="4"/>
      <c r="P57" s="4"/>
    </row>
    <row r="58" spans="1:24" ht="31" x14ac:dyDescent="0.35">
      <c r="A58" s="215" t="str">
        <f>'Quotation - Door 2'!A82</f>
        <v xml:space="preserve">ADDITIONAL OPTIONS  &amp; ADD ON - PARTS </v>
      </c>
      <c r="B58" s="216"/>
      <c r="C58" s="27" t="str">
        <f>'Quotation - Door 2'!C82</f>
        <v xml:space="preserve">Category </v>
      </c>
      <c r="D58" s="27">
        <f>'Quotation - Door 2'!D82</f>
        <v>0</v>
      </c>
      <c r="E58" s="20"/>
      <c r="F58" s="20"/>
      <c r="G58" s="20"/>
      <c r="H58" s="71"/>
      <c r="I58" s="20"/>
      <c r="J58" s="20"/>
      <c r="K58" s="71"/>
      <c r="L58" s="19"/>
      <c r="N58" s="4"/>
      <c r="P58" s="4"/>
    </row>
    <row r="59" spans="1:24" x14ac:dyDescent="0.35">
      <c r="A59" s="217"/>
      <c r="B59" s="218"/>
      <c r="C59" s="21" t="str">
        <f>'Quotation - Door 2'!C83</f>
        <v>Hinge</v>
      </c>
      <c r="D59" s="121" t="str">
        <f>'Quotation - Door 2'!D83</f>
        <v>K1245 Hinge Chrome  Flush RH</v>
      </c>
      <c r="E59" s="71">
        <f>IF($D59=0,0,(INDEX('Cost Sheet'!$N:$N,MATCH('Quotation - Door 2'!$D83,'Cost Sheet'!$C:$C,0))))</f>
        <v>35.659999999999997</v>
      </c>
      <c r="F59" s="20"/>
      <c r="G59" s="19" t="s">
        <v>133</v>
      </c>
      <c r="H59" s="71">
        <f>+IF($D59=0,0,'Accessories Install - Labour'!$F$15)</f>
        <v>13</v>
      </c>
      <c r="I59" s="71">
        <f>+E59+H59</f>
        <v>48.66</v>
      </c>
      <c r="J59" s="71">
        <f t="shared" ref="J59:J82" si="29">+E59</f>
        <v>35.659999999999997</v>
      </c>
      <c r="K59" s="71">
        <f t="shared" ref="K59:K82" si="30">+H59</f>
        <v>13</v>
      </c>
      <c r="L59" s="71">
        <f>_xlfn.IFNA(I59*(1+(INDEX('Product Mark-up'!$F$4:$F$8,MATCH('Cal. Sheet Door 2'!$D$2,'Product Mark-up'!$C$4:$C$8,0)))),0)</f>
        <v>48.66</v>
      </c>
      <c r="N59" s="4"/>
      <c r="P59" s="4"/>
    </row>
    <row r="60" spans="1:24" x14ac:dyDescent="0.35">
      <c r="A60" s="217"/>
      <c r="B60" s="218"/>
      <c r="C60" s="168" t="str">
        <f>'Quotation - Door 2'!C84</f>
        <v>Additional Hinge 1</v>
      </c>
      <c r="D60" s="121">
        <f>'Quotation - Door 2'!D84</f>
        <v>0</v>
      </c>
      <c r="E60" s="71">
        <f>IF($D60=0,0,(INDEX('Cost Sheet'!$N:$N,MATCH('Quotation - Door 2'!$D84,'Cost Sheet'!$C:$C,0))))</f>
        <v>0</v>
      </c>
      <c r="F60" s="20"/>
      <c r="G60" s="19" t="s">
        <v>133</v>
      </c>
      <c r="H60" s="71">
        <f>+IF($D60=0,0,'Accessories Install - Labour'!$F$15)</f>
        <v>0</v>
      </c>
      <c r="I60" s="71">
        <f t="shared" ref="I60:I80" si="31">+E60+H60</f>
        <v>0</v>
      </c>
      <c r="J60" s="71">
        <f t="shared" si="29"/>
        <v>0</v>
      </c>
      <c r="K60" s="71">
        <f t="shared" si="30"/>
        <v>0</v>
      </c>
      <c r="L60" s="71">
        <f>_xlfn.IFNA(I60*(1+(INDEX('Product Mark-up'!$F$4:$F$8,MATCH('Cal. Sheet Door 2'!$D$2,'Product Mark-up'!$C$4:$C$8,0)))),0)</f>
        <v>0</v>
      </c>
      <c r="N60" s="4"/>
      <c r="P60" s="4"/>
    </row>
    <row r="61" spans="1:24" x14ac:dyDescent="0.35">
      <c r="A61" s="217"/>
      <c r="B61" s="218"/>
      <c r="C61" s="168" t="str">
        <f>'Quotation - Door 2'!C85</f>
        <v>Additional Hinge 2</v>
      </c>
      <c r="D61" s="121">
        <f>'Quotation - Door 2'!D85</f>
        <v>0</v>
      </c>
      <c r="E61" s="71">
        <f>IF($D61=0,0,(INDEX('Cost Sheet'!$N:$N,MATCH('Quotation - Door 2'!$D85,'Cost Sheet'!$C:$C,0))))</f>
        <v>0</v>
      </c>
      <c r="F61" s="20"/>
      <c r="G61" s="19" t="s">
        <v>133</v>
      </c>
      <c r="H61" s="71">
        <f>+IF($D61=0,0,'Accessories Install - Labour'!$F$15)</f>
        <v>0</v>
      </c>
      <c r="I61" s="71">
        <f t="shared" si="31"/>
        <v>0</v>
      </c>
      <c r="J61" s="71">
        <f t="shared" si="29"/>
        <v>0</v>
      </c>
      <c r="K61" s="71">
        <f t="shared" si="30"/>
        <v>0</v>
      </c>
      <c r="L61" s="71">
        <f>_xlfn.IFNA(I61*(1+(INDEX('Product Mark-up'!$F$4:$F$8,MATCH('Cal. Sheet Door 2'!$D$2,'Product Mark-up'!$C$4:$C$8,0)))),0)</f>
        <v>0</v>
      </c>
      <c r="N61" s="4"/>
      <c r="P61" s="4"/>
    </row>
    <row r="62" spans="1:24" x14ac:dyDescent="0.35">
      <c r="A62" s="217"/>
      <c r="B62" s="218"/>
      <c r="C62" s="168" t="str">
        <f>'Quotation - Door 2'!C86</f>
        <v>Additional Hinge 3</v>
      </c>
      <c r="D62" s="121">
        <f>'Quotation - Door 2'!D86</f>
        <v>0</v>
      </c>
      <c r="E62" s="71">
        <f>IF($D62=0,0,(INDEX('Cost Sheet'!$N:$N,MATCH('Quotation - Door 2'!$D86,'Cost Sheet'!$C:$C,0))))</f>
        <v>0</v>
      </c>
      <c r="F62" s="20"/>
      <c r="G62" s="19" t="s">
        <v>133</v>
      </c>
      <c r="H62" s="71">
        <f>+IF($D62=0,0,'Accessories Install - Labour'!$F$15)</f>
        <v>0</v>
      </c>
      <c r="I62" s="71">
        <f t="shared" si="31"/>
        <v>0</v>
      </c>
      <c r="J62" s="71">
        <f t="shared" si="29"/>
        <v>0</v>
      </c>
      <c r="K62" s="71">
        <f t="shared" si="30"/>
        <v>0</v>
      </c>
      <c r="L62" s="71">
        <f>_xlfn.IFNA(I62*(1+(INDEX('Product Mark-up'!$F$4:$F$8,MATCH('Cal. Sheet Door 2'!$D$2,'Product Mark-up'!$C$4:$C$8,0)))),0)</f>
        <v>0</v>
      </c>
      <c r="N62" s="4"/>
      <c r="P62" s="4"/>
    </row>
    <row r="63" spans="1:24" x14ac:dyDescent="0.35">
      <c r="A63" s="217"/>
      <c r="B63" s="218"/>
      <c r="C63" s="21" t="str">
        <f>'Quotation - Door 2'!C87</f>
        <v>Latch</v>
      </c>
      <c r="D63" s="121" t="str">
        <f>'Quotation - Door 2'!D87</f>
        <v>K56 Latch Body Chrome</v>
      </c>
      <c r="E63" s="71">
        <f>IF($D63=0,0,(INDEX('Cost Sheet'!$N:$N,MATCH('Quotation - Door 2'!$D87,'Cost Sheet'!$C:$C,0))))</f>
        <v>66.45</v>
      </c>
      <c r="F63" s="20"/>
      <c r="G63" s="19" t="s">
        <v>133</v>
      </c>
      <c r="H63" s="71">
        <f>+IF($D63=0,0,'Accessories Install - Labour'!$F$17)</f>
        <v>21.666666666666668</v>
      </c>
      <c r="I63" s="71">
        <f t="shared" si="31"/>
        <v>88.116666666666674</v>
      </c>
      <c r="J63" s="71">
        <f t="shared" si="29"/>
        <v>66.45</v>
      </c>
      <c r="K63" s="71">
        <f t="shared" si="30"/>
        <v>21.666666666666668</v>
      </c>
      <c r="L63" s="71">
        <f>_xlfn.IFNA(I63*(1+(INDEX('Product Mark-up'!$F$4:$F$8,MATCH('Cal. Sheet Door 2'!$D$2,'Product Mark-up'!$C$4:$C$8,0)))),0)</f>
        <v>88.116666666666674</v>
      </c>
      <c r="N63" s="4"/>
      <c r="P63" s="4"/>
    </row>
    <row r="64" spans="1:24" x14ac:dyDescent="0.35">
      <c r="A64" s="217"/>
      <c r="B64" s="218"/>
      <c r="C64" s="168" t="str">
        <f>'Quotation - Door 2'!C88</f>
        <v>Additional Latch 1</v>
      </c>
      <c r="D64" s="121">
        <f>'Quotation - Door 2'!D88</f>
        <v>0</v>
      </c>
      <c r="E64" s="71">
        <f>IF($D64=0,0,(INDEX('Cost Sheet'!$N:$N,MATCH('Quotation - Door 2'!$D88,'Cost Sheet'!$C:$C,0))))</f>
        <v>0</v>
      </c>
      <c r="F64" s="20"/>
      <c r="G64" s="19" t="s">
        <v>133</v>
      </c>
      <c r="H64" s="71">
        <f>+IF($D64=0,0,'Accessories Install - Labour'!$F$17)</f>
        <v>0</v>
      </c>
      <c r="I64" s="71">
        <f t="shared" si="31"/>
        <v>0</v>
      </c>
      <c r="J64" s="71">
        <f t="shared" si="29"/>
        <v>0</v>
      </c>
      <c r="K64" s="71">
        <f t="shared" si="30"/>
        <v>0</v>
      </c>
      <c r="L64" s="71">
        <f>_xlfn.IFNA(I64*(1+(INDEX('Product Mark-up'!$F$4:$F$8,MATCH('Cal. Sheet Door 2'!$D$2,'Product Mark-up'!$C$4:$C$8,0)))),0)</f>
        <v>0</v>
      </c>
      <c r="N64" s="4"/>
      <c r="P64" s="4"/>
    </row>
    <row r="65" spans="1:16" x14ac:dyDescent="0.35">
      <c r="A65" s="217"/>
      <c r="B65" s="218"/>
      <c r="C65" s="168" t="str">
        <f>'Quotation - Door 2'!C89</f>
        <v>Additional Latch 2</v>
      </c>
      <c r="D65" s="121">
        <f>'Quotation - Door 2'!D89</f>
        <v>0</v>
      </c>
      <c r="E65" s="71">
        <f>IF($D65=0,0,(INDEX('Cost Sheet'!$N:$N,MATCH('Quotation - Door 2'!$D89,'Cost Sheet'!$C:$C,0))))</f>
        <v>0</v>
      </c>
      <c r="F65" s="20"/>
      <c r="G65" s="19" t="s">
        <v>133</v>
      </c>
      <c r="H65" s="71">
        <f>+IF($D65=0,0,'Accessories Install - Labour'!$F$17)</f>
        <v>0</v>
      </c>
      <c r="I65" s="71">
        <f t="shared" si="31"/>
        <v>0</v>
      </c>
      <c r="J65" s="71">
        <f t="shared" si="29"/>
        <v>0</v>
      </c>
      <c r="K65" s="71">
        <f t="shared" si="30"/>
        <v>0</v>
      </c>
      <c r="L65" s="71">
        <f>_xlfn.IFNA(I65*(1+(INDEX('Product Mark-up'!$F$4:$F$8,MATCH('Cal. Sheet Door 2'!$D$2,'Product Mark-up'!$C$4:$C$8,0)))),0)</f>
        <v>0</v>
      </c>
      <c r="N65" s="4"/>
      <c r="P65" s="4"/>
    </row>
    <row r="66" spans="1:16" x14ac:dyDescent="0.35">
      <c r="A66" s="217"/>
      <c r="B66" s="218"/>
      <c r="C66" s="21" t="str">
        <f>'Quotation - Door 2'!C90</f>
        <v xml:space="preserve">Interior Release </v>
      </c>
      <c r="D66" s="121" t="str">
        <f>'Quotation - Door 2'!D90</f>
        <v>Mushroom Button</v>
      </c>
      <c r="E66" s="71">
        <f>IF($D66=0,0,(INDEX('Cost Sheet'!$N:$N,MATCH('Quotation - Door 2'!$D90,'Cost Sheet'!$C:$C,0))))</f>
        <v>9.6</v>
      </c>
      <c r="F66" s="20"/>
      <c r="G66" s="19" t="s">
        <v>133</v>
      </c>
      <c r="H66" s="71">
        <f>+IF($D66=0,0,INDEX('Accessories Install - Labour'!$E:$E,MATCH('Cal. Sheet Door 2'!$D66,'Accessories Install - Labour'!$C:$C,0)))</f>
        <v>4.333333333333333</v>
      </c>
      <c r="I66" s="71">
        <f t="shared" si="31"/>
        <v>13.933333333333334</v>
      </c>
      <c r="J66" s="71">
        <f t="shared" si="29"/>
        <v>9.6</v>
      </c>
      <c r="K66" s="71">
        <f t="shared" si="30"/>
        <v>4.333333333333333</v>
      </c>
      <c r="L66" s="71">
        <f>_xlfn.IFNA(I66*(1+(INDEX('Product Mark-up'!$F$4:$F$8,MATCH('Cal. Sheet Door 2'!$D$2,'Product Mark-up'!$C$4:$C$8,0)))),0)</f>
        <v>13.933333333333334</v>
      </c>
      <c r="N66" s="4"/>
      <c r="P66" s="4"/>
    </row>
    <row r="67" spans="1:16" x14ac:dyDescent="0.35">
      <c r="A67" s="217"/>
      <c r="B67" s="218"/>
      <c r="C67" s="21" t="str">
        <f>'Quotation - Door 2'!C91</f>
        <v>Hook</v>
      </c>
      <c r="D67" s="121">
        <f>'Quotation - Door 2'!D91</f>
        <v>0</v>
      </c>
      <c r="E67" s="71">
        <f>IF($D67=0,0,(INDEX('Cost Sheet'!$N:$N,MATCH('Quotation - Door 2'!$D91,'Cost Sheet'!$C:$C,0))))</f>
        <v>0</v>
      </c>
      <c r="F67" s="20"/>
      <c r="G67" s="19" t="s">
        <v>133</v>
      </c>
      <c r="H67" s="71">
        <f>+IF($D67=0,0,INDEX('Accessories Install - Labour'!$E:$E,MATCH('Cal. Sheet Door 2'!$D67,'Accessories Install - Labour'!$C:$C,0)))</f>
        <v>0</v>
      </c>
      <c r="I67" s="71">
        <f t="shared" si="31"/>
        <v>0</v>
      </c>
      <c r="J67" s="71">
        <f t="shared" si="29"/>
        <v>0</v>
      </c>
      <c r="K67" s="71">
        <f t="shared" si="30"/>
        <v>0</v>
      </c>
      <c r="L67" s="71">
        <f>_xlfn.IFNA(I67*(1+(INDEX('Product Mark-up'!$F$4:$F$8,MATCH('Cal. Sheet Door 2'!$D$2,'Product Mark-up'!$C$4:$C$8,0)))),0)</f>
        <v>0</v>
      </c>
      <c r="N67" s="4"/>
      <c r="P67" s="4"/>
    </row>
    <row r="68" spans="1:16" x14ac:dyDescent="0.35">
      <c r="A68" s="217"/>
      <c r="B68" s="218"/>
      <c r="C68" s="21" t="str">
        <f>'Quotation - Door 2'!C92</f>
        <v xml:space="preserve">Door Closer </v>
      </c>
      <c r="D68" s="121" t="str">
        <f>'Quotation - Door 2'!D92</f>
        <v>Spring Door Closer</v>
      </c>
      <c r="E68" s="71">
        <f>IF($D68=0,0,(INDEX('Cost Sheet'!$N:$N,MATCH('Quotation - Door 2'!$D92,'Cost Sheet'!$C:$C,0))))</f>
        <v>24</v>
      </c>
      <c r="F68" s="20"/>
      <c r="G68" s="19" t="s">
        <v>133</v>
      </c>
      <c r="H68" s="71">
        <f>+IF($D68=0,0,INDEX('Accessories Install - Labour'!$E:$E,MATCH('Cal. Sheet Door 2'!$D68,'Accessories Install - Labour'!$C:$C,0)))</f>
        <v>17.333333333333332</v>
      </c>
      <c r="I68" s="71">
        <f t="shared" si="31"/>
        <v>41.333333333333329</v>
      </c>
      <c r="J68" s="71">
        <f t="shared" si="29"/>
        <v>24</v>
      </c>
      <c r="K68" s="71">
        <f t="shared" si="30"/>
        <v>17.333333333333332</v>
      </c>
      <c r="L68" s="71">
        <f>_xlfn.IFNA(I68*(1+(INDEX('Product Mark-up'!$F$4:$F$8,MATCH('Cal. Sheet Door 2'!$D$2,'Product Mark-up'!$C$4:$C$8,0)))),0)</f>
        <v>41.333333333333329</v>
      </c>
      <c r="N68" s="4"/>
      <c r="P68" s="4"/>
    </row>
    <row r="69" spans="1:16" x14ac:dyDescent="0.35">
      <c r="A69" s="217"/>
      <c r="B69" s="218"/>
      <c r="C69" s="21" t="str">
        <f>'Quotation - Door 2'!C93</f>
        <v>Strike</v>
      </c>
      <c r="D69" s="121" t="str">
        <f>'Quotation - Door 2'!D93</f>
        <v>K56 Strike Chrome  1/8 Bel x 1/4</v>
      </c>
      <c r="E69" s="71">
        <f>IF($D69=0,0,(INDEX('Cost Sheet'!$N:$N,MATCH('Quotation - Door 2'!$D93,'Cost Sheet'!$C:$C,0))))</f>
        <v>32.81</v>
      </c>
      <c r="F69" s="20"/>
      <c r="G69" s="19" t="s">
        <v>133</v>
      </c>
      <c r="H69" s="71" t="e">
        <f>+IF($D69=0,0,INDEX('Accessories Install - Labour'!$E:$E,MATCH('Cal. Sheet Door 2'!$D69,'Accessories Install - Labour'!$C:$C,0)))</f>
        <v>#N/A</v>
      </c>
      <c r="I69" s="71" t="e">
        <f t="shared" si="31"/>
        <v>#N/A</v>
      </c>
      <c r="J69" s="71">
        <f t="shared" si="29"/>
        <v>32.81</v>
      </c>
      <c r="K69" s="71" t="e">
        <f t="shared" si="30"/>
        <v>#N/A</v>
      </c>
      <c r="L69" s="71">
        <f>_xlfn.IFNA(I69*(1+(INDEX('Product Mark-up'!$F$4:$F$8,MATCH('Cal. Sheet Door 2'!$D$2,'Product Mark-up'!$C$4:$C$8,0)))),0)</f>
        <v>0</v>
      </c>
      <c r="N69" s="4"/>
      <c r="P69" s="4"/>
    </row>
    <row r="70" spans="1:16" x14ac:dyDescent="0.35">
      <c r="A70" s="217"/>
      <c r="B70" s="218"/>
      <c r="C70" s="21" t="str">
        <f>'Quotation - Door 2'!C94</f>
        <v>Rain Hood / Projection</v>
      </c>
      <c r="D70" s="121">
        <f>+'Quotation - Door 2'!$D$94</f>
        <v>0</v>
      </c>
      <c r="E70" s="71">
        <f>_xlfn.IFNA(INDEX('Cost Sheet'!$N:$N,MATCH($D13,'Cost Sheet'!$C:$C,0)),0)</f>
        <v>1.1823573017049667</v>
      </c>
      <c r="F70" s="30">
        <f>+IF($D$70="Swing",((D6+10)*14*L4),(((D6*2)+30)*20*L4))</f>
        <v>40.274555620000001</v>
      </c>
      <c r="G70" s="19" t="s">
        <v>133</v>
      </c>
      <c r="H70" s="71">
        <f>+IF(D70=0,0,IF(D70="Swing",'Accessories Install - Labour'!$F$81,'Accessories Install - Labour'!$F$82))</f>
        <v>0</v>
      </c>
      <c r="I70" s="71">
        <f>+IF(D70=0,0,((F70*E70)+H70))</f>
        <v>0</v>
      </c>
      <c r="J70" s="71">
        <f t="shared" si="29"/>
        <v>1.1823573017049667</v>
      </c>
      <c r="K70" s="71">
        <f t="shared" si="30"/>
        <v>0</v>
      </c>
      <c r="L70" s="71">
        <f>_xlfn.IFNA(I70*(1+(INDEX('Product Mark-up'!$F$4:$F$8,MATCH('Cal. Sheet Door 2'!$D$2,'Product Mark-up'!$C$4:$C$8,0)))),0)</f>
        <v>0</v>
      </c>
      <c r="N70" s="4"/>
      <c r="P70" s="4"/>
    </row>
    <row r="71" spans="1:16" x14ac:dyDescent="0.35">
      <c r="A71" s="217"/>
      <c r="B71" s="218"/>
      <c r="C71" s="21" t="str">
        <f>'Quotation - Door 2'!C95</f>
        <v xml:space="preserve">Wind Chains </v>
      </c>
      <c r="D71" s="121">
        <f>'Quotation - Door 2'!D95</f>
        <v>0</v>
      </c>
      <c r="E71" s="71">
        <f>IF($D71=0,0,(INDEX('Cost Sheet'!$N:$N,MATCH('Quotation - Door 2'!$D95,'Cost Sheet'!$C:$C,0))))</f>
        <v>0</v>
      </c>
      <c r="F71" s="20"/>
      <c r="G71" s="19" t="s">
        <v>133</v>
      </c>
      <c r="H71" s="71">
        <f>+IF($D71=0,0,INDEX('Accessories Install - Labour'!$E:$E,MATCH('Cal. Sheet Door 2'!$D71,'Accessories Install - Labour'!$C:$C,0)))</f>
        <v>0</v>
      </c>
      <c r="I71" s="71">
        <f t="shared" si="31"/>
        <v>0</v>
      </c>
      <c r="J71" s="71">
        <f t="shared" si="29"/>
        <v>0</v>
      </c>
      <c r="K71" s="71">
        <f t="shared" si="30"/>
        <v>0</v>
      </c>
      <c r="L71" s="71">
        <f>_xlfn.IFNA(I71*(1+(INDEX('Product Mark-up'!$F$4:$F$8,MATCH('Cal. Sheet Door 2'!$D$2,'Product Mark-up'!$C$4:$C$8,0)))),0)</f>
        <v>0</v>
      </c>
      <c r="N71" s="4"/>
      <c r="P71" s="4"/>
    </row>
    <row r="72" spans="1:16" x14ac:dyDescent="0.35">
      <c r="A72" s="217"/>
      <c r="B72" s="218"/>
      <c r="C72" s="21" t="s">
        <v>159</v>
      </c>
      <c r="D72" s="121">
        <f>'Quotation - Door 2'!D96</f>
        <v>0</v>
      </c>
      <c r="E72" s="71">
        <f>IF($D72=0,0,(INDEX('Cost Sheet'!$N:$N,MATCH('Quotation - Door 2'!$D96,'Cost Sheet'!$C:$C,0))))</f>
        <v>0</v>
      </c>
      <c r="F72" s="20"/>
      <c r="G72" s="19" t="s">
        <v>133</v>
      </c>
      <c r="H72" s="71">
        <f>+IF($D72=0,0,('Accessories Install - Labour'!$E52))</f>
        <v>0</v>
      </c>
      <c r="I72" s="71">
        <f t="shared" si="31"/>
        <v>0</v>
      </c>
      <c r="J72" s="71">
        <f t="shared" si="29"/>
        <v>0</v>
      </c>
      <c r="K72" s="71">
        <f t="shared" si="30"/>
        <v>0</v>
      </c>
      <c r="L72" s="71">
        <f>_xlfn.IFNA(I72*(1+(INDEX('Product Mark-up'!$F$4:$F$8,MATCH('Cal. Sheet Door 2'!$D$2,'Product Mark-up'!$C$4:$C$8,0)))),0)</f>
        <v>0</v>
      </c>
      <c r="N72" s="4"/>
      <c r="P72" s="4"/>
    </row>
    <row r="73" spans="1:16" x14ac:dyDescent="0.35">
      <c r="A73" s="217"/>
      <c r="B73" s="218"/>
      <c r="C73" s="21" t="s">
        <v>160</v>
      </c>
      <c r="D73" s="121">
        <f>'Quotation - Door 2'!D97</f>
        <v>0</v>
      </c>
      <c r="E73" s="71">
        <f>IF($D73=0,0,(INDEX('Cost Sheet'!$N:$N,MATCH('Quotation - Door 2'!$D97,'Cost Sheet'!$C:$C,0))))</f>
        <v>0</v>
      </c>
      <c r="F73" s="20"/>
      <c r="G73" s="19" t="s">
        <v>133</v>
      </c>
      <c r="H73" s="71">
        <f>+IF($D73=0,0,('Accessories Install - Labour'!$E38))</f>
        <v>0</v>
      </c>
      <c r="I73" s="71">
        <f t="shared" si="31"/>
        <v>0</v>
      </c>
      <c r="J73" s="71">
        <f t="shared" si="29"/>
        <v>0</v>
      </c>
      <c r="K73" s="71">
        <f t="shared" si="30"/>
        <v>0</v>
      </c>
      <c r="L73" s="71">
        <f>_xlfn.IFNA(I73*(1+(INDEX('Product Mark-up'!$F$4:$F$8,MATCH('Cal. Sheet Door 2'!$D$2,'Product Mark-up'!$C$4:$C$8,0)))),0)</f>
        <v>0</v>
      </c>
      <c r="N73" s="4"/>
      <c r="P73" s="4"/>
    </row>
    <row r="74" spans="1:16" x14ac:dyDescent="0.35">
      <c r="A74" s="217"/>
      <c r="B74" s="218"/>
      <c r="C74" s="21" t="s">
        <v>161</v>
      </c>
      <c r="D74" s="121" t="str">
        <f>'Quotation - Door 2'!D98</f>
        <v>Heat Vent 4"</v>
      </c>
      <c r="E74" s="71">
        <f>IF($D74=0,0,(INDEX('Cost Sheet'!$N:$N,MATCH('Quotation - Door 2'!$D98,'Cost Sheet'!$C:$C,0))))</f>
        <v>57.42</v>
      </c>
      <c r="F74" s="20"/>
      <c r="G74" s="19" t="s">
        <v>133</v>
      </c>
      <c r="H74" s="71">
        <f>+IF($D74=0,0,('Accessories Install - Labour'!$F$36))</f>
        <v>26</v>
      </c>
      <c r="I74" s="71">
        <f t="shared" si="31"/>
        <v>83.42</v>
      </c>
      <c r="J74" s="71">
        <f t="shared" si="29"/>
        <v>57.42</v>
      </c>
      <c r="K74" s="71">
        <f t="shared" si="30"/>
        <v>26</v>
      </c>
      <c r="L74" s="71">
        <f>_xlfn.IFNA(I74*(1+(INDEX('Product Mark-up'!$F$4:$F$8,MATCH('Cal. Sheet Door 2'!$D$2,'Product Mark-up'!$C$4:$C$8,0)))),0)</f>
        <v>83.42</v>
      </c>
      <c r="N74" s="4"/>
      <c r="P74" s="4"/>
    </row>
    <row r="75" spans="1:16" x14ac:dyDescent="0.35">
      <c r="A75" s="217"/>
      <c r="B75" s="218"/>
      <c r="C75" s="21" t="s">
        <v>163</v>
      </c>
      <c r="D75" s="121" t="str">
        <f>'Quotation - Door 2'!D99</f>
        <v>Temperature Gauge (Dial Thermometer)</v>
      </c>
      <c r="E75" s="71">
        <f>IF($D75=0,0,(INDEX('Cost Sheet'!$N:$N,MATCH('Quotation - Door 2'!$D99,'Cost Sheet'!$C:$C,0))))</f>
        <v>8.9</v>
      </c>
      <c r="F75" s="20"/>
      <c r="G75" s="19" t="s">
        <v>133</v>
      </c>
      <c r="H75" s="71">
        <f>+IF($D75=0,0,('Accessories Install - Labour'!$F$53))</f>
        <v>26</v>
      </c>
      <c r="I75" s="71">
        <f t="shared" si="31"/>
        <v>34.9</v>
      </c>
      <c r="J75" s="71">
        <f t="shared" si="29"/>
        <v>8.9</v>
      </c>
      <c r="K75" s="71">
        <f t="shared" si="30"/>
        <v>26</v>
      </c>
      <c r="L75" s="71">
        <f>_xlfn.IFNA(I75*(1+(INDEX('Product Mark-up'!$F$4:$F$8,MATCH('Cal. Sheet Door 2'!$D$2,'Product Mark-up'!$C$4:$C$8,0)))),0)</f>
        <v>34.9</v>
      </c>
      <c r="N75" s="4"/>
      <c r="P75" s="4"/>
    </row>
    <row r="76" spans="1:16" x14ac:dyDescent="0.35">
      <c r="A76" s="217"/>
      <c r="B76" s="218"/>
      <c r="C76" s="21" t="s">
        <v>165</v>
      </c>
      <c r="D76" s="121" t="str">
        <f>'Quotation - Door 2'!D100</f>
        <v xml:space="preserve">Receptacle Box </v>
      </c>
      <c r="E76" s="71">
        <f>IF($D76=0,0,(INDEX('Cost Sheet'!$N:$N,MATCH('Quotation - Door 2'!$D100,'Cost Sheet'!$C:$C,0))))</f>
        <v>1.87</v>
      </c>
      <c r="F76" s="20"/>
      <c r="G76" s="19" t="s">
        <v>133</v>
      </c>
      <c r="H76" s="71">
        <f>+IF($D76=0,0,('Accessories Install - Labour'!$F$49))</f>
        <v>17.333333333333332</v>
      </c>
      <c r="I76" s="71">
        <f t="shared" si="31"/>
        <v>19.203333333333333</v>
      </c>
      <c r="J76" s="71">
        <f t="shared" si="29"/>
        <v>1.87</v>
      </c>
      <c r="K76" s="71">
        <f t="shared" si="30"/>
        <v>17.333333333333332</v>
      </c>
      <c r="L76" s="71">
        <f>_xlfn.IFNA(I76*(1+(INDEX('Product Mark-up'!$F$4:$F$8,MATCH('Cal. Sheet Door 2'!$D$2,'Product Mark-up'!$C$4:$C$8,0)))),0)</f>
        <v>19.203333333333333</v>
      </c>
      <c r="N76" s="4"/>
      <c r="P76" s="4"/>
    </row>
    <row r="77" spans="1:16" x14ac:dyDescent="0.35">
      <c r="A77" s="217"/>
      <c r="B77" s="218"/>
      <c r="C77" s="21" t="s">
        <v>166</v>
      </c>
      <c r="D77" s="121" t="str">
        <f>'Quotation - Door 2'!D101</f>
        <v xml:space="preserve">Metal - Octagon (Hexagon) Box 4" x 4" x 1-1/2" </v>
      </c>
      <c r="E77" s="71">
        <f>IF($D77=0,0,(INDEX('Cost Sheet'!$N:$N,MATCH('Quotation - Door 2'!$D101,'Cost Sheet'!$C:$C,0))))</f>
        <v>2.27</v>
      </c>
      <c r="F77" s="20"/>
      <c r="G77" s="19" t="s">
        <v>133</v>
      </c>
      <c r="H77" s="71">
        <f>+IF($D77=0,0,('Accessories Install - Labour'!$F$50))</f>
        <v>17.333333333333332</v>
      </c>
      <c r="I77" s="71">
        <f t="shared" si="31"/>
        <v>19.603333333333332</v>
      </c>
      <c r="J77" s="71">
        <f t="shared" si="29"/>
        <v>2.27</v>
      </c>
      <c r="K77" s="71">
        <f t="shared" si="30"/>
        <v>17.333333333333332</v>
      </c>
      <c r="L77" s="71">
        <f>_xlfn.IFNA(I77*(1+(INDEX('Product Mark-up'!$F$4:$F$8,MATCH('Cal. Sheet Door 2'!$D$2,'Product Mark-up'!$C$4:$C$8,0)))),0)</f>
        <v>19.603333333333332</v>
      </c>
      <c r="N77" s="4"/>
      <c r="P77" s="4"/>
    </row>
    <row r="78" spans="1:16" x14ac:dyDescent="0.35">
      <c r="A78" s="217"/>
      <c r="B78" s="218"/>
      <c r="C78" s="21" t="s">
        <v>168</v>
      </c>
      <c r="D78" s="121">
        <f>'Quotation - Door 2'!D102</f>
        <v>0</v>
      </c>
      <c r="E78" s="71">
        <f>IF($D78=0,0,(INDEX('Cost Sheet'!$N:$N,MATCH('Quotation - Door 2'!$D102,'Cost Sheet'!$C:$C,0))))</f>
        <v>0</v>
      </c>
      <c r="F78" s="20"/>
      <c r="G78" s="19" t="s">
        <v>133</v>
      </c>
      <c r="H78" s="71">
        <f>+IF($D78=0,0,('Accessories Install - Labour'!$F$39))</f>
        <v>0</v>
      </c>
      <c r="I78" s="71">
        <f t="shared" si="31"/>
        <v>0</v>
      </c>
      <c r="J78" s="71">
        <f t="shared" si="29"/>
        <v>0</v>
      </c>
      <c r="K78" s="71">
        <f t="shared" si="30"/>
        <v>0</v>
      </c>
      <c r="L78" s="71">
        <f>_xlfn.IFNA(I78*(1+(INDEX('Product Mark-up'!$F$4:$F$8,MATCH('Cal. Sheet Door 2'!$D$2,'Product Mark-up'!$C$4:$C$8,0)))),0)</f>
        <v>0</v>
      </c>
      <c r="N78" s="4"/>
      <c r="P78" s="4"/>
    </row>
    <row r="79" spans="1:16" x14ac:dyDescent="0.35">
      <c r="A79" s="217"/>
      <c r="B79" s="218"/>
      <c r="C79" s="21" t="s">
        <v>169</v>
      </c>
      <c r="D79" s="121">
        <f>'Quotation - Door 2'!D104</f>
        <v>0</v>
      </c>
      <c r="E79" s="71">
        <f>IF($D79=0,0,(INDEX('Cost Sheet'!$N:$N,MATCH('Quotation - Door 2'!$D104,'Cost Sheet'!$C:$C,0))))</f>
        <v>0</v>
      </c>
      <c r="F79" s="20"/>
      <c r="G79" s="19" t="s">
        <v>133</v>
      </c>
      <c r="H79" s="71">
        <f>+IF($D79=0,0,('Accessories Install - Labour'!$F$54))</f>
        <v>0</v>
      </c>
      <c r="I79" s="71">
        <f t="shared" si="31"/>
        <v>0</v>
      </c>
      <c r="J79" s="71">
        <f t="shared" si="29"/>
        <v>0</v>
      </c>
      <c r="K79" s="71">
        <f t="shared" si="30"/>
        <v>0</v>
      </c>
      <c r="L79" s="71">
        <f>_xlfn.IFNA(I79*(1+(INDEX('Product Mark-up'!$F$4:$F$8,MATCH('Cal. Sheet Door 2'!$D$2,'Product Mark-up'!$C$4:$C$8,0)))),0)</f>
        <v>0</v>
      </c>
      <c r="N79" s="4"/>
      <c r="P79" s="4"/>
    </row>
    <row r="80" spans="1:16" x14ac:dyDescent="0.35">
      <c r="A80" s="217"/>
      <c r="B80" s="218"/>
      <c r="C80" s="21" t="s">
        <v>170</v>
      </c>
      <c r="D80" s="121">
        <f>'Quotation - Door 2'!D105</f>
        <v>0</v>
      </c>
      <c r="E80" s="71">
        <f>IF($D80=0,0,(INDEX('Cost Sheet'!$N:$N,MATCH('Quotation - Door 2'!$D105,'Cost Sheet'!$C:$C,0))))</f>
        <v>0</v>
      </c>
      <c r="F80" s="20"/>
      <c r="G80" s="19" t="s">
        <v>133</v>
      </c>
      <c r="H80" s="71">
        <v>0</v>
      </c>
      <c r="I80" s="71">
        <f t="shared" si="31"/>
        <v>0</v>
      </c>
      <c r="J80" s="71">
        <f t="shared" si="29"/>
        <v>0</v>
      </c>
      <c r="K80" s="71">
        <f t="shared" si="30"/>
        <v>0</v>
      </c>
      <c r="L80" s="71">
        <f>_xlfn.IFNA(I80*(1+(INDEX('Product Mark-up'!$F$4:$F$8,MATCH('Cal. Sheet Door 2'!$D$2,'Product Mark-up'!$C$4:$C$8,0)))),0)</f>
        <v>0</v>
      </c>
      <c r="N80" s="4"/>
      <c r="P80" s="4"/>
    </row>
    <row r="81" spans="1:17" ht="77.5" x14ac:dyDescent="0.35">
      <c r="A81" s="217"/>
      <c r="B81" s="218"/>
      <c r="C81" s="489" t="str">
        <f>'Quotation - Door 2'!C106</f>
        <v>Heat Trace - Location &amp; Ft. req.</v>
      </c>
      <c r="D81" s="551">
        <f>'Quotation - Door 2'!E106</f>
        <v>112.99548</v>
      </c>
      <c r="E81" s="71">
        <f>+AVERAGE('Cost Sheet'!$N$102:$N$112)</f>
        <v>0.17090909090909087</v>
      </c>
      <c r="F81" s="492">
        <f>+D81</f>
        <v>112.99548</v>
      </c>
      <c r="G81" s="491" t="s">
        <v>371</v>
      </c>
      <c r="H81" s="71">
        <f>+IF($D81=0,0,((IF(D6&lt;48,'Accessories Install - Labour'!$F$43,IF(D6&lt;120,'Accessories Install - Labour'!$F$44,IF(D6&lt;240,'Accessories Install - Labour'!$F$45))))+'Accessories Install - Labour'!$F$51)+('Cost Sheet'!$M$149/4)+'Cost Sheet'!$M$152)</f>
        <v>160.03703333333331</v>
      </c>
      <c r="I81" s="71">
        <f>+(E81*D81)+H81</f>
        <v>179.34898809696966</v>
      </c>
      <c r="J81" s="71">
        <f t="shared" si="29"/>
        <v>0.17090909090909087</v>
      </c>
      <c r="K81" s="71">
        <f t="shared" si="30"/>
        <v>160.03703333333331</v>
      </c>
      <c r="L81" s="71">
        <f>_xlfn.IFNA(I81*(1+(INDEX('Product Mark-up'!$F$4:$F$8,MATCH('Cal. Sheet Door 2'!$D$2,'Product Mark-up'!$C$4:$C$8,0)))),0)</f>
        <v>179.34898809696966</v>
      </c>
      <c r="N81" s="4"/>
      <c r="P81" s="4"/>
    </row>
    <row r="82" spans="1:17" ht="62" x14ac:dyDescent="0.35">
      <c r="A82" s="217"/>
      <c r="B82" s="218"/>
      <c r="C82" s="490" t="str">
        <f>'Quotation - Door 2'!C107</f>
        <v>Electrical Wire - Ft. required</v>
      </c>
      <c r="D82" s="121">
        <f>'Quotation - Door 2'!E107</f>
        <v>22</v>
      </c>
      <c r="E82" s="71">
        <f>+AVERAGE('Cost Sheet'!$M$131:$M$132)/L6</f>
        <v>0.72237597688396882</v>
      </c>
      <c r="F82" s="19">
        <f>+D82</f>
        <v>22</v>
      </c>
      <c r="G82" s="491" t="s">
        <v>372</v>
      </c>
      <c r="H82" s="71">
        <f>+IF($D82=0,0,(IF(D6&lt;48,'Accessories Install - Labour'!$F$46,IF(D6&lt;120,'Accessories Install - Labour'!F47,IF(D6&lt;240,'Accessories Install - Labour'!F48)))))</f>
        <v>104</v>
      </c>
      <c r="I82" s="71">
        <f>(E82*D82)+H82</f>
        <v>119.89227149144732</v>
      </c>
      <c r="J82" s="71">
        <f t="shared" si="29"/>
        <v>0.72237597688396882</v>
      </c>
      <c r="K82" s="71">
        <f t="shared" si="30"/>
        <v>104</v>
      </c>
      <c r="L82" s="71">
        <f>_xlfn.IFNA(I82*(1+(INDEX('Product Mark-up'!$F$4:$F$8,MATCH('Cal. Sheet Door 2'!$D$2,'Product Mark-up'!$C$4:$C$8,0)))),0)</f>
        <v>119.89227149144732</v>
      </c>
      <c r="O82" s="3"/>
      <c r="P82" s="105"/>
      <c r="Q82" s="3"/>
    </row>
    <row r="83" spans="1:17" ht="21" x14ac:dyDescent="0.35">
      <c r="I83" s="224" t="e">
        <f>SUM(I13:I82)*D10</f>
        <v>#N/A</v>
      </c>
      <c r="L83" s="224">
        <f>SUM(L13:L82)*$D$10</f>
        <v>8263.3841937636753</v>
      </c>
      <c r="O83" s="3"/>
      <c r="P83" s="105"/>
      <c r="Q83" s="3"/>
    </row>
    <row r="84" spans="1:17" ht="21" x14ac:dyDescent="0.35">
      <c r="I84" s="542"/>
      <c r="L84" s="542"/>
      <c r="O84" s="3"/>
      <c r="P84" s="105"/>
      <c r="Q84" s="3"/>
    </row>
    <row r="85" spans="1:17" ht="21" x14ac:dyDescent="0.35">
      <c r="I85" s="542"/>
      <c r="L85" s="542"/>
      <c r="O85" s="3"/>
      <c r="P85" s="105"/>
      <c r="Q85" s="3"/>
    </row>
    <row r="86" spans="1:17" ht="21" x14ac:dyDescent="0.35">
      <c r="I86" s="542"/>
      <c r="L86" s="542"/>
      <c r="O86" s="3"/>
      <c r="P86" s="105"/>
      <c r="Q86" s="3"/>
    </row>
    <row r="87" spans="1:17" ht="21" x14ac:dyDescent="0.35">
      <c r="I87" s="542"/>
      <c r="L87" s="542"/>
      <c r="O87" s="3"/>
      <c r="P87" s="105"/>
      <c r="Q87" s="3"/>
    </row>
    <row r="88" spans="1:17" ht="21" x14ac:dyDescent="0.35">
      <c r="I88" s="542"/>
      <c r="L88" s="542"/>
      <c r="O88" s="3"/>
      <c r="P88" s="105"/>
      <c r="Q88" s="3"/>
    </row>
    <row r="89" spans="1:17" ht="21" x14ac:dyDescent="0.35">
      <c r="I89" s="542"/>
      <c r="L89" s="542"/>
      <c r="O89" s="3"/>
      <c r="P89" s="105"/>
      <c r="Q89" s="3"/>
    </row>
    <row r="90" spans="1:17" ht="21" x14ac:dyDescent="0.35">
      <c r="I90" s="542"/>
      <c r="L90" s="542"/>
      <c r="O90" s="3"/>
      <c r="P90" s="105"/>
      <c r="Q90" s="3"/>
    </row>
    <row r="91" spans="1:17" ht="21" x14ac:dyDescent="0.35">
      <c r="I91" s="542"/>
      <c r="L91" s="542"/>
      <c r="O91" s="3"/>
      <c r="P91" s="105"/>
      <c r="Q91" s="3"/>
    </row>
    <row r="92" spans="1:17" ht="21" x14ac:dyDescent="0.35">
      <c r="I92" s="542"/>
      <c r="L92" s="542"/>
      <c r="O92" s="3"/>
      <c r="P92" s="105"/>
      <c r="Q92" s="3"/>
    </row>
    <row r="93" spans="1:17" ht="21" x14ac:dyDescent="0.35">
      <c r="I93" s="542"/>
      <c r="L93" s="542"/>
      <c r="O93" s="3"/>
      <c r="P93" s="105"/>
      <c r="Q93" s="3"/>
    </row>
    <row r="94" spans="1:17" ht="21" x14ac:dyDescent="0.35">
      <c r="I94" s="542"/>
      <c r="L94" s="542"/>
      <c r="O94" s="3"/>
      <c r="P94" s="105"/>
      <c r="Q94" s="3"/>
    </row>
    <row r="95" spans="1:17" ht="21" x14ac:dyDescent="0.35">
      <c r="I95" s="542"/>
      <c r="L95" s="542"/>
      <c r="O95" s="3"/>
      <c r="P95" s="105"/>
      <c r="Q95" s="3"/>
    </row>
    <row r="96" spans="1:17" ht="21" x14ac:dyDescent="0.35">
      <c r="I96" s="542"/>
      <c r="L96" s="542"/>
      <c r="O96" s="3"/>
      <c r="P96" s="105"/>
      <c r="Q96" s="3"/>
    </row>
  </sheetData>
  <mergeCells count="19">
    <mergeCell ref="AB13:AL13"/>
    <mergeCell ref="E18:E20"/>
    <mergeCell ref="F18:F20"/>
    <mergeCell ref="G18:G20"/>
    <mergeCell ref="H18:H20"/>
    <mergeCell ref="I18:I20"/>
    <mergeCell ref="K1:L1"/>
    <mergeCell ref="A2:B10"/>
    <mergeCell ref="O2:R2"/>
    <mergeCell ref="K3:L3"/>
    <mergeCell ref="E11:I11"/>
    <mergeCell ref="J11:L11"/>
    <mergeCell ref="AT26:AW26"/>
    <mergeCell ref="AT15:AY15"/>
    <mergeCell ref="AT16:AW16"/>
    <mergeCell ref="AX16:AY16"/>
    <mergeCell ref="J18:J20"/>
    <mergeCell ref="K18:K20"/>
    <mergeCell ref="L18:L20"/>
  </mergeCells>
  <dataValidations count="2">
    <dataValidation type="list" allowBlank="1" showInputMessage="1" showErrorMessage="1" sqref="D4:D5" xr:uid="{81C927CB-3A33-4D9A-B19A-7CDD7063B9EE}">
      <formula1>$Y$9:$Y$10</formula1>
    </dataValidation>
    <dataValidation type="list" allowBlank="1" showInputMessage="1" showErrorMessage="1" sqref="D5" xr:uid="{C3C813CE-3179-42B6-8A1A-FF7A1219223F}">
      <formula1>$U$3:$U$4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8CA5B352-7C62-4F13-AD77-C7379B1A7F26}">
          <x14:formula1>
            <xm:f>Controller!$A$13:$A$21</xm:f>
          </x14:formula1>
          <xm:sqref>D2</xm:sqref>
        </x14:dataValidation>
        <x14:dataValidation type="list" allowBlank="1" showInputMessage="1" showErrorMessage="1" xr:uid="{4EB5F7BB-E2FB-4E48-A464-4136B6C91A05}">
          <x14:formula1>
            <xm:f>Controller!#REF!</xm:f>
          </x14:formula1>
          <xm:sqref>D3</xm:sqref>
        </x14:dataValidation>
        <x14:dataValidation type="list" allowBlank="1" showInputMessage="1" showErrorMessage="1" xr:uid="{DCC52AE8-A7B5-4E38-8520-AEB201481441}">
          <x14:formula1>
            <xm:f>_xlfn.ANCHORARRAY('Door Table'!$E$3)</xm:f>
          </x14:formula1>
          <xm:sqref>D14</xm:sqref>
        </x14:dataValidation>
        <x14:dataValidation type="list" allowBlank="1" showInputMessage="1" showErrorMessage="1" xr:uid="{946ED7EF-4F33-4104-9C85-86C3B58BFBAD}">
          <x14:formula1>
            <xm:f>_xlfn.ANCHORARRAY('Door Table'!$D$3)</xm:f>
          </x14:formula1>
          <xm:sqref>D13</xm:sqref>
        </x14:dataValidation>
        <x14:dataValidation type="list" allowBlank="1" showInputMessage="1" showErrorMessage="1" xr:uid="{98C8B15A-7CF3-4DF2-87B5-62B04BAAE048}">
          <x14:formula1>
            <xm:f>_xlfn.ANCHORARRAY('Door Table'!$F$3)</xm:f>
          </x14:formula1>
          <xm:sqref>D15</xm:sqref>
        </x14:dataValidation>
        <x14:dataValidation type="list" allowBlank="1" showInputMessage="1" showErrorMessage="1" xr:uid="{596457F4-1197-44C9-ABB0-8829A331602D}">
          <x14:formula1>
            <xm:f>_xlfn.ANCHORARRAY('Door Table'!$G$3)</xm:f>
          </x14:formula1>
          <xm:sqref>D16:D17</xm:sqref>
        </x14:dataValidation>
        <x14:dataValidation type="list" allowBlank="1" showInputMessage="1" showErrorMessage="1" xr:uid="{C6C03A99-B6A4-4064-B2C6-72ECF3805E82}">
          <x14:formula1>
            <xm:f>_xlfn.ANCHORARRAY('Door Table'!$J$3)</xm:f>
          </x14:formula1>
          <xm:sqref>D18</xm:sqref>
        </x14:dataValidation>
        <x14:dataValidation type="list" allowBlank="1" showInputMessage="1" showErrorMessage="1" xr:uid="{3AF5C7ED-3E0E-40CD-BD93-2A026B9125AD}">
          <x14:formula1>
            <xm:f>_xlfn.ANCHORARRAY('Door Table'!$K$3)</xm:f>
          </x14:formula1>
          <xm:sqref>D19</xm:sqref>
        </x14:dataValidation>
        <x14:dataValidation type="list" allowBlank="1" showInputMessage="1" showErrorMessage="1" xr:uid="{7DD17E3F-4600-4723-82B9-41CB12B87DB1}">
          <x14:formula1>
            <xm:f>_xlfn.ANCHORARRAY('Door Table'!$L$3)</xm:f>
          </x14:formula1>
          <xm:sqref>D20</xm:sqref>
        </x14:dataValidation>
        <x14:dataValidation type="list" allowBlank="1" showInputMessage="1" showErrorMessage="1" xr:uid="{0C68EDAD-7BF3-4839-8A6D-B46DB0E3B5E9}">
          <x14:formula1>
            <xm:f>_xlfn.ANCHORARRAY('Door Table'!$M$3)</xm:f>
          </x14:formula1>
          <xm:sqref>D21</xm:sqref>
        </x14:dataValidation>
        <x14:dataValidation type="list" allowBlank="1" showInputMessage="1" showErrorMessage="1" xr:uid="{BF9A39DA-03E8-472D-9107-DC6021E8EEAA}">
          <x14:formula1>
            <xm:f>_xlfn.ANCHORARRAY('Door Table'!$N$3)</xm:f>
          </x14:formula1>
          <xm:sqref>D22</xm:sqref>
        </x14:dataValidation>
        <x14:dataValidation type="list" allowBlank="1" showInputMessage="1" showErrorMessage="1" xr:uid="{1FA6ECA3-1715-467F-B0BB-4667E8A155E6}">
          <x14:formula1>
            <xm:f>_xlfn.ANCHORARRAY('Door Table'!$O$3)</xm:f>
          </x14:formula1>
          <xm:sqref>D23</xm:sqref>
        </x14:dataValidation>
        <x14:dataValidation type="list" allowBlank="1" showInputMessage="1" showErrorMessage="1" xr:uid="{4CA197DC-5C71-4907-93CC-CFF60434212D}">
          <x14:formula1>
            <xm:f>_xlfn.ANCHORARRAY('Door Table'!$P$3)</xm:f>
          </x14:formula1>
          <xm:sqref>D24</xm:sqref>
        </x14:dataValidation>
        <x14:dataValidation type="list" allowBlank="1" showInputMessage="1" showErrorMessage="1" xr:uid="{2785DC0C-EB3F-449D-96BF-6919E0B7DF5E}">
          <x14:formula1>
            <xm:f>_xlfn.ANCHORARRAY('Door Table'!$Q$3)</xm:f>
          </x14:formula1>
          <xm:sqref>D25:D30</xm:sqref>
        </x14:dataValidation>
        <x14:dataValidation type="list" allowBlank="1" showInputMessage="1" showErrorMessage="1" xr:uid="{B0163EB2-C09B-40FE-BAEE-9CA816007D8C}">
          <x14:formula1>
            <xm:f>_xlfn.ANCHORARRAY('Door Table'!$D$134)</xm:f>
          </x14:formula1>
          <xm:sqref>D59</xm:sqref>
        </x14:dataValidation>
        <x14:dataValidation type="list" allowBlank="1" showInputMessage="1" showErrorMessage="1" xr:uid="{00296E44-B3F9-4D8E-8B4C-F4F9E93E90E6}">
          <x14:formula1>
            <xm:f>_xlfn.ANCHORARRAY('Door Table'!$E$134)</xm:f>
          </x14:formula1>
          <xm:sqref>D60</xm:sqref>
        </x14:dataValidation>
        <x14:dataValidation type="list" allowBlank="1" showInputMessage="1" showErrorMessage="1" xr:uid="{BAE1E12C-365D-4FE7-8342-6EC28822124E}">
          <x14:formula1>
            <xm:f>_xlfn.ANCHORARRAY('Door Table'!$F$134)</xm:f>
          </x14:formula1>
          <xm:sqref>D61</xm:sqref>
        </x14:dataValidation>
        <x14:dataValidation type="list" allowBlank="1" showInputMessage="1" showErrorMessage="1" xr:uid="{A17B4632-FC26-441E-BC1D-333FFFB6E5BE}">
          <x14:formula1>
            <xm:f>_xlfn.ANCHORARRAY('Door Table'!$G$134)</xm:f>
          </x14:formula1>
          <xm:sqref>D62</xm:sqref>
        </x14:dataValidation>
        <x14:dataValidation type="list" allowBlank="1" showInputMessage="1" showErrorMessage="1" xr:uid="{CA769AF6-AE56-4157-BC2C-DCD1229F512F}">
          <x14:formula1>
            <xm:f>_xlfn.ANCHORARRAY('Door Table'!$H$134)</xm:f>
          </x14:formula1>
          <xm:sqref>D63</xm:sqref>
        </x14:dataValidation>
        <x14:dataValidation type="list" allowBlank="1" showInputMessage="1" showErrorMessage="1" xr:uid="{FAB7924E-E3F1-4019-BF4B-7135031E2665}">
          <x14:formula1>
            <xm:f>_xlfn.ANCHORARRAY('Door Table'!$I$134)</xm:f>
          </x14:formula1>
          <xm:sqref>D64</xm:sqref>
        </x14:dataValidation>
        <x14:dataValidation type="list" allowBlank="1" showInputMessage="1" showErrorMessage="1" xr:uid="{5246A4F8-15C1-4FA0-A8A3-40562A98D8BF}">
          <x14:formula1>
            <xm:f>_xlfn.ANCHORARRAY('Door Table'!$J$134)</xm:f>
          </x14:formula1>
          <xm:sqref>D65</xm:sqref>
        </x14:dataValidation>
        <x14:dataValidation type="list" allowBlank="1" showInputMessage="1" showErrorMessage="1" xr:uid="{2793DF24-4E0F-4C2B-8600-7A9F938901BB}">
          <x14:formula1>
            <xm:f>_xlfn.ANCHORARRAY('Door Table'!$K$134)</xm:f>
          </x14:formula1>
          <xm:sqref>D66</xm:sqref>
        </x14:dataValidation>
        <x14:dataValidation type="list" allowBlank="1" showInputMessage="1" showErrorMessage="1" xr:uid="{55547DDA-3EC7-4D54-8F11-49D20BF16510}">
          <x14:formula1>
            <xm:f>_xlfn.ANCHORARRAY('Door Table'!$L$134)</xm:f>
          </x14:formula1>
          <xm:sqref>D67</xm:sqref>
        </x14:dataValidation>
        <x14:dataValidation type="list" allowBlank="1" showInputMessage="1" showErrorMessage="1" xr:uid="{9C94C860-642A-4E69-BBF5-365DB9ED04B4}">
          <x14:formula1>
            <xm:f>_xlfn.ANCHORARRAY('Door Table'!$M$134)</xm:f>
          </x14:formula1>
          <xm:sqref>D68</xm:sqref>
        </x14:dataValidation>
        <x14:dataValidation type="list" allowBlank="1" showInputMessage="1" showErrorMessage="1" xr:uid="{70676F48-7EDA-46FB-B14D-532123A0DACB}">
          <x14:formula1>
            <xm:f>_xlfn.ANCHORARRAY('Door Table'!$P$134)</xm:f>
          </x14:formula1>
          <xm:sqref>D69</xm:sqref>
        </x14:dataValidation>
        <x14:dataValidation type="list" allowBlank="1" showInputMessage="1" showErrorMessage="1" xr:uid="{417A2773-014D-4707-A81F-6FECB7CA7087}">
          <x14:formula1>
            <xm:f>_xlfn.ANCHORARRAY('Door Table'!$S$134)</xm:f>
          </x14:formula1>
          <xm:sqref>D71</xm:sqref>
        </x14:dataValidation>
        <x14:dataValidation type="list" allowBlank="1" showInputMessage="1" showErrorMessage="1" xr:uid="{EFB23806-338D-45ED-9CCC-1409E5F1929A}">
          <x14:formula1>
            <xm:f>'Cost Sheet'!$C$72</xm:f>
          </x14:formula1>
          <xm:sqref>D34</xm:sqref>
        </x14:dataValidation>
        <x14:dataValidation type="list" allowBlank="1" showInputMessage="1" showErrorMessage="1" xr:uid="{9F9CB3F8-8BEE-4D8F-86EB-F17D5FBDF781}">
          <x14:formula1>
            <xm:f>'Cost Sheet'!$C$73:$C$75</xm:f>
          </x14:formula1>
          <xm:sqref>D35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78D9A-BB33-4598-8AEB-82BD5EFC5B71}">
  <sheetPr codeName="Sheet20">
    <tabColor rgb="FFFF0000"/>
  </sheetPr>
  <dimension ref="A1:AG75"/>
  <sheetViews>
    <sheetView zoomScale="55" zoomScaleNormal="55" workbookViewId="0">
      <selection activeCell="H220" sqref="H220"/>
    </sheetView>
  </sheetViews>
  <sheetFormatPr defaultColWidth="8.58203125" defaultRowHeight="15.5" x14ac:dyDescent="0.35"/>
  <cols>
    <col min="1" max="2" width="19.83203125" style="4" customWidth="1"/>
    <col min="3" max="3" width="33.25" style="4" bestFit="1" customWidth="1"/>
    <col min="4" max="4" width="45.58203125" style="3" bestFit="1" customWidth="1"/>
    <col min="5" max="5" width="24" style="4" bestFit="1" customWidth="1"/>
    <col min="6" max="6" width="22.83203125" style="4" bestFit="1" customWidth="1"/>
    <col min="7" max="7" width="27.08203125" style="4" bestFit="1" customWidth="1"/>
    <col min="8" max="8" width="17.5" style="188" bestFit="1" customWidth="1"/>
    <col min="9" max="9" width="24.25" style="4" bestFit="1" customWidth="1"/>
    <col min="10" max="10" width="18.83203125" style="4" bestFit="1" customWidth="1"/>
    <col min="11" max="11" width="17.5" style="188" bestFit="1" customWidth="1"/>
    <col min="12" max="12" width="24" style="3" bestFit="1" customWidth="1"/>
    <col min="13" max="13" width="19.08203125" style="3" customWidth="1"/>
    <col min="14" max="14" width="27.08203125" style="16" customWidth="1"/>
    <col min="15" max="15" width="24" style="4" bestFit="1" customWidth="1"/>
    <col min="16" max="16" width="20.58203125" style="15" customWidth="1"/>
    <col min="17" max="17" width="15.75" style="4" customWidth="1"/>
    <col min="18" max="18" width="15.5" style="4" bestFit="1" customWidth="1"/>
    <col min="19" max="19" width="16.33203125" style="4" customWidth="1"/>
    <col min="20" max="20" width="17.58203125" style="4" customWidth="1"/>
    <col min="21" max="21" width="21" style="4" bestFit="1" customWidth="1"/>
    <col min="22" max="22" width="14.25" style="4" bestFit="1" customWidth="1"/>
    <col min="23" max="23" width="21.5" style="4" bestFit="1" customWidth="1"/>
    <col min="24" max="24" width="10.83203125" style="4" bestFit="1" customWidth="1"/>
    <col min="25" max="25" width="16.25" style="4" bestFit="1" customWidth="1"/>
    <col min="26" max="27" width="8.58203125" style="4"/>
    <col min="28" max="33" width="17.58203125" style="4" customWidth="1"/>
    <col min="34" max="16384" width="8.58203125" style="4"/>
  </cols>
  <sheetData>
    <row r="1" spans="1:33" x14ac:dyDescent="0.35">
      <c r="K1" s="934" t="s">
        <v>278</v>
      </c>
      <c r="L1" s="934"/>
      <c r="M1" s="19" t="s">
        <v>279</v>
      </c>
      <c r="N1" s="28" t="s">
        <v>280</v>
      </c>
    </row>
    <row r="2" spans="1:33" x14ac:dyDescent="0.35">
      <c r="A2" s="908" t="str">
        <f>'Door - Step 2'!A30</f>
        <v>DOOR TYPE DETAILS</v>
      </c>
      <c r="B2" s="942"/>
      <c r="C2" s="31" t="str">
        <f>'Door - Step 2'!C30</f>
        <v>Door Type</v>
      </c>
      <c r="D2" s="46">
        <f>'Quotation - Door 3'!$D30</f>
        <v>0</v>
      </c>
      <c r="K2" s="71" t="s">
        <v>281</v>
      </c>
      <c r="L2" s="19">
        <v>8.3330000000000001E-2</v>
      </c>
      <c r="M2" s="175"/>
      <c r="N2" s="173">
        <f>+M2*L2</f>
        <v>0</v>
      </c>
      <c r="O2" s="752" t="s">
        <v>282</v>
      </c>
      <c r="P2" s="931"/>
      <c r="Q2" s="931"/>
      <c r="R2" s="931"/>
      <c r="U2" s="162" t="s">
        <v>283</v>
      </c>
      <c r="W2" s="162" t="s">
        <v>284</v>
      </c>
      <c r="Y2" s="162" t="s">
        <v>285</v>
      </c>
      <c r="AB2" s="162" t="s">
        <v>286</v>
      </c>
    </row>
    <row r="3" spans="1:33" x14ac:dyDescent="0.35">
      <c r="A3" s="909"/>
      <c r="B3" s="943"/>
      <c r="C3" s="31" t="str">
        <f>'Door - Step 2'!C31</f>
        <v xml:space="preserve">Cooler / Freezer </v>
      </c>
      <c r="D3" s="46">
        <f>'Quotation - Door 3'!$D31</f>
        <v>0</v>
      </c>
      <c r="K3" s="935"/>
      <c r="L3" s="936"/>
      <c r="M3" s="19" t="s">
        <v>290</v>
      </c>
      <c r="N3" s="28" t="s">
        <v>291</v>
      </c>
      <c r="O3" s="151" t="s">
        <v>292</v>
      </c>
      <c r="P3" s="19">
        <v>2.5</v>
      </c>
      <c r="Q3" s="15"/>
      <c r="U3" s="4" t="s">
        <v>293</v>
      </c>
      <c r="W3" s="4" t="s">
        <v>294</v>
      </c>
      <c r="Y3" s="4" t="s">
        <v>295</v>
      </c>
      <c r="Z3" s="194">
        <f>18*'Calculation Sheet - BOM '!$L$2</f>
        <v>1.4999400000000001</v>
      </c>
      <c r="AB3" s="4" t="s">
        <v>57</v>
      </c>
    </row>
    <row r="4" spans="1:33" x14ac:dyDescent="0.35">
      <c r="A4" s="909"/>
      <c r="B4" s="943"/>
      <c r="C4" s="31" t="str">
        <f>'Door - Step 2'!C32</f>
        <v>Frame Structure</v>
      </c>
      <c r="D4" s="46">
        <f>'Quotation - Door 3'!$D32</f>
        <v>0</v>
      </c>
      <c r="K4" s="71" t="s">
        <v>299</v>
      </c>
      <c r="L4" s="19">
        <f>+L2*L2</f>
        <v>6.9438889000000004E-3</v>
      </c>
      <c r="M4" s="175"/>
      <c r="N4" s="174">
        <f>+L4*M4</f>
        <v>0</v>
      </c>
      <c r="O4" s="151" t="s">
        <v>300</v>
      </c>
      <c r="P4" s="71">
        <v>2.65</v>
      </c>
      <c r="Q4" s="15"/>
      <c r="U4" s="4" t="s">
        <v>301</v>
      </c>
      <c r="W4" s="4" t="s">
        <v>302</v>
      </c>
      <c r="Y4" s="4" t="s">
        <v>303</v>
      </c>
      <c r="Z4" s="194">
        <f>24*'Calculation Sheet - BOM '!$L$2</f>
        <v>1.9999199999999999</v>
      </c>
      <c r="AB4" s="4" t="s">
        <v>79</v>
      </c>
    </row>
    <row r="5" spans="1:33" x14ac:dyDescent="0.35">
      <c r="A5" s="909"/>
      <c r="B5" s="943"/>
      <c r="C5" s="31" t="str">
        <f>'Door - Step 2'!C33</f>
        <v>Motorized/Manual</v>
      </c>
      <c r="D5" s="46">
        <f>'Quotation - Door 3'!$D33</f>
        <v>0</v>
      </c>
      <c r="M5" s="3" t="s">
        <v>307</v>
      </c>
      <c r="N5" s="16" t="s">
        <v>280</v>
      </c>
      <c r="O5" s="46" t="s">
        <v>308</v>
      </c>
      <c r="P5" s="71">
        <f>+P4*'Cost Sheet'!Z1</f>
        <v>3.8424999999999998</v>
      </c>
      <c r="Q5" s="15"/>
      <c r="W5" s="4" t="s">
        <v>309</v>
      </c>
      <c r="Y5" s="4" t="s">
        <v>310</v>
      </c>
      <c r="Z5" s="194">
        <f>36*'Calculation Sheet - BOM '!$L$2</f>
        <v>2.9998800000000001</v>
      </c>
    </row>
    <row r="6" spans="1:33" ht="31" x14ac:dyDescent="0.35">
      <c r="A6" s="909"/>
      <c r="B6" s="943"/>
      <c r="C6" s="46" t="str">
        <f>'Door - Step 2'!C34</f>
        <v>Width (Inches)</v>
      </c>
      <c r="D6" s="46">
        <f>'Quotation - Door 3'!$D34</f>
        <v>0</v>
      </c>
      <c r="K6" s="188" t="s">
        <v>311</v>
      </c>
      <c r="L6" s="3">
        <v>3.28084</v>
      </c>
      <c r="M6" s="3">
        <v>1</v>
      </c>
      <c r="N6" s="16">
        <f>+L6*M6</f>
        <v>3.28084</v>
      </c>
      <c r="O6" s="118" t="s">
        <v>312</v>
      </c>
      <c r="P6" s="118" t="s">
        <v>313</v>
      </c>
      <c r="Q6" s="118" t="s">
        <v>314</v>
      </c>
      <c r="R6" s="118" t="s">
        <v>315</v>
      </c>
      <c r="S6" s="118" t="s">
        <v>316</v>
      </c>
      <c r="T6" s="118" t="s">
        <v>317</v>
      </c>
      <c r="W6" s="4" t="s">
        <v>93</v>
      </c>
      <c r="Y6" s="4" t="s">
        <v>318</v>
      </c>
      <c r="Z6" s="194">
        <f>48*'Calculation Sheet - BOM '!$L$2</f>
        <v>3.9998399999999998</v>
      </c>
    </row>
    <row r="7" spans="1:33" x14ac:dyDescent="0.35">
      <c r="A7" s="909"/>
      <c r="B7" s="943"/>
      <c r="C7" s="46" t="str">
        <f>'Door - Step 2'!C35</f>
        <v>Height (inches)</v>
      </c>
      <c r="D7" s="46">
        <f>'Quotation - Door 3'!$D35</f>
        <v>0</v>
      </c>
      <c r="O7" s="30">
        <v>0.60499999999999998</v>
      </c>
      <c r="P7" s="19">
        <v>3</v>
      </c>
      <c r="Q7" s="124">
        <f>O7*$P$5</f>
        <v>2.3247125</v>
      </c>
      <c r="R7" s="163">
        <f>+Q7/144</f>
        <v>1.6143836805555555E-2</v>
      </c>
      <c r="S7" s="164">
        <v>0</v>
      </c>
      <c r="T7" s="163">
        <f>+R7/(1-S7)</f>
        <v>1.6143836805555555E-2</v>
      </c>
      <c r="W7" s="4" t="s">
        <v>319</v>
      </c>
    </row>
    <row r="8" spans="1:33" x14ac:dyDescent="0.35">
      <c r="A8" s="909"/>
      <c r="B8" s="943"/>
      <c r="C8" s="46" t="str">
        <f>'Door - Step 2'!C36</f>
        <v>Depth (Inches)</v>
      </c>
      <c r="D8" s="46">
        <f>'Quotation - Door 3'!$D36</f>
        <v>0</v>
      </c>
      <c r="O8" s="30">
        <v>0.81</v>
      </c>
      <c r="P8" s="19">
        <v>4</v>
      </c>
      <c r="Q8" s="124">
        <f>O8*$P$5</f>
        <v>3.112425</v>
      </c>
      <c r="R8" s="163">
        <f>+Q8/144</f>
        <v>2.16140625E-2</v>
      </c>
      <c r="S8" s="164">
        <v>0</v>
      </c>
      <c r="T8" s="163">
        <f t="shared" ref="T8:T11" si="0">+R8/(1-S8)</f>
        <v>2.16140625E-2</v>
      </c>
      <c r="Y8" s="162" t="s">
        <v>330</v>
      </c>
    </row>
    <row r="9" spans="1:33" x14ac:dyDescent="0.35">
      <c r="A9" s="909"/>
      <c r="B9" s="943"/>
      <c r="C9" s="21" t="s">
        <v>67</v>
      </c>
      <c r="D9" s="46">
        <f>'Quotation - Door 3'!$D37</f>
        <v>0</v>
      </c>
      <c r="O9" s="30">
        <v>1.0062500000000001</v>
      </c>
      <c r="P9" s="19">
        <v>5</v>
      </c>
      <c r="Q9" s="124">
        <f>O9*$P$5</f>
        <v>3.8665156250000003</v>
      </c>
      <c r="R9" s="163">
        <f>+Q9/144</f>
        <v>2.6850802951388891E-2</v>
      </c>
      <c r="S9" s="164">
        <v>0</v>
      </c>
      <c r="T9" s="163">
        <f t="shared" si="0"/>
        <v>2.6850802951388891E-2</v>
      </c>
      <c r="W9" s="162" t="s">
        <v>197</v>
      </c>
      <c r="Y9" s="4" t="s">
        <v>86</v>
      </c>
    </row>
    <row r="10" spans="1:33" x14ac:dyDescent="0.35">
      <c r="A10" s="909"/>
      <c r="B10" s="943"/>
      <c r="C10" s="78" t="str">
        <f>'Door - Step 2'!C38</f>
        <v>QUANTITY (COUNT)</v>
      </c>
      <c r="D10" s="46">
        <f>'Quotation - Door 3'!$D38</f>
        <v>0</v>
      </c>
      <c r="O10" s="30">
        <v>1.2075</v>
      </c>
      <c r="P10" s="19">
        <v>6</v>
      </c>
      <c r="Q10" s="124">
        <f>O10*$P$5</f>
        <v>4.6398187499999999</v>
      </c>
      <c r="R10" s="163">
        <f>+Q10/144</f>
        <v>3.2220963541666668E-2</v>
      </c>
      <c r="S10" s="164">
        <v>0</v>
      </c>
      <c r="T10" s="163">
        <f t="shared" si="0"/>
        <v>3.2220963541666668E-2</v>
      </c>
      <c r="W10" s="4" t="s">
        <v>85</v>
      </c>
      <c r="Y10" s="4" t="s">
        <v>53</v>
      </c>
    </row>
    <row r="11" spans="1:33" ht="31" x14ac:dyDescent="0.35">
      <c r="D11" s="105"/>
      <c r="E11" s="931" t="s">
        <v>332</v>
      </c>
      <c r="F11" s="931"/>
      <c r="G11" s="931"/>
      <c r="H11" s="931"/>
      <c r="I11" s="931"/>
      <c r="J11" s="931" t="s">
        <v>265</v>
      </c>
      <c r="K11" s="931"/>
      <c r="L11" s="931"/>
      <c r="N11" s="169" t="s">
        <v>333</v>
      </c>
      <c r="O11" s="30">
        <f>+P11*O7/P7</f>
        <v>0.30249999999999999</v>
      </c>
      <c r="P11" s="170">
        <v>1.5</v>
      </c>
      <c r="Q11" s="124">
        <f>O11*$P$5</f>
        <v>1.16235625</v>
      </c>
      <c r="R11" s="163">
        <f>+Q11/144</f>
        <v>8.0719184027777773E-3</v>
      </c>
      <c r="S11" s="164">
        <v>0</v>
      </c>
      <c r="T11" s="163">
        <f t="shared" si="0"/>
        <v>8.0719184027777773E-3</v>
      </c>
      <c r="W11" s="4" t="s">
        <v>48</v>
      </c>
    </row>
    <row r="12" spans="1:33" ht="43.5" x14ac:dyDescent="0.35">
      <c r="A12" s="543" t="str">
        <f>'Door - Step 2'!A41</f>
        <v>DOOR AND OPTIONS SPECS</v>
      </c>
      <c r="B12" s="77" t="str">
        <f>'Door - Step 2'!B41</f>
        <v>Feature</v>
      </c>
      <c r="C12" s="77" t="str">
        <f>'Door - Step 2'!C41</f>
        <v>Door Panel and Frame</v>
      </c>
      <c r="D12" s="150">
        <f>'Quotation - Door 3'!D41</f>
        <v>0</v>
      </c>
      <c r="E12" s="160" t="s">
        <v>321</v>
      </c>
      <c r="F12" s="160" t="s">
        <v>334</v>
      </c>
      <c r="G12" s="160" t="s">
        <v>322</v>
      </c>
      <c r="H12" s="220" t="s">
        <v>335</v>
      </c>
      <c r="I12" s="160" t="s">
        <v>336</v>
      </c>
      <c r="J12" s="160" t="s">
        <v>337</v>
      </c>
      <c r="K12" s="220" t="s">
        <v>338</v>
      </c>
      <c r="L12" s="160" t="s">
        <v>339</v>
      </c>
      <c r="N12" s="172" t="s">
        <v>340</v>
      </c>
      <c r="O12" s="3">
        <v>5.75</v>
      </c>
      <c r="W12" s="4" t="s">
        <v>486</v>
      </c>
    </row>
    <row r="13" spans="1:33" ht="62" x14ac:dyDescent="0.35">
      <c r="A13" s="544"/>
      <c r="B13" s="21" t="str">
        <f>'Door - Step 2'!B42</f>
        <v>Main</v>
      </c>
      <c r="C13" s="21" t="str">
        <f>'Quotation - Door 3'!C42</f>
        <v>Door Panel</v>
      </c>
      <c r="D13" s="121">
        <f>'Quotation - Door 3'!D42</f>
        <v>0</v>
      </c>
      <c r="E13" s="71">
        <f>_xlfn.IFNA(INDEX('Cost Sheet'!$N:$N,MATCH($D13,'Cost Sheet'!$C:$C,0)),0)</f>
        <v>0</v>
      </c>
      <c r="F13" s="30">
        <f>+((($D$6*$D$7)*2)+(($D$6+$D$7)*$D$8*2))*('Calculation Sheet - BOM '!$L$2*'Calculation Sheet - BOM '!$L$2)</f>
        <v>0</v>
      </c>
      <c r="G13" s="49" t="s">
        <v>341</v>
      </c>
      <c r="H13" s="71">
        <f>('Cost Sheet'!$N$26*5*4)+((($D$6+$D$7)*2*$D$8)*('Calculation Sheet - BOM '!$L$2*'Calculation Sheet - BOM '!$L$2)*'Cost Sheet'!$N$27)+((($D$6+$D$7)*2)*'Calculation Sheet - BOM '!$L$2*'Cost Sheet'!$N$67)+((($D$6+$D$7)*2)*'Calculation Sheet - BOM '!$L$2*'Cost Sheet'!$N$68)</f>
        <v>15</v>
      </c>
      <c r="I13" s="71">
        <f>+(E13*F13)+H13</f>
        <v>15</v>
      </c>
      <c r="J13" s="71">
        <f>_xlfn.IFNA(INDEX('Cost Sheet'!$V:$V,MATCH($D13,'Cost Sheet'!$C:$C,0)),0)</f>
        <v>0</v>
      </c>
      <c r="K13" s="71">
        <f>('Cost Sheet'!$V$26*5*4)+((($D$6+$D$7)*2*$D$8)*('Calculation Sheet - BOM '!$L$2*'Calculation Sheet - BOM '!$L$2)*'Cost Sheet'!$V$27)+((($D$6+$D$7)*2)*'Calculation Sheet - BOM '!$L$2*'Cost Sheet'!$V$67)+((($D$6+$D$7)*2)*'Calculation Sheet - BOM '!$L$2*'Cost Sheet'!$V$68)</f>
        <v>15</v>
      </c>
      <c r="L13" s="71">
        <f>+(J13*F13)+K13</f>
        <v>15</v>
      </c>
      <c r="O13" s="3"/>
      <c r="P13" s="105"/>
      <c r="Q13" s="3"/>
    </row>
    <row r="14" spans="1:33" ht="43.5" x14ac:dyDescent="0.35">
      <c r="A14" s="544"/>
      <c r="B14" s="21" t="str">
        <f>'Door - Step 2'!B43</f>
        <v>Main</v>
      </c>
      <c r="C14" s="21" t="str">
        <f>'Quotation - Door 3'!C43</f>
        <v>Face Frame</v>
      </c>
      <c r="D14" s="121">
        <f>'Quotation - Door 3'!D43</f>
        <v>0</v>
      </c>
      <c r="E14" s="71">
        <f>_xlfn.IFNA(INDEX(O$14:O$24,MATCH($D14,$N$14:$N$24,0)),0)</f>
        <v>0</v>
      </c>
      <c r="F14" s="30">
        <f>_xlfn.IFNA(INDEX($Q$14:$Q$24,MATCH($D14,$N$14:$N$24,0)),0)</f>
        <v>0</v>
      </c>
      <c r="G14" s="49"/>
      <c r="H14" s="71"/>
      <c r="I14" s="71">
        <f>_xlfn.IFNA(INDEX(T14:T24,MATCH($D14,$N$14:$N$24,0)),0)</f>
        <v>0</v>
      </c>
      <c r="J14" s="71">
        <f>_xlfn.IFNA(INDEX($U$14:$U$24,MATCH($D14,$N$14:$N$24,0)),0)</f>
        <v>0</v>
      </c>
      <c r="K14" s="71"/>
      <c r="L14" s="71">
        <f>_xlfn.IFNA(INDEX($X$14:$X$24,MATCH($D14,$N$14:$N$24,0)),0)</f>
        <v>0</v>
      </c>
      <c r="N14" s="119" t="s">
        <v>343</v>
      </c>
      <c r="O14" s="160" t="s">
        <v>321</v>
      </c>
      <c r="P14" s="160" t="s">
        <v>322</v>
      </c>
      <c r="Q14" s="160" t="s">
        <v>323</v>
      </c>
      <c r="R14" s="160" t="s">
        <v>324</v>
      </c>
      <c r="S14" s="160" t="s">
        <v>134</v>
      </c>
      <c r="T14" s="160" t="s">
        <v>325</v>
      </c>
      <c r="U14" s="160" t="s">
        <v>326</v>
      </c>
      <c r="V14" s="160" t="s">
        <v>327</v>
      </c>
      <c r="W14" s="160" t="s">
        <v>328</v>
      </c>
      <c r="X14" s="160" t="s">
        <v>329</v>
      </c>
    </row>
    <row r="15" spans="1:33" x14ac:dyDescent="0.35">
      <c r="A15" s="544"/>
      <c r="B15" s="21" t="str">
        <f>'Door - Step 2'!B44</f>
        <v>Option</v>
      </c>
      <c r="C15" s="21" t="str">
        <f>'Quotation - Door 3'!C44</f>
        <v>Inside Jamb</v>
      </c>
      <c r="D15" s="121">
        <f>'Quotation - Door 3'!D44</f>
        <v>0</v>
      </c>
      <c r="E15" s="71">
        <f>_xlfn.IFNA(INDEX(O$26:O$36,MATCH($D15,$N$26:$N$36,0)),0)</f>
        <v>0</v>
      </c>
      <c r="F15" s="30">
        <f>_xlfn.IFNA(INDEX($Q$26:$Q$36,MATCH($D15,$N$26:$N$36,0)),0)</f>
        <v>0</v>
      </c>
      <c r="G15" s="49"/>
      <c r="H15" s="71"/>
      <c r="I15" s="71">
        <f>_xlfn.IFNA(INDEX(T26:T36,MATCH($D15,$N$26:$N$36,0)),0)</f>
        <v>0</v>
      </c>
      <c r="J15" s="71">
        <f>_xlfn.IFNA(INDEX($U$26:$U$36,MATCH($D15,$N$26:$N$36,0)),0)</f>
        <v>0</v>
      </c>
      <c r="K15" s="71"/>
      <c r="L15" s="71">
        <f>_xlfn.IFNA(INDEX($X$26:$X$36,MATCH($D15,$N$26:$N$36,0)),0)</f>
        <v>0</v>
      </c>
      <c r="N15" s="28" t="s">
        <v>344</v>
      </c>
      <c r="O15" s="71">
        <f>+IF($D$3="Freezer",'Cost Sheet'!$N$22,'Cost Sheet'!$N$21)</f>
        <v>11.36</v>
      </c>
      <c r="P15" s="171" t="s">
        <v>345</v>
      </c>
      <c r="Q15" s="30">
        <f>((($D$6*2)+(($D$7+($O$12*2))*2))*'Calculation Sheet - BOM '!$L$2)</f>
        <v>1.91659</v>
      </c>
      <c r="R15" s="71">
        <f>+Q15*O15</f>
        <v>21.772462399999998</v>
      </c>
      <c r="S15" s="71" cm="1">
        <f t="array" ref="S15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15" s="71">
        <f t="shared" ref="T15:T24" si="1">+R15+S15</f>
        <v>21.772462399999998</v>
      </c>
      <c r="U15" s="71">
        <f>+IF($D$3="Freezer",'Cost Sheet'!$V$22,'Cost Sheet'!$V$21)</f>
        <v>11.36</v>
      </c>
      <c r="V15" s="71">
        <f>+U15*Q15</f>
        <v>21.772462399999998</v>
      </c>
      <c r="W15" s="71" cm="1">
        <f t="array" ref="W15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15" s="71">
        <f t="shared" ref="X15:X24" si="2">+V15+W15</f>
        <v>21.772462399999998</v>
      </c>
      <c r="AB15" s="750" t="s">
        <v>180</v>
      </c>
      <c r="AC15" s="751"/>
      <c r="AD15" s="751"/>
      <c r="AE15" s="751"/>
      <c r="AF15" s="751"/>
      <c r="AG15" s="752"/>
    </row>
    <row r="16" spans="1:33" ht="31" x14ac:dyDescent="0.35">
      <c r="A16" s="544"/>
      <c r="B16" s="21" t="str">
        <f>'Door - Step 2'!B45</f>
        <v>Option</v>
      </c>
      <c r="C16" s="21" t="str">
        <f>'Quotation - Door 3'!C45</f>
        <v>Back Frame</v>
      </c>
      <c r="D16" s="121">
        <f>'Quotation - Door 3'!D45</f>
        <v>0</v>
      </c>
      <c r="E16" s="71">
        <f>_xlfn.IFNA(INDEX(O$38:O$58,MATCH($D16,$N$38:$N$58,0)),0)</f>
        <v>0</v>
      </c>
      <c r="F16" s="30">
        <f>_xlfn.IFNA(INDEX($Q$38:$Q$58,MATCH($D16,$N$38:$N$58,0)),0)</f>
        <v>0</v>
      </c>
      <c r="G16" s="49"/>
      <c r="H16" s="71"/>
      <c r="I16" s="71">
        <f>_xlfn.IFNA(INDEX(T38:T58,MATCH($D16,$N$38:$N$58,0)),0)</f>
        <v>0</v>
      </c>
      <c r="J16" s="71">
        <f>_xlfn.IFNA(INDEX($U$38:$U$58,MATCH($D16,$N$38:$N$58,0)),0)</f>
        <v>0</v>
      </c>
      <c r="K16" s="71"/>
      <c r="L16" s="71">
        <f>_xlfn.IFNA(INDEX($X$38:$X$58,MATCH($D16,$N$38:$N$58,0)),0)</f>
        <v>0</v>
      </c>
      <c r="N16" s="28" t="s">
        <v>346</v>
      </c>
      <c r="O16" s="71">
        <f>+$O$15+'Cost Sheet'!$N$10</f>
        <v>12.956203623813632</v>
      </c>
      <c r="P16" s="49" t="s">
        <v>347</v>
      </c>
      <c r="Q16" s="30">
        <f>((($D$6*2)+(($D$7+($O$12*2))*2))*'Calculation Sheet - BOM '!$L$2)</f>
        <v>1.91659</v>
      </c>
      <c r="R16" s="71">
        <f>($O$15*$Q$15)+('Cost Sheet'!$N$10*2*$Q$19)</f>
        <v>27.635824670910267</v>
      </c>
      <c r="S16" s="71" cm="1">
        <f t="array" ref="S16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16" s="71">
        <f t="shared" si="1"/>
        <v>27.635824670910267</v>
      </c>
      <c r="U16" s="71">
        <f>+$U$15+'Cost Sheet'!$V$10</f>
        <v>12.956203623813632</v>
      </c>
      <c r="V16" s="71">
        <f>($U$15*$Q$15)+('Cost Sheet'!$P$10*2*$Q$19)</f>
        <v>27.635824670910267</v>
      </c>
      <c r="W16" s="71" cm="1">
        <f t="array" ref="W16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16" s="71">
        <f t="shared" si="2"/>
        <v>27.635824670910267</v>
      </c>
      <c r="AB16" s="751" t="s">
        <v>482</v>
      </c>
      <c r="AC16" s="751"/>
      <c r="AD16" s="751"/>
      <c r="AE16" s="752"/>
      <c r="AF16" s="932" t="s">
        <v>389</v>
      </c>
      <c r="AG16" s="933"/>
    </row>
    <row r="17" spans="1:33" ht="46.5" x14ac:dyDescent="0.35">
      <c r="A17" s="544"/>
      <c r="B17" s="21" t="str">
        <f>'Door - Step 2'!B46</f>
        <v>Option</v>
      </c>
      <c r="C17" s="21" t="str">
        <f>'Quotation - Door 3'!C46</f>
        <v>Freezer Door</v>
      </c>
      <c r="D17" s="121">
        <f>'Quotation - Door 3'!D46</f>
        <v>0</v>
      </c>
      <c r="E17" s="19"/>
      <c r="F17" s="20"/>
      <c r="G17" s="20"/>
      <c r="H17" s="71"/>
      <c r="I17" s="71">
        <f>IF($D17=0,0,'Cost Sheet'!$N$28)</f>
        <v>0</v>
      </c>
      <c r="J17" s="20"/>
      <c r="K17" s="71"/>
      <c r="L17" s="71">
        <f>IF($D17=0,0,'Cost Sheet'!$V$28)</f>
        <v>0</v>
      </c>
      <c r="N17" s="28" t="s">
        <v>348</v>
      </c>
      <c r="O17" s="71">
        <f>+$O$15+'Cost Sheet'!$N$3</f>
        <v>12.542357301704966</v>
      </c>
      <c r="P17" s="49" t="s">
        <v>349</v>
      </c>
      <c r="Q17" s="30">
        <f>((($D$6*2)+(($D$7+($O$12*2))*2))*'Calculation Sheet - BOM '!$L$2)</f>
        <v>1.91659</v>
      </c>
      <c r="R17" s="71">
        <f>($O$15*$Q$15)+('Cost Sheet'!$N$3*2*$Q$19)</f>
        <v>26.115635846122682</v>
      </c>
      <c r="S17" s="71" cm="1">
        <f t="array" ref="S17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17" s="71">
        <f t="shared" si="1"/>
        <v>26.115635846122682</v>
      </c>
      <c r="U17" s="71">
        <f>+$U$15+'Cost Sheet'!$V$3</f>
        <v>12.542357301704966</v>
      </c>
      <c r="V17" s="71">
        <f>($U$15*$Q$15)+('Cost Sheet'!$P$3*2*$Q$19)</f>
        <v>26.115635846122682</v>
      </c>
      <c r="W17" s="71" cm="1">
        <f t="array" ref="W17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17" s="71">
        <f t="shared" si="2"/>
        <v>26.115635846122682</v>
      </c>
      <c r="AB17" s="46" t="s">
        <v>483</v>
      </c>
      <c r="AC17" s="19">
        <v>20</v>
      </c>
      <c r="AD17" s="19">
        <v>30</v>
      </c>
      <c r="AE17" s="19">
        <v>8</v>
      </c>
      <c r="AF17" s="165" t="s">
        <v>484</v>
      </c>
      <c r="AG17" s="165" t="s">
        <v>388</v>
      </c>
    </row>
    <row r="18" spans="1:33" ht="46.5" x14ac:dyDescent="0.35">
      <c r="A18" s="544"/>
      <c r="B18" s="21" t="str">
        <f>'Door - Step 2'!B47</f>
        <v>Option</v>
      </c>
      <c r="C18" s="21" t="str">
        <f>'Quotation - Door 3'!C47</f>
        <v>Kick Plate Material</v>
      </c>
      <c r="D18" s="121">
        <f>'Quotation - Door 3'!D47</f>
        <v>0</v>
      </c>
      <c r="E18" s="940">
        <f>_xlfn.IFNA((INDEX('Cost Sheet'!$N:$N,MATCH('Quotation - Door 3'!$D$47,'Cost Sheet'!$C:$C,0))*(($D$6*'Calculation Sheet - BOM '!$L$2)*(INDEX('Calculation Sheet - BOM '!$Z$3:$Z$6,MATCH('Quotation - Door 3'!$D$48,'Calculation Sheet - BOM '!$Y$3:$Y$6,0))))),0)</f>
        <v>0</v>
      </c>
      <c r="F18" s="950"/>
      <c r="G18" s="950" t="s">
        <v>133</v>
      </c>
      <c r="H18" s="944">
        <f>+IF(D19=0,0,INDEX('Accessories Install - Labour'!$E:$E,MATCH(D19,'Accessories Install - Labour'!$C:$C,0)))</f>
        <v>0</v>
      </c>
      <c r="I18" s="940">
        <f>+E18+H18</f>
        <v>0</v>
      </c>
      <c r="J18" s="940">
        <f>_xlfn.IFNA((INDEX('Cost Sheet'!$V:$V,MATCH('Quotation - Door 3'!$D$47,'Cost Sheet'!$C:$C,0))*(($D$6*'Calculation Sheet - BOM '!$L$2)*(INDEX('Calculation Sheet - BOM '!$Z$3:$Z$6,MATCH('Quotation - Door 3'!$D$48,'Calculation Sheet - BOM '!$Y$3:$Y$6,0))))),0)</f>
        <v>0</v>
      </c>
      <c r="K18" s="944">
        <f>+IF(D19=0,0,INDEX('Accessories Install - Labour'!$F:$F,MATCH(D19,'Accessories Install - Labour'!$C:$C,0)))</f>
        <v>0</v>
      </c>
      <c r="L18" s="940">
        <f>+J18+K18</f>
        <v>0</v>
      </c>
      <c r="N18" s="28" t="s">
        <v>350</v>
      </c>
      <c r="O18" s="71">
        <f>+$O$15+'Cost Sheet'!$N$5</f>
        <v>12.476670784943579</v>
      </c>
      <c r="P18" s="49" t="s">
        <v>349</v>
      </c>
      <c r="Q18" s="30">
        <f>((($D$6*2)+(($D$7+($O$12*2))*2))*'Calculation Sheet - BOM '!$L$2)</f>
        <v>1.91659</v>
      </c>
      <c r="R18" s="71">
        <f>($O$15*$Q$15)+('Cost Sheet'!$N$5*2*$Q$19)</f>
        <v>25.874348432449199</v>
      </c>
      <c r="S18" s="71" cm="1">
        <f t="array" ref="S18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18" s="71">
        <f t="shared" si="1"/>
        <v>25.874348432449199</v>
      </c>
      <c r="U18" s="71">
        <f>+$U$15+'Cost Sheet'!$V$5</f>
        <v>12.476670784943579</v>
      </c>
      <c r="V18" s="71">
        <f>($U$15*$Q$15)+('Cost Sheet'!$P$5*2*$Q$19)</f>
        <v>25.874348432449199</v>
      </c>
      <c r="W18" s="71" cm="1">
        <f t="array" ref="W18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18" s="71">
        <f t="shared" si="2"/>
        <v>25.874348432449199</v>
      </c>
      <c r="AB18" s="46"/>
      <c r="AC18" s="19"/>
      <c r="AD18" s="19"/>
      <c r="AE18" s="19"/>
      <c r="AF18" s="167"/>
      <c r="AG18" s="167"/>
    </row>
    <row r="19" spans="1:33" ht="46.5" x14ac:dyDescent="0.35">
      <c r="A19" s="544"/>
      <c r="B19" s="21" t="str">
        <f>'Door - Step 2'!B48</f>
        <v>Option</v>
      </c>
      <c r="C19" s="21" t="str">
        <f>'Quotation - Door 3'!C48</f>
        <v>Kick Plate Size</v>
      </c>
      <c r="D19" s="121">
        <f>'Quotation - Door 3'!D48</f>
        <v>0</v>
      </c>
      <c r="E19" s="940"/>
      <c r="F19" s="951"/>
      <c r="G19" s="951"/>
      <c r="H19" s="945"/>
      <c r="I19" s="940"/>
      <c r="J19" s="940"/>
      <c r="K19" s="945"/>
      <c r="L19" s="940"/>
      <c r="N19" s="28" t="s">
        <v>351</v>
      </c>
      <c r="O19" s="71">
        <f>+'Cost Sheet'!$N$27+'Cost Sheet'!$N$10</f>
        <v>2.7368286238136323</v>
      </c>
      <c r="P19" s="49" t="s">
        <v>352</v>
      </c>
      <c r="Q19" s="30">
        <f>SUM((($O$12*($D$7+(2*$O$12)))),($O$12*($D$6+(2*$O$12))))*2*$L$4</f>
        <v>1.8366586140500001</v>
      </c>
      <c r="R19" s="71">
        <f>+O19*Q19*2</f>
        <v>10.05323973421183</v>
      </c>
      <c r="S19" s="71" cm="1">
        <f t="array" ref="S19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19" s="71">
        <f t="shared" si="1"/>
        <v>10.05323973421183</v>
      </c>
      <c r="U19" s="71">
        <f>+'Cost Sheet'!$V$27+'Cost Sheet'!$V$10</f>
        <v>2.7368286238136323</v>
      </c>
      <c r="V19" s="71">
        <f>+Q19*U19*2</f>
        <v>10.05323973421183</v>
      </c>
      <c r="W19" s="71" cm="1">
        <f t="array" ref="W19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19" s="71">
        <f t="shared" si="2"/>
        <v>10.05323973421183</v>
      </c>
      <c r="AB19" s="46"/>
      <c r="AC19" s="19"/>
      <c r="AD19" s="19"/>
      <c r="AE19" s="19"/>
      <c r="AF19" s="167"/>
      <c r="AG19" s="167"/>
    </row>
    <row r="20" spans="1:33" ht="46.5" x14ac:dyDescent="0.35">
      <c r="A20" s="544"/>
      <c r="B20" s="21" t="str">
        <f>'Door - Step 2'!B49</f>
        <v>Option</v>
      </c>
      <c r="C20" s="21" t="str">
        <f>'Quotation - Door 3'!C49</f>
        <v>Kick Plate Location</v>
      </c>
      <c r="D20" s="121">
        <f>'Quotation - Door 3'!D49</f>
        <v>0</v>
      </c>
      <c r="E20" s="940"/>
      <c r="F20" s="952"/>
      <c r="G20" s="952"/>
      <c r="H20" s="946"/>
      <c r="I20" s="940"/>
      <c r="J20" s="940"/>
      <c r="K20" s="946"/>
      <c r="L20" s="940"/>
      <c r="N20" s="28" t="s">
        <v>353</v>
      </c>
      <c r="O20" s="71">
        <f>+'Cost Sheet'!$N$27+'Cost Sheet'!$N$3</f>
        <v>2.3229823017049664</v>
      </c>
      <c r="P20" s="49" t="s">
        <v>352</v>
      </c>
      <c r="Q20" s="30">
        <f>SUM((($O$12*($D$7+(2*$O$12)))),($O$12*($D$6+(2*$O$12))))*2*$L$4</f>
        <v>1.8366586140500001</v>
      </c>
      <c r="R20" s="71">
        <f>+O20*Q20*2</f>
        <v>8.5330509094242455</v>
      </c>
      <c r="S20" s="71" cm="1">
        <f t="array" ref="S20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20" s="71">
        <f t="shared" si="1"/>
        <v>8.5330509094242455</v>
      </c>
      <c r="U20" s="71">
        <f>+'Cost Sheet'!$V$27+'Cost Sheet'!$V$3</f>
        <v>2.3229823017049664</v>
      </c>
      <c r="V20" s="71">
        <f>+Q20*U20*2</f>
        <v>8.5330509094242455</v>
      </c>
      <c r="W20" s="71" cm="1">
        <f t="array" ref="W20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20" s="71">
        <f t="shared" si="2"/>
        <v>8.5330509094242455</v>
      </c>
      <c r="AB20" s="46"/>
      <c r="AC20" s="19"/>
      <c r="AD20" s="19"/>
      <c r="AE20" s="19"/>
      <c r="AF20" s="167"/>
      <c r="AG20" s="167"/>
    </row>
    <row r="21" spans="1:33" ht="46.5" x14ac:dyDescent="0.35">
      <c r="A21" s="544"/>
      <c r="B21" s="21" t="str">
        <f>'Door - Step 2'!B50</f>
        <v>Option</v>
      </c>
      <c r="C21" s="21" t="str">
        <f>'Quotation - Door 3'!C50</f>
        <v>ViewPort Window Size</v>
      </c>
      <c r="D21" s="121">
        <f>'Quotation - Door 3'!D50</f>
        <v>0</v>
      </c>
      <c r="E21" s="71">
        <f>IF($D21=0,0,(INDEX('Cost Sheet'!$N:$N,MATCH('Quotation - Door 3'!$D50,'Cost Sheet'!$C:$C,0))))</f>
        <v>0</v>
      </c>
      <c r="F21" s="20"/>
      <c r="G21" s="121" t="s">
        <v>354</v>
      </c>
      <c r="H21" s="71">
        <f>+IF(D21=0,0,INDEX('Accessories Install - Labour'!$E:$E,MATCH($D21,'Accessories Install - Labour'!$C:$C,0)))+IF(D21=0,0,('Cost Sheet'!$N$65*40*'Calculation Sheet - BOM '!$L$2))</f>
        <v>0</v>
      </c>
      <c r="I21" s="71">
        <f>+E21+H21</f>
        <v>0</v>
      </c>
      <c r="J21" s="71">
        <f>IF($D21=0,0,(INDEX('Cost Sheet'!$V:$V,MATCH('Quotation - Door 3'!$D50,'Cost Sheet'!$C:$C,0))))</f>
        <v>0</v>
      </c>
      <c r="K21" s="71">
        <f>+IF(D21=0,0,INDEX('Accessories Install - Labour'!$F:$F,MATCH($D21,'Accessories Install - Labour'!$C:$C,0)))+IF(D21=0,0,('Cost Sheet'!$S$65*40*'Calculation Sheet - BOM '!$L$2))</f>
        <v>0</v>
      </c>
      <c r="L21" s="71">
        <f>+J21+K21</f>
        <v>0</v>
      </c>
      <c r="N21" s="28" t="s">
        <v>355</v>
      </c>
      <c r="O21" s="71">
        <f>+'Cost Sheet'!$N$27+'Cost Sheet'!$N$5</f>
        <v>2.2572957849435795</v>
      </c>
      <c r="P21" s="49" t="s">
        <v>352</v>
      </c>
      <c r="Q21" s="30">
        <f>SUM((($O$12*($D$7+(2*$O$12)))),($O$12*($D$6+(2*$O$12))))*2*$L$4</f>
        <v>1.8366586140500001</v>
      </c>
      <c r="R21" s="71">
        <f>+O21*Q21*2</f>
        <v>8.2917634957507644</v>
      </c>
      <c r="S21" s="71" cm="1">
        <f t="array" ref="S21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21" s="71">
        <f t="shared" si="1"/>
        <v>8.2917634957507644</v>
      </c>
      <c r="U21" s="71">
        <f>+'Cost Sheet'!$V$27+'Cost Sheet'!$V$5</f>
        <v>2.2572957849435795</v>
      </c>
      <c r="V21" s="71">
        <f>+Q21*U21*2</f>
        <v>8.2917634957507644</v>
      </c>
      <c r="W21" s="71" cm="1">
        <f t="array" ref="W21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21" s="71">
        <f t="shared" si="2"/>
        <v>8.2917634957507644</v>
      </c>
      <c r="AB21" s="46"/>
      <c r="AC21" s="19"/>
      <c r="AD21" s="19"/>
      <c r="AE21" s="19"/>
      <c r="AF21" s="167"/>
      <c r="AG21" s="167"/>
    </row>
    <row r="22" spans="1:33" ht="31" x14ac:dyDescent="0.35">
      <c r="A22" s="544"/>
      <c r="B22" s="21" t="str">
        <f>'Door - Step 2'!B51</f>
        <v>Option</v>
      </c>
      <c r="C22" s="21" t="str">
        <f>'Quotation - Door 3'!C51</f>
        <v>ViewPort Window Type</v>
      </c>
      <c r="D22" s="121">
        <f>'Quotation - Door 3'!D51</f>
        <v>0</v>
      </c>
      <c r="E22" s="19" t="str">
        <f>+IF($D22="Insulated",(5*'Cost Sheet'!$N$65),IF($D22="Heated",(5*3*'Cost Sheet'!$N$102),""))</f>
        <v/>
      </c>
      <c r="F22" s="20"/>
      <c r="G22" s="19" t="s">
        <v>133</v>
      </c>
      <c r="H22" s="71">
        <f>+IF(D22=0,0,IF(D22="Insulated",INDEX('Accessories Install - Labour'!$E:$E,MATCH(CONCATENATE(D22,D21),'Accessories Install - Labour'!$C:$C,0)),IF(D22="Heated",INDEX('Accessories Install - Labour'!$E:$E,MATCH(CONCATENATE(D22,D21),'Accessories Install - Labour'!$C:$C,0)),IF(D22="Other","Cost Required - Purchasing"))))</f>
        <v>0</v>
      </c>
      <c r="I22" s="71">
        <f>IFERROR((IF($D22="Insulated",(5*'Cost Sheet'!$N$65),IF($D22="Heated",(5*3*'Cost Sheet'!$N$102),""))+H22),0)</f>
        <v>0</v>
      </c>
      <c r="J22" s="20"/>
      <c r="K22" s="71">
        <f>+IF(D22=0,0,IF(D22="Insulated",INDEX('Accessories Install - Labour'!$F:$F,MATCH(CONCATENATE(D22,D21),'Accessories Install - Labour'!$C:$C,0)),IF(D22="Heated",INDEX('Accessories Install - Labour'!$F:$F,MATCH(CONCATENATE(D22,D21),'Accessories Install - Labour'!$C:$C,0)),IF(D22="Other","Cost Required - Purchasing"))))</f>
        <v>0</v>
      </c>
      <c r="L22" s="71">
        <f>IFERROR((IF($D22="Insulated",(5*'Cost Sheet'!$V$65),IF($D22="Heated",(5*3*'Cost Sheet'!$V$102),""))+K22),0)</f>
        <v>0</v>
      </c>
      <c r="N22" s="28" t="s">
        <v>356</v>
      </c>
      <c r="O22" s="71">
        <f>+'Cost Sheet'!$N$24+'Cost Sheet'!$N$10</f>
        <v>6.0253702904802982</v>
      </c>
      <c r="P22" s="49" t="s">
        <v>347</v>
      </c>
      <c r="Q22" s="30">
        <f>((($D$6*2)+(($D$7+($O$12*2))*2))*'Calculation Sheet - BOM '!$L$2)</f>
        <v>1.91659</v>
      </c>
      <c r="R22" s="71">
        <f>('Cost Sheet'!$N$24*$Q22)+('Cost Sheet'!$N$10*$Q$21)</f>
        <v>11.420577677121798</v>
      </c>
      <c r="S22" s="71" cm="1">
        <f t="array" ref="S22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22" s="71">
        <f t="shared" si="1"/>
        <v>11.420577677121798</v>
      </c>
      <c r="U22" s="71">
        <f>+'Cost Sheet'!$V$24+'Cost Sheet'!$V$10</f>
        <v>6.0253702904802982</v>
      </c>
      <c r="V22" s="71">
        <f>('Cost Sheet'!$P$24*$Q22)+('Cost Sheet'!$P$10*$Q$21)</f>
        <v>11.420577677121798</v>
      </c>
      <c r="W22" s="71" cm="1">
        <f t="array" ref="W22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22" s="71">
        <f t="shared" si="2"/>
        <v>11.420577677121798</v>
      </c>
      <c r="AB22" s="46"/>
      <c r="AC22" s="19"/>
      <c r="AD22" s="19"/>
      <c r="AE22" s="19"/>
      <c r="AF22" s="167"/>
      <c r="AG22" s="167"/>
    </row>
    <row r="23" spans="1:33" ht="46.5" x14ac:dyDescent="0.35">
      <c r="A23" s="544"/>
      <c r="B23" s="21" t="str">
        <f>'Door - Step 2'!B52</f>
        <v>Not Required</v>
      </c>
      <c r="C23" s="21" t="str">
        <f>'Quotation - Door 3'!C52</f>
        <v>Motion Sensor</v>
      </c>
      <c r="D23" s="121">
        <f>'Quotation - Door 3'!D52</f>
        <v>0</v>
      </c>
      <c r="E23" s="71">
        <f>IF($D23=0,0,(INDEX('Cost Sheet'!$N:$N,MATCH('Quotation - Door 3'!$D52,'Cost Sheet'!$C:$C,0))))</f>
        <v>0</v>
      </c>
      <c r="F23" s="20"/>
      <c r="G23" s="19" t="s">
        <v>133</v>
      </c>
      <c r="H23" s="71"/>
      <c r="I23" s="71">
        <f>IF($D23=0,0,(INDEX('Cost Sheet'!$N:$N,MATCH('Quotation - Door 3'!$D52,'Cost Sheet'!$C:$C,0))))</f>
        <v>0</v>
      </c>
      <c r="J23" s="20"/>
      <c r="K23" s="71"/>
      <c r="L23" s="71">
        <f>IF($D23=0,0,(INDEX('Cost Sheet'!$V:$V,MATCH('Quotation - Door 2'!$D52,'Cost Sheet'!$C:$C,0))))</f>
        <v>0</v>
      </c>
      <c r="N23" s="28" t="s">
        <v>55</v>
      </c>
      <c r="O23" s="71">
        <f>+'Cost Sheet'!$N$24+'Cost Sheet'!$N$3</f>
        <v>5.6115239683716327</v>
      </c>
      <c r="P23" s="49" t="s">
        <v>349</v>
      </c>
      <c r="Q23" s="30">
        <f>((($D$6*2)+(($D$7+($O$12*2))*2))*'Calculation Sheet - BOM '!$L$2)</f>
        <v>1.91659</v>
      </c>
      <c r="R23" s="71">
        <f>('Cost Sheet'!$N$24*$Q23)+('Cost Sheet'!$N$3*$Q$21)</f>
        <v>10.660483264728008</v>
      </c>
      <c r="S23" s="71" cm="1">
        <f t="array" ref="S23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23" s="71">
        <f t="shared" si="1"/>
        <v>10.660483264728008</v>
      </c>
      <c r="U23" s="71">
        <f>+'Cost Sheet'!$V$24+'Cost Sheet'!$V$3</f>
        <v>5.6115239683716327</v>
      </c>
      <c r="V23" s="71">
        <f>('Cost Sheet'!$P$24*$Q23)+('Cost Sheet'!$P$3*$Q$21)</f>
        <v>10.660483264728008</v>
      </c>
      <c r="W23" s="71" cm="1">
        <f t="array" ref="W23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23" s="71">
        <f t="shared" si="2"/>
        <v>10.660483264728008</v>
      </c>
      <c r="AB23" s="46"/>
      <c r="AC23" s="19"/>
      <c r="AD23" s="19"/>
      <c r="AE23" s="19"/>
      <c r="AF23" s="167"/>
      <c r="AG23" s="167"/>
    </row>
    <row r="24" spans="1:33" ht="46.5" x14ac:dyDescent="0.35">
      <c r="A24" s="544"/>
      <c r="B24" s="21" t="str">
        <f>'Door - Step 2'!B53</f>
        <v>Not Required</v>
      </c>
      <c r="C24" s="21" t="str">
        <f>'Quotation - Door 3'!C53</f>
        <v>Additional Heater Location</v>
      </c>
      <c r="D24" s="121">
        <f>'Quotation - Door 3'!D53</f>
        <v>0</v>
      </c>
      <c r="E24" s="71">
        <f>IF($D24=0,0,(E71*4*((($D$6+$D$7)*2)*$L$2)))</f>
        <v>0</v>
      </c>
      <c r="F24" s="20"/>
      <c r="G24" s="20"/>
      <c r="H24" s="71"/>
      <c r="I24" s="71">
        <f>IF($D24=0,0,(I71*4*((($D$6+$D$7)*2)*$L$2)))</f>
        <v>0</v>
      </c>
      <c r="J24" s="20"/>
      <c r="K24" s="71"/>
      <c r="L24" s="71">
        <f>IF($D24=0,0,(L71*4*((($D$6+$D$7)*2)*$L$2)))</f>
        <v>0</v>
      </c>
      <c r="N24" s="28" t="s">
        <v>357</v>
      </c>
      <c r="O24" s="71">
        <f>+'Cost Sheet'!$N$24+'Cost Sheet'!$N$5</f>
        <v>5.5458374516102458</v>
      </c>
      <c r="P24" s="49" t="s">
        <v>349</v>
      </c>
      <c r="Q24" s="30">
        <f>((($D$6*2)+(($D$7+($O$12*2))*2))*'Calculation Sheet - BOM '!$L$2)</f>
        <v>1.91659</v>
      </c>
      <c r="R24" s="71">
        <f>('Cost Sheet'!$N$24*$Q24)+('Cost Sheet'!$N$5*$Q$21)</f>
        <v>10.539839557891266</v>
      </c>
      <c r="S24" s="71" cm="1">
        <f t="array" ref="S24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24" s="71">
        <f t="shared" si="1"/>
        <v>10.539839557891266</v>
      </c>
      <c r="U24" s="71">
        <f>+'Cost Sheet'!$V$24+'Cost Sheet'!$V$5</f>
        <v>5.5458374516102458</v>
      </c>
      <c r="V24" s="71">
        <f>('Cost Sheet'!$P$24*$Q24)+('Cost Sheet'!$P$5*$Q$21)</f>
        <v>10.539839557891266</v>
      </c>
      <c r="W24" s="71" cm="1">
        <f t="array" ref="W24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24" s="71">
        <f t="shared" si="2"/>
        <v>10.539839557891266</v>
      </c>
      <c r="AB24" s="46" t="s">
        <v>378</v>
      </c>
      <c r="AC24" s="19" t="s">
        <v>381</v>
      </c>
      <c r="AD24" s="19" t="s">
        <v>382</v>
      </c>
      <c r="AE24" s="19" t="s">
        <v>383</v>
      </c>
    </row>
    <row r="25" spans="1:33" x14ac:dyDescent="0.35">
      <c r="A25" s="544"/>
      <c r="B25" s="21" t="str">
        <f>'Door - Step 2'!B54</f>
        <v/>
      </c>
      <c r="C25" s="21" t="str">
        <f ca="1">'Quotation - Door 3'!C54</f>
        <v/>
      </c>
      <c r="D25" s="121">
        <f>'Quotation - Door 3'!D54</f>
        <v>0</v>
      </c>
      <c r="E25" s="71">
        <f>IF($D25=0,0,(INDEX('Cost Sheet'!$N:$N,MATCH('Quotation - Door 3'!$D54,'Cost Sheet'!$C:$C,0))))*2</f>
        <v>0</v>
      </c>
      <c r="F25" s="20"/>
      <c r="G25" s="19" t="s">
        <v>133</v>
      </c>
      <c r="H25" s="71">
        <f>+'Accessories Install - Labour'!$E$15*2</f>
        <v>26</v>
      </c>
      <c r="I25" s="71">
        <f>IF($D25=0,0,(INDEX('Cost Sheet'!$N:$N,MATCH('Quotation - Door 3'!$D54,'Cost Sheet'!$C:$C,0))))+H25</f>
        <v>26</v>
      </c>
      <c r="J25" s="71">
        <f>IF($D25=0,0,(INDEX('Cost Sheet'!$V:$V,MATCH('Quotation - Door 3'!$D54,'Cost Sheet'!$C:$C,0))))*2</f>
        <v>0</v>
      </c>
      <c r="K25" s="71">
        <f>+'Accessories Install - Labour'!$F$15*2</f>
        <v>26</v>
      </c>
      <c r="L25" s="71">
        <f>+K25+J25</f>
        <v>26</v>
      </c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AB25" s="46" t="s">
        <v>386</v>
      </c>
      <c r="AC25" s="19">
        <f>+AC17*12</f>
        <v>240</v>
      </c>
      <c r="AD25" s="19">
        <f>+AD17*12</f>
        <v>360</v>
      </c>
      <c r="AE25" s="19">
        <f>+AE17*12</f>
        <v>96</v>
      </c>
      <c r="AF25" s="19">
        <f>+((AC25*AE25)*2)+((AD25*AE25)*2)</f>
        <v>115200</v>
      </c>
      <c r="AG25" s="3">
        <f>+AF25/144</f>
        <v>800</v>
      </c>
    </row>
    <row r="26" spans="1:33" ht="43.5" x14ac:dyDescent="0.35">
      <c r="A26" s="544"/>
      <c r="B26" s="21" t="str">
        <f>'Door - Step 2'!B55</f>
        <v/>
      </c>
      <c r="C26" s="21">
        <f>'Quotation - Door 3'!C55</f>
        <v>0</v>
      </c>
      <c r="D26" s="121">
        <f>'Quotation - Door 3'!D55</f>
        <v>0</v>
      </c>
      <c r="E26" s="71">
        <f>IF($D26=0,0,(INDEX('Cost Sheet'!$N:$N,MATCH('Quotation - Door 3'!$D55,'Cost Sheet'!$C:$C,0))))</f>
        <v>0</v>
      </c>
      <c r="F26" s="20"/>
      <c r="G26" s="19" t="s">
        <v>133</v>
      </c>
      <c r="H26" s="71">
        <f>+'Accessories Install - Labour'!$E$17</f>
        <v>21.666666666666668</v>
      </c>
      <c r="I26" s="71">
        <f>+E26+H26</f>
        <v>21.666666666666668</v>
      </c>
      <c r="J26" s="71">
        <f>IF($D26=0,0,(INDEX('Cost Sheet'!$V:$V,MATCH('Quotation - Door 3'!$D55,'Cost Sheet'!$C:$C,0))))*2</f>
        <v>0</v>
      </c>
      <c r="K26" s="71">
        <f>+'Accessories Install - Labour'!$F$17</f>
        <v>21.666666666666668</v>
      </c>
      <c r="L26" s="71">
        <f>+J26+K26</f>
        <v>21.666666666666668</v>
      </c>
      <c r="N26" s="119" t="s">
        <v>358</v>
      </c>
      <c r="O26" s="160" t="s">
        <v>321</v>
      </c>
      <c r="P26" s="160" t="s">
        <v>322</v>
      </c>
      <c r="Q26" s="160" t="s">
        <v>323</v>
      </c>
      <c r="R26" s="160" t="s">
        <v>324</v>
      </c>
      <c r="S26" s="160" t="s">
        <v>134</v>
      </c>
      <c r="T26" s="160" t="s">
        <v>325</v>
      </c>
      <c r="U26" s="160" t="s">
        <v>326</v>
      </c>
      <c r="V26" s="160" t="s">
        <v>327</v>
      </c>
      <c r="W26" s="160" t="s">
        <v>328</v>
      </c>
      <c r="X26" s="160" t="s">
        <v>329</v>
      </c>
      <c r="AB26" s="751" t="s">
        <v>485</v>
      </c>
      <c r="AC26" s="751"/>
      <c r="AD26" s="751"/>
      <c r="AE26" s="751"/>
    </row>
    <row r="27" spans="1:33" ht="31" x14ac:dyDescent="0.35">
      <c r="A27" s="544"/>
      <c r="B27" s="21" t="str">
        <f>'Door - Step 2'!B56</f>
        <v/>
      </c>
      <c r="C27" s="21">
        <f>'Quotation - Door 3'!C56</f>
        <v>0</v>
      </c>
      <c r="D27" s="121">
        <f>'Quotation - Door 3'!D56</f>
        <v>0</v>
      </c>
      <c r="E27" s="71">
        <f>IF($D27=0,0,(INDEX('Cost Sheet'!$N:$N,MATCH('Quotation - Door 3'!$D56,'Cost Sheet'!$C:$C,0))))</f>
        <v>0</v>
      </c>
      <c r="F27" s="20"/>
      <c r="G27" s="19" t="s">
        <v>133</v>
      </c>
      <c r="H27" s="71">
        <f>+IF($D27=0,0,INDEX('Accessories Install - Labour'!$E:$E,MATCH($D27,'Accessories Install - Labour'!$C:$C,0)))</f>
        <v>0</v>
      </c>
      <c r="I27" s="71">
        <f>+E27+H27</f>
        <v>0</v>
      </c>
      <c r="J27" s="71">
        <f>IF($D27=0,0,(INDEX('Cost Sheet'!$V:$V,MATCH('Quotation - Door 3'!$D56,'Cost Sheet'!$C:$C,0))))*2</f>
        <v>0</v>
      </c>
      <c r="K27" s="71">
        <f>+IF($D27=0,0,INDEX('Accessories Install - Labour'!$F:$F,MATCH($D27,'Accessories Install - Labour'!$C:$C,0)))</f>
        <v>0</v>
      </c>
      <c r="L27" s="71">
        <f>+J27+K27</f>
        <v>0</v>
      </c>
      <c r="N27" s="28" t="s">
        <v>344</v>
      </c>
      <c r="O27" s="71">
        <f>+'Cost Sheet'!$N$15</f>
        <v>3.8724791666666665</v>
      </c>
      <c r="P27" s="49" t="s">
        <v>359</v>
      </c>
      <c r="Q27" s="30">
        <f>+(($D$7*1)*$L$4)*2</f>
        <v>0</v>
      </c>
      <c r="R27" s="71">
        <f>+Q27*O27</f>
        <v>0</v>
      </c>
      <c r="S27" s="71">
        <f>+S15*0.75</f>
        <v>0</v>
      </c>
      <c r="T27" s="71">
        <f t="shared" ref="T27:T36" si="3">+R27+S27</f>
        <v>0</v>
      </c>
      <c r="U27" s="71">
        <f>+IF($D$3="Freezer",'Cost Sheet'!$V$22,'Cost Sheet'!$V$21)</f>
        <v>11.36</v>
      </c>
      <c r="V27" s="71">
        <f>+U27*Q27</f>
        <v>0</v>
      </c>
      <c r="W27" s="71">
        <f>+W15*0.75</f>
        <v>0</v>
      </c>
      <c r="X27" s="71">
        <f t="shared" ref="X27:X36" si="4">+V27+W27</f>
        <v>0</v>
      </c>
      <c r="AB27" s="144"/>
      <c r="AC27" s="144"/>
      <c r="AD27" s="144"/>
      <c r="AE27" s="144"/>
    </row>
    <row r="28" spans="1:33" ht="46.5" x14ac:dyDescent="0.35">
      <c r="A28" s="544"/>
      <c r="B28" s="21" t="str">
        <f>'Door - Step 2'!B57</f>
        <v/>
      </c>
      <c r="C28" s="21">
        <f>'Quotation - Door 3'!C57</f>
        <v>0</v>
      </c>
      <c r="D28" s="121">
        <f>'Quotation - Door 3'!D57</f>
        <v>0</v>
      </c>
      <c r="E28" s="71">
        <f>IF($D28=0,0,(INDEX('Cost Sheet'!$N:$N,MATCH('Quotation - Door 3'!$D57,'Cost Sheet'!$C:$C,0))))</f>
        <v>0</v>
      </c>
      <c r="F28" s="20"/>
      <c r="G28" s="19" t="s">
        <v>133</v>
      </c>
      <c r="H28" s="71">
        <f>+IF($D28=0,0,INDEX('Accessories Install - Labour'!$E:$E,MATCH($D28,'Accessories Install - Labour'!$C:$C,0)))</f>
        <v>0</v>
      </c>
      <c r="I28" s="71">
        <f>+E28+H28</f>
        <v>0</v>
      </c>
      <c r="J28" s="71">
        <f>IF($D28=0,0,(INDEX('Cost Sheet'!$V:$V,MATCH('Quotation - Door 3'!$D57,'Cost Sheet'!$C:$C,0))))*2</f>
        <v>0</v>
      </c>
      <c r="K28" s="71">
        <f>+IF($D28=0,0,INDEX('Accessories Install - Labour'!$F:$F,MATCH($D28,'Accessories Install - Labour'!$C:$C,0)))</f>
        <v>0</v>
      </c>
      <c r="L28" s="71">
        <f>+J28+K28</f>
        <v>0</v>
      </c>
      <c r="N28" s="28" t="s">
        <v>346</v>
      </c>
      <c r="O28" s="71">
        <f>+$O$27+'Cost Sheet'!$N$10</f>
        <v>5.4686827904802993</v>
      </c>
      <c r="P28" s="49" t="s">
        <v>360</v>
      </c>
      <c r="Q28" s="30">
        <f>+(($D$7*1)*$L$4)*2</f>
        <v>0</v>
      </c>
      <c r="R28" s="71">
        <f>($O$27*$Q$27)+('Cost Sheet'!$N$10*2*$Q$31)</f>
        <v>0</v>
      </c>
      <c r="S28" s="71">
        <f>+S16*0.75</f>
        <v>0</v>
      </c>
      <c r="T28" s="71">
        <f t="shared" si="3"/>
        <v>0</v>
      </c>
      <c r="U28" s="71">
        <f>+$U$15+'Cost Sheet'!$V$10</f>
        <v>12.956203623813632</v>
      </c>
      <c r="V28" s="71">
        <f>($U$27*$Q$27)+('Cost Sheet'!$P$10*2*$Q$31)</f>
        <v>0</v>
      </c>
      <c r="W28" s="71">
        <f>+W16*0.75</f>
        <v>0</v>
      </c>
      <c r="X28" s="71">
        <f t="shared" si="4"/>
        <v>0</v>
      </c>
      <c r="AB28" s="144"/>
      <c r="AC28" s="144"/>
      <c r="AD28" s="144"/>
      <c r="AE28" s="144"/>
    </row>
    <row r="29" spans="1:33" ht="62" x14ac:dyDescent="0.35">
      <c r="A29" s="544"/>
      <c r="B29" s="21" t="str">
        <f>'Door - Step 2'!B58</f>
        <v/>
      </c>
      <c r="C29" s="21">
        <f>'Quotation - Door 3'!C58</f>
        <v>0</v>
      </c>
      <c r="D29" s="121">
        <f>'Quotation - Door 3'!D58</f>
        <v>0</v>
      </c>
      <c r="E29" s="71">
        <f>IF($D29=0,0,(INDEX('Cost Sheet'!$N:$N,MATCH('Quotation - Door 3'!$D58,'Cost Sheet'!$C:$C,0))))</f>
        <v>0</v>
      </c>
      <c r="G29" s="19" t="s">
        <v>133</v>
      </c>
      <c r="H29" s="71">
        <f>+IF($D29=0,0,INDEX('Accessories Install - Labour'!$E:$E,MATCH($D29,'Accessories Install - Labour'!$C:$C,0)))</f>
        <v>0</v>
      </c>
      <c r="I29" s="71">
        <f>IFERROR(E29+H29,E29)</f>
        <v>0</v>
      </c>
      <c r="J29" s="71">
        <f>IF($D29=0,0,(INDEX('Cost Sheet'!$V:$V,MATCH('Quotation - Door 3'!$D58,'Cost Sheet'!$C:$C,0))))*2</f>
        <v>0</v>
      </c>
      <c r="K29" s="71">
        <f>+IF($D29=0,0,INDEX('Accessories Install - Labour'!$F:$F,MATCH($D29,'Accessories Install - Labour'!$C:$C,0)))</f>
        <v>0</v>
      </c>
      <c r="L29" s="71">
        <f>IFERROR(J29+K29,I29)</f>
        <v>0</v>
      </c>
      <c r="N29" s="28" t="s">
        <v>348</v>
      </c>
      <c r="O29" s="71">
        <f>+$O$27+'Cost Sheet'!$N$3</f>
        <v>5.0548364683716329</v>
      </c>
      <c r="P29" s="49" t="s">
        <v>361</v>
      </c>
      <c r="Q29" s="30">
        <f>+(($D$7*1)*$L$4)*2</f>
        <v>0</v>
      </c>
      <c r="R29" s="71">
        <f>($O$27*$Q$27)+('Cost Sheet'!$N$3*2*$Q$31)</f>
        <v>0</v>
      </c>
      <c r="S29" s="71">
        <f>+S17*0.75</f>
        <v>0</v>
      </c>
      <c r="T29" s="71">
        <f t="shared" si="3"/>
        <v>0</v>
      </c>
      <c r="U29" s="71">
        <f>+$U$15+'Cost Sheet'!$V$3</f>
        <v>12.542357301704966</v>
      </c>
      <c r="V29" s="71">
        <f>($U$27*$Q$27)+('Cost Sheet'!$P$3*2*$Q$31)</f>
        <v>0</v>
      </c>
      <c r="W29" s="71">
        <f>+W17*0.75</f>
        <v>0</v>
      </c>
      <c r="X29" s="71">
        <f t="shared" si="4"/>
        <v>0</v>
      </c>
      <c r="AB29" s="144"/>
      <c r="AC29" s="144"/>
      <c r="AD29" s="144"/>
      <c r="AE29" s="144"/>
    </row>
    <row r="30" spans="1:33" ht="62" x14ac:dyDescent="0.35">
      <c r="A30" s="544"/>
      <c r="B30" s="21" t="str">
        <f>'Door - Step 2'!B59</f>
        <v/>
      </c>
      <c r="C30" s="21">
        <f>'Quotation - Door 3'!C59</f>
        <v>0</v>
      </c>
      <c r="D30" s="121">
        <f>'Quotation - Door 3'!D59</f>
        <v>0</v>
      </c>
      <c r="E30" s="71">
        <f>IF($D30=0,0,(INDEX('Cost Sheet'!$N:$N,MATCH('Quotation - Door 3'!$D59,'Cost Sheet'!$C:$C,0))))</f>
        <v>0</v>
      </c>
      <c r="G30" s="19" t="s">
        <v>133</v>
      </c>
      <c r="H30" s="71">
        <f>+IF($D30=0,0,INDEX('Accessories Install - Labour'!$E:$E,MATCH($D30,'Accessories Install - Labour'!$C:$C,0)))</f>
        <v>0</v>
      </c>
      <c r="I30" s="71">
        <f>+E30+H30</f>
        <v>0</v>
      </c>
      <c r="J30" s="71">
        <f>IF($D30=0,0,(INDEX('Cost Sheet'!$V:$V,MATCH('Quotation - Door 3'!$D59,'Cost Sheet'!$C:$C,0))))*2</f>
        <v>0</v>
      </c>
      <c r="K30" s="71">
        <f>+IF($D30=0,0,INDEX('Accessories Install - Labour'!$F:$F,MATCH($D30,'Accessories Install - Labour'!$C:$C,0)))</f>
        <v>0</v>
      </c>
      <c r="L30" s="71">
        <f>+J30+K30</f>
        <v>0</v>
      </c>
      <c r="N30" s="28" t="s">
        <v>350</v>
      </c>
      <c r="O30" s="71">
        <f>+$O$27+'Cost Sheet'!$N$5</f>
        <v>4.989149951610246</v>
      </c>
      <c r="P30" s="49" t="s">
        <v>361</v>
      </c>
      <c r="Q30" s="30">
        <f>+(($D$7*1)*$L$4)*2</f>
        <v>0</v>
      </c>
      <c r="R30" s="71">
        <f>($O$27*$Q$27)+('Cost Sheet'!$N$5*2*$Q$31)</f>
        <v>0</v>
      </c>
      <c r="S30" s="71">
        <f>+S18*0.75</f>
        <v>0</v>
      </c>
      <c r="T30" s="71">
        <f t="shared" si="3"/>
        <v>0</v>
      </c>
      <c r="U30" s="71">
        <f>+$U$15+'Cost Sheet'!$V$5</f>
        <v>12.476670784943579</v>
      </c>
      <c r="V30" s="71">
        <f>($U$27*$Q$27)+('Cost Sheet'!$P$5*2*$Q$31)</f>
        <v>0</v>
      </c>
      <c r="W30" s="71">
        <f>+W18*0.75</f>
        <v>0</v>
      </c>
      <c r="X30" s="71">
        <f t="shared" si="4"/>
        <v>0</v>
      </c>
      <c r="AB30" s="46" t="s">
        <v>386</v>
      </c>
      <c r="AC30" s="19" t="e">
        <f>+#REF!*12</f>
        <v>#REF!</v>
      </c>
      <c r="AD30" s="19" t="e">
        <f>+#REF!*12</f>
        <v>#REF!</v>
      </c>
      <c r="AE30" s="19" t="e">
        <f>+#REF!*12</f>
        <v>#REF!</v>
      </c>
      <c r="AF30" s="19" t="e">
        <f>+((AC30*AE30)*2)+((AD30*AE30)*2)</f>
        <v>#REF!</v>
      </c>
      <c r="AG30" s="3" t="e">
        <f>+AF30/144</f>
        <v>#REF!</v>
      </c>
    </row>
    <row r="31" spans="1:33" ht="46.5" x14ac:dyDescent="0.35">
      <c r="A31" s="544"/>
      <c r="N31" s="28" t="s">
        <v>351</v>
      </c>
      <c r="O31" s="71">
        <f>+'Cost Sheet'!$N$27+'Cost Sheet'!$N$10</f>
        <v>2.7368286238136323</v>
      </c>
      <c r="P31" s="49" t="s">
        <v>362</v>
      </c>
      <c r="Q31" s="30">
        <f>+(($D$7*$D$9)*$L$4)*2</f>
        <v>0</v>
      </c>
      <c r="R31" s="71">
        <f>+O31*Q31*2</f>
        <v>0</v>
      </c>
      <c r="S31" s="71">
        <f t="shared" ref="S31:S36" si="5">+S19*0.4</f>
        <v>0</v>
      </c>
      <c r="T31" s="71">
        <f t="shared" si="3"/>
        <v>0</v>
      </c>
      <c r="U31" s="71">
        <f>+'Cost Sheet'!$V$27+'Cost Sheet'!$V$10</f>
        <v>2.7368286238136323</v>
      </c>
      <c r="V31" s="71">
        <f>+Q31*U31*2</f>
        <v>0</v>
      </c>
      <c r="W31" s="71">
        <f t="shared" ref="W31:W36" si="6">+W19*0.4</f>
        <v>0</v>
      </c>
      <c r="X31" s="71">
        <f t="shared" si="4"/>
        <v>0</v>
      </c>
    </row>
    <row r="32" spans="1:33" ht="46.5" x14ac:dyDescent="0.35">
      <c r="A32" s="544"/>
      <c r="B32" s="21" t="str">
        <f>'Door - Step 2'!B61</f>
        <v>Labor</v>
      </c>
      <c r="C32" s="21" t="str">
        <f>'Quotation - Door 3'!C61</f>
        <v>Labor Expense</v>
      </c>
      <c r="D32" s="121">
        <f>'Quotation - Door 3'!D61</f>
        <v>0</v>
      </c>
      <c r="E32" s="20"/>
      <c r="F32" s="20"/>
      <c r="G32" s="20"/>
      <c r="H32" s="71"/>
      <c r="I32" s="71" cm="1">
        <f t="array" ref="I32">_xlfn.IFNA(IF(OR('Quotation - Door 3'!$D$30=Controller!$A$13, 'Quotation - Door 3'!$D$30=Controller!$A$14, 'Quotation - Door 3'!$D$30=Controller!$A$15),
INDEX('Door and Panel Labor Exp. '!$A$23:$I$40,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'!$A$1:$I$1, 0)
),
INDEX('Door and Panel Labor Exp. '!$A$5:$I$16,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'!$A$1:$I$1, 0)
)),0)</f>
        <v>0</v>
      </c>
      <c r="J32" s="20"/>
      <c r="K32" s="71"/>
      <c r="L32" s="71" cm="1">
        <f t="array" ref="L32">_xlfn.IFNA(IF(OR('Quotation - Door 3'!$D$30=Controller!$A$13, 'Quotation - Door 3'!$D$30=Controller!$A$14, 'Quotation - Door 3'!$D$30=Controller!$A$15),
INDEX('Door and Panel Labor Exp. '!$A$76:$I$86,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'!$A$1:$I$1, 0)
),
INDEX('Door and Panel Labor Exp. '!$A$66:$I$75,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'!$B$75:$B$76 - 'Quotation - Door 3'!$D$34), 1))), 0)),
 MATCH('Quotation - Door 3'!$D$31, 'Door and Panel Labor Exp. '!$A$1:$I$1, 0)
)),0)</f>
        <v>0</v>
      </c>
      <c r="N32" s="28" t="s">
        <v>353</v>
      </c>
      <c r="O32" s="71">
        <f>+'Cost Sheet'!$N$27+'Cost Sheet'!$N$3</f>
        <v>2.3229823017049664</v>
      </c>
      <c r="P32" s="49" t="s">
        <v>362</v>
      </c>
      <c r="Q32" s="30">
        <f>+(($D$7*$D$9)*$L$4)*2</f>
        <v>0</v>
      </c>
      <c r="R32" s="71">
        <f>+O32*Q32*2</f>
        <v>0</v>
      </c>
      <c r="S32" s="71">
        <f t="shared" si="5"/>
        <v>0</v>
      </c>
      <c r="T32" s="71">
        <f t="shared" si="3"/>
        <v>0</v>
      </c>
      <c r="U32" s="71">
        <f>+'Cost Sheet'!$V$27+'Cost Sheet'!$V$3</f>
        <v>2.3229823017049664</v>
      </c>
      <c r="V32" s="71">
        <f>+Q32*U32*2</f>
        <v>0</v>
      </c>
      <c r="W32" s="71">
        <f t="shared" si="6"/>
        <v>0</v>
      </c>
      <c r="X32" s="71">
        <f t="shared" si="4"/>
        <v>0</v>
      </c>
    </row>
    <row r="33" spans="1:24" ht="46.5" x14ac:dyDescent="0.35">
      <c r="A33" s="544"/>
      <c r="B33" s="21" t="str">
        <f>'Door - Step 2'!B62</f>
        <v xml:space="preserve">Material </v>
      </c>
      <c r="C33" s="21" t="str">
        <f>'Quotation - Door 3'!C62</f>
        <v xml:space="preserve">Foam Expense </v>
      </c>
      <c r="D33" s="121">
        <f>'Quotation - Door 3'!D62</f>
        <v>0</v>
      </c>
      <c r="E33" s="20"/>
      <c r="F33" s="30"/>
      <c r="G33" s="20"/>
      <c r="H33" s="71"/>
      <c r="I33" s="71">
        <f>_xlfn.IFNA('Quotation - Door 3'!$D$34*'Quotation - Door 3'!$D$35*(INDEX('Calculation Sheet - BOM '!$R$6:$R$10,MATCH('Quotation - Door 3'!$D$36,'Calculation Sheet - BOM '!$P$6:$P$10,0))),0)</f>
        <v>0</v>
      </c>
      <c r="J33" s="20"/>
      <c r="K33" s="71"/>
      <c r="L33" s="71">
        <f>_xlfn.IFNA('Quotation - Door 3'!$D$34*'Quotation - Door 3'!$D$35*(INDEX('Calculation Sheet - BOM '!$T$6:$T$10,MATCH('Quotation - Door 3'!$D$36,'Calculation Sheet - BOM '!$P$6:$P$10,0))),0)</f>
        <v>0</v>
      </c>
      <c r="N33" s="28" t="s">
        <v>355</v>
      </c>
      <c r="O33" s="71">
        <f>+'Cost Sheet'!$N$27+'Cost Sheet'!$N$5</f>
        <v>2.2572957849435795</v>
      </c>
      <c r="P33" s="49" t="s">
        <v>362</v>
      </c>
      <c r="Q33" s="30">
        <f>+(($D$7*$D$9)*$L$4)*2</f>
        <v>0</v>
      </c>
      <c r="R33" s="71">
        <f>+O33*Q33*2</f>
        <v>0</v>
      </c>
      <c r="S33" s="71">
        <f t="shared" si="5"/>
        <v>0</v>
      </c>
      <c r="T33" s="71">
        <f t="shared" si="3"/>
        <v>0</v>
      </c>
      <c r="U33" s="71">
        <f>+'Cost Sheet'!$V$27+'Cost Sheet'!$V$5</f>
        <v>2.2572957849435795</v>
      </c>
      <c r="V33" s="71">
        <f>+Q33*U33*2</f>
        <v>0</v>
      </c>
      <c r="W33" s="71">
        <f t="shared" si="6"/>
        <v>0</v>
      </c>
      <c r="X33" s="71">
        <f t="shared" si="4"/>
        <v>0</v>
      </c>
    </row>
    <row r="34" spans="1:24" ht="31" x14ac:dyDescent="0.35">
      <c r="A34" s="544"/>
      <c r="B34" s="21" t="str">
        <f>'Door - Step 2'!B63</f>
        <v xml:space="preserve">Material </v>
      </c>
      <c r="C34" s="21" t="str">
        <f>'Quotation - Door 3'!C63</f>
        <v>Bottom Sweep</v>
      </c>
      <c r="D34" s="121" t="str">
        <f>'Quotation - Door 3'!D63</f>
        <v/>
      </c>
      <c r="E34" s="71">
        <f>+'Cost Sheet'!$N$72</f>
        <v>0.94</v>
      </c>
      <c r="F34" s="30">
        <f>+D6*L2*2</f>
        <v>0</v>
      </c>
      <c r="G34" s="19" t="s">
        <v>133</v>
      </c>
      <c r="H34" s="71">
        <f>+IF($D34=0,0,'Accessories Install - Labour'!$E$28)</f>
        <v>13</v>
      </c>
      <c r="I34" s="71">
        <f>(E34*F34)+H34</f>
        <v>13</v>
      </c>
      <c r="J34" s="71">
        <f>+'Cost Sheet'!$V$72</f>
        <v>0.94</v>
      </c>
      <c r="K34" s="71">
        <f>+IF($D34=0,0,'Accessories Install - Labour'!$F$28)</f>
        <v>13</v>
      </c>
      <c r="L34" s="71">
        <f>(F34*J34)+K34</f>
        <v>13</v>
      </c>
      <c r="N34" s="28" t="s">
        <v>356</v>
      </c>
      <c r="O34" s="71">
        <f>+'Cost Sheet'!$N$24+'Cost Sheet'!$N$10</f>
        <v>6.0253702904802982</v>
      </c>
      <c r="P34" s="49" t="s">
        <v>347</v>
      </c>
      <c r="Q34" s="30">
        <f t="shared" ref="Q34:Q36" si="7">+($D$7*2*$L$2)</f>
        <v>0</v>
      </c>
      <c r="R34" s="71">
        <f>('Cost Sheet'!$N$24*$Q34)+('Cost Sheet'!$N$10*$Q$33)</f>
        <v>0</v>
      </c>
      <c r="S34" s="71">
        <f t="shared" si="5"/>
        <v>0</v>
      </c>
      <c r="T34" s="71">
        <f t="shared" si="3"/>
        <v>0</v>
      </c>
      <c r="U34" s="71">
        <f>+'Cost Sheet'!$V$24+'Cost Sheet'!$V$10</f>
        <v>6.0253702904802982</v>
      </c>
      <c r="V34" s="71">
        <f>('Cost Sheet'!$P$24*$Q34)+('Cost Sheet'!$P$10*$Q$33)</f>
        <v>0</v>
      </c>
      <c r="W34" s="71">
        <f t="shared" si="6"/>
        <v>0</v>
      </c>
      <c r="X34" s="71">
        <f t="shared" si="4"/>
        <v>0</v>
      </c>
    </row>
    <row r="35" spans="1:24" ht="46.5" x14ac:dyDescent="0.35">
      <c r="A35" s="544"/>
      <c r="B35" s="21" t="str">
        <f>'Door - Step 2'!B64</f>
        <v xml:space="preserve">Material </v>
      </c>
      <c r="C35" s="21" t="str">
        <f>'Quotation - Door 3'!C64</f>
        <v>Weather Strip</v>
      </c>
      <c r="D35" s="121" t="str">
        <f>'Quotation - Door 3'!D64</f>
        <v/>
      </c>
      <c r="E35" s="71">
        <f>_xlfn.IFNA(INDEX('Cost Sheet'!$N$73:$N$75,MATCH($D$8,'Cost Sheet'!$D$73:$D$75,0)),0)</f>
        <v>0</v>
      </c>
      <c r="F35" s="30">
        <f>+D6*L2</f>
        <v>0</v>
      </c>
      <c r="G35" s="19" t="s">
        <v>133</v>
      </c>
      <c r="H35" s="71">
        <f>+IF($D35=0,0,'Accessories Install - Labour'!$E$32)</f>
        <v>39</v>
      </c>
      <c r="I35" s="71">
        <f>_xlfn.IFNA(E35*F35,0)+H35</f>
        <v>39</v>
      </c>
      <c r="J35" s="71">
        <f>_xlfn.IFNA((INDEX('Cost Sheet'!$V$73:$V$75,MATCH($D8,'Cost Sheet'!$D$73:$D$75,0))*F35),0)</f>
        <v>0</v>
      </c>
      <c r="K35" s="71">
        <f>+IF($D35=0,0,'Accessories Install - Labour'!$F$32)</f>
        <v>39</v>
      </c>
      <c r="L35" s="71">
        <f>_xlfn.IFNA(F35*J35,0)+K35</f>
        <v>39</v>
      </c>
      <c r="N35" s="28" t="s">
        <v>55</v>
      </c>
      <c r="O35" s="71">
        <f>+'Cost Sheet'!$N$24+'Cost Sheet'!$N$3</f>
        <v>5.6115239683716327</v>
      </c>
      <c r="P35" s="49" t="s">
        <v>349</v>
      </c>
      <c r="Q35" s="30">
        <f t="shared" si="7"/>
        <v>0</v>
      </c>
      <c r="R35" s="71">
        <f>('Cost Sheet'!$N$24*$Q35)+('Cost Sheet'!$N$3*$Q$33)</f>
        <v>0</v>
      </c>
      <c r="S35" s="71">
        <f t="shared" si="5"/>
        <v>0</v>
      </c>
      <c r="T35" s="71">
        <f t="shared" si="3"/>
        <v>0</v>
      </c>
      <c r="U35" s="71">
        <f>+'Cost Sheet'!$V$24+'Cost Sheet'!$V$3</f>
        <v>5.6115239683716327</v>
      </c>
      <c r="V35" s="71">
        <f>('Cost Sheet'!$P$24*$Q35)+('Cost Sheet'!$P$3*$Q$33)</f>
        <v>0</v>
      </c>
      <c r="W35" s="71">
        <f t="shared" si="6"/>
        <v>0</v>
      </c>
      <c r="X35" s="71">
        <f t="shared" si="4"/>
        <v>0</v>
      </c>
    </row>
    <row r="36" spans="1:24" ht="46.5" x14ac:dyDescent="0.35">
      <c r="A36" s="544"/>
      <c r="B36" s="21" t="str">
        <f>'Door - Step 2'!B65</f>
        <v xml:space="preserve">Material </v>
      </c>
      <c r="C36" s="21" t="str">
        <f>'Quotation - Door 3'!C65</f>
        <v>Gasket</v>
      </c>
      <c r="D36" s="121">
        <f>'Quotation - Door 3'!D65</f>
        <v>0</v>
      </c>
      <c r="E36" s="71">
        <f>+IF(OR('Quotation - Door 3'!$D$30=Controller!$A$13, 'Quotation - Door 3'!$D$30=Controller!$A$14, 'Quotation - Door 3'!$D$30=Controller!$A$15),SUM('Cost Sheet'!$N$69:$N$70),SUM('Cost Sheet'!$N$67:$N$68))</f>
        <v>1.79</v>
      </c>
      <c r="F36" s="30">
        <f>+((D6+D7)*2)*L2</f>
        <v>0</v>
      </c>
      <c r="G36" s="19" t="s">
        <v>133</v>
      </c>
      <c r="H36" s="71">
        <f>+IF($D36=0,0,'Accessories Install - Labour'!$E$25)</f>
        <v>0</v>
      </c>
      <c r="I36" s="71">
        <f>(F36*E36)+H36</f>
        <v>0</v>
      </c>
      <c r="J36" s="71">
        <f>+IF(OR('Quotation - Door 3'!$D$30=Controller!$A$13, 'Quotation - Door 3'!$D$30=Controller!$A$14, 'Quotation - Door 3'!$D$30=Controller!$A$16),SUM('Cost Sheet'!$V$69:$V$70),SUM('Cost Sheet'!$V$67:$V$68))</f>
        <v>1.79</v>
      </c>
      <c r="K36" s="71">
        <f>+IF($D36=0,0,'Accessories Install - Labour'!$F$25)</f>
        <v>0</v>
      </c>
      <c r="L36" s="71">
        <f>(J36*F36)+K36</f>
        <v>0</v>
      </c>
      <c r="N36" s="28" t="s">
        <v>357</v>
      </c>
      <c r="O36" s="71">
        <f>+'Cost Sheet'!$N$24+'Cost Sheet'!$N$5</f>
        <v>5.5458374516102458</v>
      </c>
      <c r="P36" s="49" t="s">
        <v>349</v>
      </c>
      <c r="Q36" s="30">
        <f t="shared" si="7"/>
        <v>0</v>
      </c>
      <c r="R36" s="71">
        <f>('Cost Sheet'!$N$24*$Q36)+('Cost Sheet'!$N$5*$Q$33)</f>
        <v>0</v>
      </c>
      <c r="S36" s="71">
        <f t="shared" si="5"/>
        <v>0</v>
      </c>
      <c r="T36" s="71">
        <f t="shared" si="3"/>
        <v>0</v>
      </c>
      <c r="U36" s="71">
        <f>+'Cost Sheet'!$V$24+'Cost Sheet'!$V$5</f>
        <v>5.5458374516102458</v>
      </c>
      <c r="V36" s="71">
        <f>('Cost Sheet'!$P$24*$Q36)+('Cost Sheet'!$P$5*$Q$33)</f>
        <v>0</v>
      </c>
      <c r="W36" s="71">
        <f t="shared" si="6"/>
        <v>0</v>
      </c>
      <c r="X36" s="71">
        <f t="shared" si="4"/>
        <v>0</v>
      </c>
    </row>
    <row r="37" spans="1:24" x14ac:dyDescent="0.35">
      <c r="A37" s="544"/>
      <c r="B37" s="21" t="str">
        <f>'Door - Step 2'!B66</f>
        <v xml:space="preserve">Material </v>
      </c>
      <c r="C37" s="21" t="str">
        <f>'Quotation - Door 3'!C66</f>
        <v xml:space="preserve">Additional Gasket </v>
      </c>
      <c r="D37" s="121" t="str">
        <f>'Quotation - Door 3'!D66</f>
        <v>Not Required</v>
      </c>
      <c r="E37" s="71" t="e">
        <f>IF($D37=0,0,(INDEX('Cost Sheet'!$N:$N,MATCH('Quotation - Door 3'!$D66,'Cost Sheet'!$C:$C,0))))</f>
        <v>#N/A</v>
      </c>
      <c r="F37" s="30">
        <f>+((D6+D7)*2)*L2</f>
        <v>0</v>
      </c>
      <c r="G37" s="19" t="s">
        <v>133</v>
      </c>
      <c r="H37" s="71">
        <f>+IF($D37=0,0,'Accessories Install - Labour'!$E$26)</f>
        <v>21.666666666666668</v>
      </c>
      <c r="I37" s="71" t="e">
        <f>(F37*E37)+H37</f>
        <v>#N/A</v>
      </c>
      <c r="J37" s="71" t="e">
        <f>IF($D37=0,0,(INDEX('Cost Sheet'!$V:$V,MATCH('Quotation - Door 3'!$D66,'Cost Sheet'!$C:$C,0))))</f>
        <v>#N/A</v>
      </c>
      <c r="K37" s="71">
        <f>+IF($D37=0,0,'Accessories Install - Labour'!$F$26)</f>
        <v>21.666666666666668</v>
      </c>
      <c r="L37" s="71" t="e">
        <f>(J37*F37)+K37</f>
        <v>#N/A</v>
      </c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</row>
    <row r="38" spans="1:24" ht="43.5" x14ac:dyDescent="0.35">
      <c r="A38" s="544"/>
      <c r="N38" s="119" t="s">
        <v>363</v>
      </c>
      <c r="O38" s="160" t="s">
        <v>321</v>
      </c>
      <c r="P38" s="160" t="s">
        <v>322</v>
      </c>
      <c r="Q38" s="160" t="s">
        <v>323</v>
      </c>
      <c r="R38" s="160" t="s">
        <v>324</v>
      </c>
      <c r="S38" s="160" t="s">
        <v>134</v>
      </c>
      <c r="T38" s="160" t="s">
        <v>325</v>
      </c>
      <c r="U38" s="160" t="s">
        <v>326</v>
      </c>
      <c r="V38" s="160" t="s">
        <v>327</v>
      </c>
      <c r="W38" s="160" t="s">
        <v>328</v>
      </c>
      <c r="X38" s="160" t="s">
        <v>329</v>
      </c>
    </row>
    <row r="39" spans="1:24" ht="31" x14ac:dyDescent="0.35">
      <c r="A39" s="544"/>
      <c r="N39" s="28" t="s">
        <v>344</v>
      </c>
      <c r="O39" s="71">
        <f>+'Cost Sheet'!$N$15</f>
        <v>3.8724791666666665</v>
      </c>
      <c r="P39" s="49" t="s">
        <v>364</v>
      </c>
      <c r="Q39" s="30">
        <f>SUM((($O$12*($D$7+(2*$O$12)))),($O$12*($D$6+(2*$O$12))))*2*$L$4</f>
        <v>1.8366586140500001</v>
      </c>
      <c r="R39" s="71">
        <f>+Q39*O39</f>
        <v>7.1124222191874988</v>
      </c>
      <c r="S39" s="71" cm="1">
        <f t="array" ref="S39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39" s="71">
        <f t="shared" ref="T39:T46" si="8">+R39+S39</f>
        <v>7.1124222191874988</v>
      </c>
      <c r="U39" s="71">
        <f>+IF($D$3="Freezer",'Cost Sheet'!$V$22,'Cost Sheet'!$V$21)</f>
        <v>11.36</v>
      </c>
      <c r="V39" s="71">
        <f>+U39*Q39</f>
        <v>20.864441855608</v>
      </c>
      <c r="W39" s="71" cm="1">
        <f t="array" ref="W39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39" s="71">
        <f t="shared" ref="X39:X46" si="9">+V39+W39</f>
        <v>20.864441855608</v>
      </c>
    </row>
    <row r="40" spans="1:24" ht="46.5" x14ac:dyDescent="0.35">
      <c r="A40" s="544"/>
      <c r="N40" s="28" t="s">
        <v>346</v>
      </c>
      <c r="O40" s="71">
        <f>+$O$39+'Cost Sheet'!$N$10</f>
        <v>5.4686827904802993</v>
      </c>
      <c r="P40" s="49" t="s">
        <v>365</v>
      </c>
      <c r="Q40" s="30">
        <f t="shared" ref="Q40:Q42" si="10">SUM((($O$12*($D$7+(2*$O$12)))),($O$12*($D$6+(2*$O$12))))*2*$L$4</f>
        <v>1.8366586140500001</v>
      </c>
      <c r="R40" s="71">
        <f>($O$15*$Q$15)+('Cost Sheet'!$N$10*2*$Q$19)</f>
        <v>27.635824670910267</v>
      </c>
      <c r="S40" s="71" cm="1">
        <f t="array" ref="S40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0" s="71">
        <f t="shared" si="8"/>
        <v>27.635824670910267</v>
      </c>
      <c r="U40" s="71">
        <f>+$U$15+'Cost Sheet'!$V$10</f>
        <v>12.956203623813632</v>
      </c>
      <c r="V40" s="71">
        <f>($U$15*$Q$15)+('Cost Sheet'!$P$10*2*$Q$19)</f>
        <v>27.635824670910267</v>
      </c>
      <c r="W40" s="71" cm="1">
        <f t="array" ref="W40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0" s="71">
        <f t="shared" si="9"/>
        <v>27.635824670910267</v>
      </c>
    </row>
    <row r="41" spans="1:24" ht="62" x14ac:dyDescent="0.35">
      <c r="A41" s="544"/>
      <c r="B41" s="226" t="s">
        <v>366</v>
      </c>
      <c r="D41" s="150" t="s">
        <v>82</v>
      </c>
      <c r="E41" s="160" t="s">
        <v>321</v>
      </c>
      <c r="F41" s="160" t="s">
        <v>334</v>
      </c>
      <c r="G41" s="160" t="s">
        <v>322</v>
      </c>
      <c r="H41" s="220" t="s">
        <v>335</v>
      </c>
      <c r="I41" s="160" t="s">
        <v>336</v>
      </c>
      <c r="J41" s="160" t="s">
        <v>337</v>
      </c>
      <c r="K41" s="220" t="s">
        <v>338</v>
      </c>
      <c r="L41" s="160" t="s">
        <v>339</v>
      </c>
      <c r="N41" s="28" t="s">
        <v>348</v>
      </c>
      <c r="O41" s="71">
        <f>+$O$39+'Cost Sheet'!$N$3</f>
        <v>5.0548364683716329</v>
      </c>
      <c r="P41" s="49" t="s">
        <v>367</v>
      </c>
      <c r="Q41" s="30">
        <f t="shared" si="10"/>
        <v>1.8366586140500001</v>
      </c>
      <c r="R41" s="71">
        <f>($O$15*$Q$15)+('Cost Sheet'!$N$3*2*$Q$19)</f>
        <v>26.115635846122682</v>
      </c>
      <c r="S41" s="71" cm="1">
        <f t="array" ref="S41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1" s="71">
        <f t="shared" si="8"/>
        <v>26.115635846122682</v>
      </c>
      <c r="U41" s="71">
        <f>+$U$15+'Cost Sheet'!$V$3</f>
        <v>12.542357301704966</v>
      </c>
      <c r="V41" s="71">
        <f>($U$15*$Q$15)+('Cost Sheet'!$P$3*2*$Q$19)</f>
        <v>26.115635846122682</v>
      </c>
      <c r="W41" s="71" cm="1">
        <f t="array" ref="W41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1" s="71">
        <f t="shared" si="9"/>
        <v>26.115635846122682</v>
      </c>
    </row>
    <row r="42" spans="1:24" ht="62" x14ac:dyDescent="0.35">
      <c r="A42" s="544"/>
      <c r="B42" s="227"/>
      <c r="C42" s="21" t="str">
        <f>'Door - Step 2'!C69</f>
        <v xml:space="preserve">Sliding Door Parts </v>
      </c>
      <c r="D42" s="121" t="str">
        <f>+IF($D$2="Polyfoam Overlap Doors - Swing door","","SS Tube")</f>
        <v>SS Tube</v>
      </c>
      <c r="E42" s="71">
        <f>IF($D42=0,0,(INDEX('Cost Sheet'!$N:$N,MATCH('Quotation - Door 3'!$D69,'Cost Sheet'!$C:$C,0))))</f>
        <v>12</v>
      </c>
      <c r="F42" s="19">
        <f>+IF(D6=0,0,((D6*2)+17))</f>
        <v>0</v>
      </c>
      <c r="G42" s="19" t="s">
        <v>133</v>
      </c>
      <c r="H42" s="71">
        <f>+IF($D$6=0,0,INDEX('Accessories Install - Labour'!$E:$E,MATCH($D42,'Accessories Install - Labour'!$C:$C,0)))</f>
        <v>0</v>
      </c>
      <c r="I42" s="71">
        <f>_xlfn.IFNA(IF(D42=0,0,(E42*F42*L2))+H42,0)</f>
        <v>0</v>
      </c>
      <c r="J42" s="71">
        <f>IF($D$6=0,0,(INDEX('Cost Sheet'!$V:$V,MATCH('Quotation - Door 3'!$D69,'Cost Sheet'!$C:$C,0))))</f>
        <v>0</v>
      </c>
      <c r="K42" s="71">
        <f>+IF($D$6=0,0,INDEX('Accessories Install - Labour'!$F:$F,MATCH($D42,'Accessories Install - Labour'!$C:$C,0)))</f>
        <v>0</v>
      </c>
      <c r="L42" s="71">
        <f>_xlfn.IFNA(IF(D42=0,0,(J42*F42*$L$2))+K42,0)</f>
        <v>0</v>
      </c>
      <c r="N42" s="28" t="s">
        <v>350</v>
      </c>
      <c r="O42" s="71">
        <f>+$O$39+'Cost Sheet'!$N$5</f>
        <v>4.989149951610246</v>
      </c>
      <c r="P42" s="49" t="s">
        <v>367</v>
      </c>
      <c r="Q42" s="30">
        <f t="shared" si="10"/>
        <v>1.8366586140500001</v>
      </c>
      <c r="R42" s="71">
        <f>($O$15*$Q$15)+('Cost Sheet'!$N$5*2*$Q$19)</f>
        <v>25.874348432449199</v>
      </c>
      <c r="S42" s="71" cm="1">
        <f t="array" ref="S42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2" s="71">
        <f t="shared" si="8"/>
        <v>25.874348432449199</v>
      </c>
      <c r="U42" s="71">
        <f>+$U$15+'Cost Sheet'!$V$5</f>
        <v>12.476670784943579</v>
      </c>
      <c r="V42" s="71">
        <f>($U$15*$Q$15)+('Cost Sheet'!$P$5*2*$Q$19)</f>
        <v>25.874348432449199</v>
      </c>
      <c r="W42" s="71" cm="1">
        <f t="array" ref="W42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2" s="71">
        <f t="shared" si="9"/>
        <v>25.874348432449199</v>
      </c>
    </row>
    <row r="43" spans="1:24" ht="46.5" x14ac:dyDescent="0.35">
      <c r="A43" s="544"/>
      <c r="B43" s="227"/>
      <c r="C43" s="21" t="str">
        <f>'Door - Step 2'!C70</f>
        <v xml:space="preserve">Sliding Door Parts </v>
      </c>
      <c r="D43" s="121" t="str">
        <f>'Quotation - Door 3'!D70</f>
        <v>Main Roller</v>
      </c>
      <c r="E43" s="71">
        <f>IF($D43=0,0,(INDEX('Cost Sheet'!$N:$N,MATCH('Quotation - Door 3'!$D70,'Cost Sheet'!$C:$C,0))))</f>
        <v>168</v>
      </c>
      <c r="F43" s="20"/>
      <c r="G43" s="19" t="s">
        <v>133</v>
      </c>
      <c r="H43" s="71">
        <f>+IF($D$6=0,0,INDEX('Accessories Install - Labour'!$E:$E,MATCH($D43,'Accessories Install - Labour'!$C:$C,0)))</f>
        <v>0</v>
      </c>
      <c r="I43" s="71">
        <f>_xlfn.IFNA(IF(D6=0,0,(E43+H43)),0)</f>
        <v>0</v>
      </c>
      <c r="J43" s="71">
        <f>IF($D$6=0,0,(INDEX('Cost Sheet'!$V:$V,MATCH('Quotation - Door 3'!$D70,'Cost Sheet'!$C:$C,0))))</f>
        <v>0</v>
      </c>
      <c r="K43" s="71">
        <f>+IF($D$6=0,0,INDEX('Accessories Install - Labour'!$F:$F,MATCH($D43,'Accessories Install - Labour'!$C:$C,0)))</f>
        <v>0</v>
      </c>
      <c r="L43" s="71">
        <f>_xlfn.IFNA(IF(D43=0,0,(J43+K43)),0)</f>
        <v>0</v>
      </c>
      <c r="N43" s="28" t="s">
        <v>351</v>
      </c>
      <c r="O43" s="71">
        <f>+'Cost Sheet'!$N$27+'Cost Sheet'!$N$10</f>
        <v>2.7368286238136323</v>
      </c>
      <c r="P43" s="49" t="s">
        <v>352</v>
      </c>
      <c r="Q43" s="30">
        <f>SUM((($O$12*($D$7+(2*$O$12)))),($O$12*($D$6+(2*$O$12))))*2*$L$4</f>
        <v>1.8366586140500001</v>
      </c>
      <c r="R43" s="71">
        <f>+O43*Q43*2</f>
        <v>10.05323973421183</v>
      </c>
      <c r="S43" s="71" cm="1">
        <f t="array" ref="S43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3" s="71">
        <f t="shared" si="8"/>
        <v>10.05323973421183</v>
      </c>
      <c r="U43" s="71">
        <f>+'Cost Sheet'!$V$27+'Cost Sheet'!$V$10</f>
        <v>2.7368286238136323</v>
      </c>
      <c r="V43" s="71">
        <f>+Q43*U43*2</f>
        <v>10.05323973421183</v>
      </c>
      <c r="W43" s="71" cm="1">
        <f t="array" ref="W43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3" s="71">
        <f t="shared" si="9"/>
        <v>10.05323973421183</v>
      </c>
    </row>
    <row r="44" spans="1:24" ht="46.5" x14ac:dyDescent="0.35">
      <c r="A44" s="544"/>
      <c r="B44" s="227"/>
      <c r="C44" s="21" t="str">
        <f>'Door - Step 2'!C71</f>
        <v xml:space="preserve">Sliding Door Parts </v>
      </c>
      <c r="D44" s="121" t="str">
        <f>'Quotation - Door 3'!D71</f>
        <v>Bottom Stay Roller</v>
      </c>
      <c r="E44" s="71">
        <f>IF($D44=0,0,(INDEX('Cost Sheet'!$N:$N,MATCH('Quotation - Door 3'!$D71,'Cost Sheet'!$C:$C,0))))</f>
        <v>27</v>
      </c>
      <c r="F44" s="20"/>
      <c r="G44" s="19" t="s">
        <v>133</v>
      </c>
      <c r="H44" s="71">
        <f>+IF($D$6=0,0,INDEX('Accessories Install - Labour'!$E:$E,MATCH($D44,'Accessories Install - Labour'!$C:$C,0)))</f>
        <v>0</v>
      </c>
      <c r="I44" s="71">
        <f>_xlfn.IFNA(IF(D6=0,0,(E44+H44)),0)</f>
        <v>0</v>
      </c>
      <c r="J44" s="71">
        <f>IF($D$6=0,0,(INDEX('Cost Sheet'!$V:$V,MATCH('Quotation - Door 3'!$D71,'Cost Sheet'!$C:$C,0))))</f>
        <v>0</v>
      </c>
      <c r="K44" s="71">
        <f>+IF($D$6=0,0,INDEX('Accessories Install - Labour'!$F:$F,MATCH($D44,'Accessories Install - Labour'!$C:$C,0)))</f>
        <v>0</v>
      </c>
      <c r="L44" s="71">
        <f>_xlfn.IFNA(IF(D44=0,0,(J44+K44)),0)</f>
        <v>0</v>
      </c>
      <c r="N44" s="28" t="s">
        <v>353</v>
      </c>
      <c r="O44" s="71">
        <f>+'Cost Sheet'!$N$27+'Cost Sheet'!$N$3</f>
        <v>2.3229823017049664</v>
      </c>
      <c r="P44" s="49" t="s">
        <v>352</v>
      </c>
      <c r="Q44" s="30">
        <f>SUM((($O$12*($D$7+(2*$O$12)))),($O$12*($D$6+(2*$O$12))))*2*$L$4</f>
        <v>1.8366586140500001</v>
      </c>
      <c r="R44" s="71">
        <f>+O44*Q44*2</f>
        <v>8.5330509094242455</v>
      </c>
      <c r="S44" s="71" cm="1">
        <f t="array" ref="S44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4" s="71">
        <f t="shared" si="8"/>
        <v>8.5330509094242455</v>
      </c>
      <c r="U44" s="71">
        <f>+'Cost Sheet'!$V$27+'Cost Sheet'!$V$3</f>
        <v>2.3229823017049664</v>
      </c>
      <c r="V44" s="71">
        <f>+Q44*U44*2</f>
        <v>8.5330509094242455</v>
      </c>
      <c r="W44" s="71" cm="1">
        <f t="array" ref="W44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4" s="71">
        <f t="shared" si="9"/>
        <v>8.5330509094242455</v>
      </c>
    </row>
    <row r="45" spans="1:24" ht="46.5" x14ac:dyDescent="0.35">
      <c r="A45" s="544"/>
      <c r="B45" s="227"/>
      <c r="C45" s="21" t="str">
        <f>'Door - Step 2'!C72</f>
        <v xml:space="preserve">Sliding Door Parts </v>
      </c>
      <c r="D45" s="121" t="str">
        <f>'Quotation - Door 3'!D72</f>
        <v>Aluminum Frame bracket</v>
      </c>
      <c r="E45" s="71">
        <f>IF($D45=0,0,(INDEX('Cost Sheet'!$N:$N,MATCH('Quotation - Door 3'!$D72,'Cost Sheet'!$C:$C,0))))</f>
        <v>19.93</v>
      </c>
      <c r="F45" s="19">
        <f>ROUNDUP(($F$42/30),0)</f>
        <v>0</v>
      </c>
      <c r="G45" s="19" t="s">
        <v>133</v>
      </c>
      <c r="H45" s="71">
        <f>+IF($D$6=0,0,INDEX('Accessories Install - Labour'!$E:$E,MATCH($D45,'Accessories Install - Labour'!$C:$C,0)))</f>
        <v>0</v>
      </c>
      <c r="I45" s="71">
        <f>_xlfn.IFNA(IF(D6=0,0,((E45*$F$45)+H45)),0)</f>
        <v>0</v>
      </c>
      <c r="J45" s="71">
        <f>IF($D$6=0,0,(INDEX('Cost Sheet'!$V:$V,MATCH('Quotation - Door 3'!$D72,'Cost Sheet'!$C:$C,0))))</f>
        <v>0</v>
      </c>
      <c r="K45" s="71">
        <f>+IF($D$6=0,0,INDEX('Accessories Install - Labour'!$F:$F,MATCH($D45,'Accessories Install - Labour'!$C:$C,0)))</f>
        <v>0</v>
      </c>
      <c r="L45" s="71">
        <f>_xlfn.IFNA(IF(D45=0,0,((J45*F45)+K45)),0)</f>
        <v>0</v>
      </c>
      <c r="N45" s="28" t="s">
        <v>355</v>
      </c>
      <c r="O45" s="71">
        <f>+'Cost Sheet'!$N$27+'Cost Sheet'!$N$5</f>
        <v>2.2572957849435795</v>
      </c>
      <c r="P45" s="49" t="s">
        <v>352</v>
      </c>
      <c r="Q45" s="30">
        <f>SUM((($O$12*($D$7+(2*$O$12)))),($O$12*($D$6+(2*$O$12))))*2*$L$4</f>
        <v>1.8366586140500001</v>
      </c>
      <c r="R45" s="71">
        <f>+O45*Q45*2</f>
        <v>8.2917634957507644</v>
      </c>
      <c r="S45" s="71" cm="1">
        <f t="array" ref="S45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5" s="71">
        <f t="shared" si="8"/>
        <v>8.2917634957507644</v>
      </c>
      <c r="U45" s="71">
        <f>+'Cost Sheet'!$V$27+'Cost Sheet'!$V$5</f>
        <v>2.2572957849435795</v>
      </c>
      <c r="V45" s="71">
        <f>+Q45*U45*2</f>
        <v>8.2917634957507644</v>
      </c>
      <c r="W45" s="71" cm="1">
        <f t="array" ref="W45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5" s="71">
        <f t="shared" si="9"/>
        <v>8.2917634957507644</v>
      </c>
    </row>
    <row r="46" spans="1:24" ht="31" x14ac:dyDescent="0.35">
      <c r="A46" s="207"/>
      <c r="B46" s="227"/>
      <c r="C46" s="21" t="str">
        <f>'Door - Step 2'!C73</f>
        <v xml:space="preserve">Sliding Door Parts </v>
      </c>
      <c r="D46" s="121" t="b">
        <f>'Quotation - Door 3'!D73</f>
        <v>0</v>
      </c>
      <c r="E46" s="71">
        <f>_xlfn.IFNA(IF($D46=0,0,(INDEX('Cost Sheet'!$N:$N,MATCH('Quotation - Door 3'!$D73,'Cost Sheet'!$C:$C,0)))),0)</f>
        <v>0</v>
      </c>
      <c r="F46" s="20"/>
      <c r="G46" s="19" t="s">
        <v>133</v>
      </c>
      <c r="H46" s="71" t="e">
        <f>+IF($D46=0,0,INDEX('Accessories Install - Labour'!$E:$E,MATCH($D46,'Accessories Install - Labour'!$C:$C,0)))</f>
        <v>#N/A</v>
      </c>
      <c r="I46" s="71">
        <f>_xlfn.IFNA(IF(D46=0,0,(E46+H46)),0)</f>
        <v>0</v>
      </c>
      <c r="J46" s="71" t="e">
        <f>IF($D46=0,0,(INDEX('Cost Sheet'!$V:$V,MATCH('Quotation - Door 3'!$D73,'Cost Sheet'!$C:$C,0))))</f>
        <v>#N/A</v>
      </c>
      <c r="K46" s="71" t="e">
        <f>+IF($D46=0,0,INDEX('Accessories Install - Labour'!$F:$F,MATCH($D46,'Accessories Install - Labour'!$C:$C,0)))</f>
        <v>#N/A</v>
      </c>
      <c r="L46" s="71">
        <f>_xlfn.IFNA(IF(D46=0,0,(J46+K46)),0)</f>
        <v>0</v>
      </c>
      <c r="N46" s="28" t="s">
        <v>356</v>
      </c>
      <c r="O46" s="71">
        <f>+'Cost Sheet'!$N$24+'Cost Sheet'!$N$10</f>
        <v>6.0253702904802982</v>
      </c>
      <c r="P46" s="49" t="s">
        <v>347</v>
      </c>
      <c r="Q46" s="30">
        <f>((($D$6*2)+(($D$7+($O$12*2))*2))*'Calculation Sheet - BOM '!$L$2)</f>
        <v>1.91659</v>
      </c>
      <c r="R46" s="71">
        <f>('Cost Sheet'!$N$24*$Q46)+('Cost Sheet'!$N$10*$Q$21)</f>
        <v>11.420577677121798</v>
      </c>
      <c r="S46" s="71" cm="1">
        <f t="array" ref="S46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6" s="71">
        <f t="shared" si="8"/>
        <v>11.420577677121798</v>
      </c>
      <c r="U46" s="71">
        <f>+'Cost Sheet'!$V$24+'Cost Sheet'!$V$10</f>
        <v>6.0253702904802982</v>
      </c>
      <c r="V46" s="71">
        <f>('Cost Sheet'!$P$24*$Q46)+('Cost Sheet'!$P$10*$Q$21)</f>
        <v>11.420577677121798</v>
      </c>
      <c r="W46" s="71" cm="1">
        <f t="array" ref="W46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6" s="71">
        <f t="shared" si="9"/>
        <v>11.420577677121798</v>
      </c>
    </row>
    <row r="47" spans="1:24" ht="46.5" x14ac:dyDescent="0.35">
      <c r="A47" s="207"/>
      <c r="B47" s="227"/>
      <c r="C47" s="21" t="str">
        <f>'Door - Step 2'!C74</f>
        <v xml:space="preserve">Sliding Door Parts </v>
      </c>
      <c r="D47" s="121" t="b">
        <f>'Quotation - Door 3'!D74</f>
        <v>0</v>
      </c>
      <c r="E47" s="71">
        <f>_xlfn.IFNA(IF($D47=0,0,(INDEX('Cost Sheet'!$N:$N,MATCH('Quotation - Door 3'!$D74,'Cost Sheet'!$C:$C,0)))),0)</f>
        <v>0</v>
      </c>
      <c r="F47" s="20"/>
      <c r="G47" s="19" t="s">
        <v>133</v>
      </c>
      <c r="H47" s="71" t="e">
        <f>+IF($D47=0,0,INDEX('Accessories Install - Labour'!$E:$E,MATCH($D47,'Accessories Install - Labour'!$C:$C,0)))</f>
        <v>#N/A</v>
      </c>
      <c r="I47" s="71">
        <f t="shared" ref="I47:I53" si="11">_xlfn.IFNA(IF(D47=0,0,(E47+H47)),0)</f>
        <v>0</v>
      </c>
      <c r="J47" s="71" t="e">
        <f>IF($D47=0,0,(INDEX('Cost Sheet'!$V:$V,MATCH('Quotation - Door 3'!$D74,'Cost Sheet'!$C:$C,0))))</f>
        <v>#N/A</v>
      </c>
      <c r="K47" s="71" t="e">
        <f>+IF($D47=0,0,INDEX('Accessories Install - Labour'!$F:$F,MATCH($D47,'Accessories Install - Labour'!$C:$C,0)))</f>
        <v>#N/A</v>
      </c>
      <c r="L47" s="71">
        <f t="shared" ref="L47:L53" si="12">_xlfn.IFNA(IF(G47=0,0,(H47+K47)),0)</f>
        <v>0</v>
      </c>
      <c r="N47" s="28" t="s">
        <v>55</v>
      </c>
      <c r="O47" s="71">
        <f>+'Cost Sheet'!$N$24+'Cost Sheet'!$N$3</f>
        <v>5.6115239683716327</v>
      </c>
      <c r="P47" s="49" t="s">
        <v>349</v>
      </c>
      <c r="Q47" s="30">
        <f>((($D$6*2)+(($D$7+($O$12*2))*2))*'Calculation Sheet - BOM '!$L$2)</f>
        <v>1.91659</v>
      </c>
      <c r="R47" s="71">
        <f>('Cost Sheet'!$N$24*$Q47)+('Cost Sheet'!$N$3*$Q$21)</f>
        <v>10.660483264728008</v>
      </c>
      <c r="S47" s="71" cm="1">
        <f t="array" ref="S47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7" s="71">
        <f>+R47+S47</f>
        <v>10.660483264728008</v>
      </c>
      <c r="U47" s="71">
        <f>+'Cost Sheet'!$V$24+'Cost Sheet'!$V$3</f>
        <v>5.6115239683716327</v>
      </c>
      <c r="V47" s="71">
        <f>('Cost Sheet'!$P$24*$Q47)+('Cost Sheet'!$P$3*$Q$21)</f>
        <v>10.660483264728008</v>
      </c>
      <c r="W47" s="71" cm="1">
        <f t="array" ref="W47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7" s="71">
        <f>+V47+W47</f>
        <v>10.660483264728008</v>
      </c>
    </row>
    <row r="48" spans="1:24" ht="46.5" x14ac:dyDescent="0.35">
      <c r="B48" s="227"/>
      <c r="C48" s="21" t="str">
        <f>'Door - Step 2'!C75</f>
        <v>Sliding Door Parts</v>
      </c>
      <c r="D48" s="121" t="b">
        <f>'Quotation - Door 3'!D75</f>
        <v>0</v>
      </c>
      <c r="E48" s="71">
        <f>_xlfn.IFNA(IF($D48=0,0,(INDEX('Cost Sheet'!$N:$N,MATCH('Quotation - Door 3'!$D75,'Cost Sheet'!$C:$C,0)))),0)</f>
        <v>0</v>
      </c>
      <c r="F48" s="20"/>
      <c r="G48" s="19" t="s">
        <v>133</v>
      </c>
      <c r="H48" s="71" t="e">
        <f>+IF($D48=0,0,INDEX('Accessories Install - Labour'!$E:$E,MATCH($D48,'Accessories Install - Labour'!$C:$C,0)))</f>
        <v>#N/A</v>
      </c>
      <c r="I48" s="71">
        <f t="shared" si="11"/>
        <v>0</v>
      </c>
      <c r="J48" s="71" t="e">
        <f>IF($D48=0,0,(INDEX('Cost Sheet'!$V:$V,MATCH('Quotation - Door 3'!$D75,'Cost Sheet'!$C:$C,0))))</f>
        <v>#N/A</v>
      </c>
      <c r="K48" s="71" t="e">
        <f>+IF($D48=0,0,INDEX('Accessories Install - Labour'!$F:$F,MATCH($D48,'Accessories Install - Labour'!$C:$C,0)))</f>
        <v>#N/A</v>
      </c>
      <c r="L48" s="71">
        <f t="shared" si="12"/>
        <v>0</v>
      </c>
      <c r="N48" s="28" t="s">
        <v>357</v>
      </c>
      <c r="O48" s="71">
        <f>+'Cost Sheet'!$N$24+'Cost Sheet'!$N$5</f>
        <v>5.5458374516102458</v>
      </c>
      <c r="P48" s="49" t="s">
        <v>349</v>
      </c>
      <c r="Q48" s="30">
        <f>((($D$6*2)+(($D$7+($O$12*2))*2))*'Calculation Sheet - BOM '!$L$2)</f>
        <v>1.91659</v>
      </c>
      <c r="R48" s="71">
        <f>('Cost Sheet'!$N$24*$Q48)+('Cost Sheet'!$N$5*$Q$21)</f>
        <v>10.539839557891266</v>
      </c>
      <c r="S48" s="71" cm="1">
        <f t="array" ref="S48">_xlfn.IFNA(IF(OR('Quotation - Door 3'!$D$30=Controller!$A$13, 'Quotation - Door 3'!$D$30=Controller!$A$14, 'Quotation - Door 3'!$D$30=Controller!$A$15),
INDEX('Door and Panel Labor Exp. '!$J$23:$M$40,
 (MATCH(1, ((ABS('Door and Panel Labor Exp. '!$C$23:$C$40 - 'Quotation - Door 3'!$D$35) = _xlfn.AGGREGATE(15, 3, ABS('Door and Panel Labor Exp. '!$C$23:$C$40 - 'Quotation - Door 3'!$D$35), 1)) *
 (ABS('Door and Panel Labor Exp. '!$B$23:$B$40 - 'Quotation - Door 3'!$D$34) = _xlfn.AGGREGATE(15, 3, ABS('Door and Panel Labor Exp. '!$B$23:$B$40 - 'Quotation - Door 3'!$D$34), 1))), 0)),
 MATCH('Quotation - Door 3'!$D$31, 'Door and Panel Labor Exp. '!$J$1:$M$1, 0)
),
INDEX('Door and Panel Labor Exp. '!$J$5:$M$16,
 (MATCH(1, ((ABS('Door and Panel Labor Exp. '!$C$5:$C$16 - 'Quotation - Door 3'!$D$35) = _xlfn.AGGREGATE(15, 3, ABS('Door and Panel Labor Exp. '!$C$5:$C$16 - 'Quotation - Door 3'!$D$35), 1)) *
 (ABS('Door and Panel Labor Exp. '!$B$5:$B$16 - 'Quotation - Door 3'!$D$34) = _xlfn.AGGREGATE(15, 3, ABS('Door and Panel Labor Exp. '!$B$5:$B$16 - 'Quotation - Door 3'!$D$34), 1))), 0)),
 MATCH('Quotation - Door 3'!$D$31, 'Door and Panel Labor Exp. '!$J$1:$M$1, 0)
)),0)</f>
        <v>0</v>
      </c>
      <c r="T48" s="71">
        <f>+R48+S48</f>
        <v>10.539839557891266</v>
      </c>
      <c r="U48" s="71">
        <f>+'Cost Sheet'!$V$24+'Cost Sheet'!$V$5</f>
        <v>5.5458374516102458</v>
      </c>
      <c r="V48" s="71">
        <f>('Cost Sheet'!$P$24*$Q48)+('Cost Sheet'!$P$5*$Q$21)</f>
        <v>10.539839557891266</v>
      </c>
      <c r="W48" s="71" cm="1">
        <f t="array" ref="W48">_xlfn.IFNA(IF(OR('Quotation - Door 3'!$D$30=Controller!$A$13, 'Quotation - Door 3'!$D$30=Controller!$A$14, 'Quotation - Door 3'!$D$30=Controller!$A$15),
INDEX('Door and Panel Labor Exp. '!$J$76:$M$86,
 (MATCH(1, ((ABS('Door and Panel Labor Exp. '!$C$76:$C$86 - 'Quotation - Door 3'!$D$35) = _xlfn.AGGREGATE(15, 3, ABS('Door and Panel Labor Exp. '!$C$76:$C$86 - 'Quotation - Door 3'!$D$35), 1)) *
 (ABS('Door and Panel Labor Exp. '!$B$76:$B$86 - 'Quotation - Door 3'!$D$34) = _xlfn.AGGREGATE(15, 3, ABS('Door and Panel Labor Exp. '!$B$76:$B$86 - 'Quotation - Door 3'!$D$34), 1))), 0)),
 MATCH('Quotation - Door 3'!$D$31, 'Door and Panel Labor Exp. '!$J$1:$M$1, 0)
),
INDEX('Door and Panel Labor Exp. '!$J$66:$M$75,
 (MATCH(1, ((ABS('Door and Panel Labor Exp. '!$C$66:$C$75 - 'Quotation - Door 3'!$D$35) = _xlfn.AGGREGATE(15, 3, ABS('Door and Panel Labor Exp. '!$C$66:$C$75 - 'Quotation - Door 3'!$D$35), 1)) *
 (ABS('Door and Panel Labor Exp. '!$B$66:$B$75 - 'Quotation - Door 3'!$D$34) = _xlfn.AGGREGATE(15, 3, ABS('Door and Panel Labor Exp. '!$B$66:$B$75 - 'Quotation - Door 3'!$D$34), 1))), 0)),
 MATCH('Quotation - Door 3'!$D$31, 'Door and Panel Labor Exp. '!$J$1:$M$1, 0)
)),0)</f>
        <v>0</v>
      </c>
      <c r="X48" s="71">
        <f>+V48+W48</f>
        <v>10.539839557891266</v>
      </c>
    </row>
    <row r="49" spans="1:16" x14ac:dyDescent="0.35">
      <c r="B49" s="227"/>
      <c r="C49" s="21" t="str">
        <f>'Door - Step 2'!C76</f>
        <v>Sliding Door Parts</v>
      </c>
      <c r="D49" s="121" t="b">
        <f>'Quotation - Door 3'!D76</f>
        <v>0</v>
      </c>
      <c r="E49" s="71">
        <f>_xlfn.IFNA(IF($D49=0,0,(INDEX('Cost Sheet'!$N:$N,MATCH('Quotation - Door 3'!$D76,'Cost Sheet'!$C:$C,0)))),0)</f>
        <v>0</v>
      </c>
      <c r="F49" s="20"/>
      <c r="G49" s="19" t="s">
        <v>133</v>
      </c>
      <c r="H49" s="71" t="e">
        <f>+IF($D49=0,0,INDEX('Accessories Install - Labour'!$E:$E,MATCH($D49,'Accessories Install - Labour'!$C:$C,0)))</f>
        <v>#N/A</v>
      </c>
      <c r="I49" s="71">
        <f t="shared" si="11"/>
        <v>0</v>
      </c>
      <c r="J49" s="71" t="e">
        <f>IF($D49=0,0,(INDEX('Cost Sheet'!$V:$V,MATCH('Quotation - Door 3'!$D76,'Cost Sheet'!$C:$C,0))))</f>
        <v>#N/A</v>
      </c>
      <c r="K49" s="71" t="e">
        <f>+IF($D49=0,0,INDEX('Accessories Install - Labour'!$F:$F,MATCH($D49,'Accessories Install - Labour'!$C:$C,0)))</f>
        <v>#N/A</v>
      </c>
      <c r="L49" s="71">
        <f t="shared" si="12"/>
        <v>0</v>
      </c>
      <c r="N49" s="4"/>
      <c r="P49" s="4"/>
    </row>
    <row r="50" spans="1:16" x14ac:dyDescent="0.35">
      <c r="B50" s="227"/>
      <c r="C50" s="21" t="str">
        <f>'Door - Step 2'!C77</f>
        <v>Sliding Door Parts</v>
      </c>
      <c r="D50" s="121">
        <f>'Quotation - Door 3'!D77</f>
        <v>0</v>
      </c>
      <c r="E50" s="71">
        <f>_xlfn.IFNA(IF($D50=0,0,(INDEX('Cost Sheet'!$N:$N,MATCH('Quotation - Door 3'!$D77,'Cost Sheet'!$C:$C,0)))),0)</f>
        <v>0</v>
      </c>
      <c r="F50" s="20"/>
      <c r="G50" s="19" t="s">
        <v>133</v>
      </c>
      <c r="H50" s="71">
        <f>+IF($D50=0,0,INDEX('Accessories Install - Labour'!$E:$E,MATCH($D50,'Accessories Install - Labour'!$C:$C,0)))</f>
        <v>0</v>
      </c>
      <c r="I50" s="71">
        <f t="shared" si="11"/>
        <v>0</v>
      </c>
      <c r="J50" s="71">
        <f>IF($D50=0,0,(INDEX('Cost Sheet'!$V:$V,MATCH('Quotation - Door 3'!$D77,'Cost Sheet'!$C:$C,0))))</f>
        <v>0</v>
      </c>
      <c r="K50" s="71">
        <f>+IF($D50=0,0,INDEX('Accessories Install - Labour'!$F:$F,MATCH($D50,'Accessories Install - Labour'!$C:$C,0)))</f>
        <v>0</v>
      </c>
      <c r="L50" s="71">
        <f t="shared" si="12"/>
        <v>0</v>
      </c>
      <c r="N50" s="4"/>
      <c r="P50" s="4"/>
    </row>
    <row r="51" spans="1:16" x14ac:dyDescent="0.35">
      <c r="B51" s="228"/>
      <c r="C51" s="21" t="str">
        <f>'Door - Step 2'!C78</f>
        <v>Sliding Door Parts</v>
      </c>
      <c r="D51" s="121">
        <f>'Quotation - Door 3'!D78</f>
        <v>0</v>
      </c>
      <c r="E51" s="71">
        <f>_xlfn.IFNA(IF($D51=0,0,(INDEX('Cost Sheet'!$N:$N,MATCH('Quotation - Door 3'!$D78,'Cost Sheet'!$C:$C,0)))),0)</f>
        <v>0</v>
      </c>
      <c r="F51" s="20"/>
      <c r="G51" s="19" t="s">
        <v>133</v>
      </c>
      <c r="H51" s="71">
        <f>+IF($D51=0,0,INDEX('Accessories Install - Labour'!$E:$E,MATCH($D51,'Accessories Install - Labour'!$C:$C,0)))</f>
        <v>0</v>
      </c>
      <c r="I51" s="71">
        <f t="shared" si="11"/>
        <v>0</v>
      </c>
      <c r="J51" s="71">
        <f>IF($D51=0,0,(INDEX('Cost Sheet'!$V:$V,MATCH('Quotation - Door 3'!$D78,'Cost Sheet'!$C:$C,0))))</f>
        <v>0</v>
      </c>
      <c r="K51" s="71">
        <f>+IF($D51=0,0,INDEX('Accessories Install - Labour'!$F:$F,MATCH($D51,'Accessories Install - Labour'!$C:$C,0)))</f>
        <v>0</v>
      </c>
      <c r="L51" s="71">
        <f t="shared" si="12"/>
        <v>0</v>
      </c>
      <c r="N51" s="4"/>
      <c r="P51" s="4"/>
    </row>
    <row r="52" spans="1:16" x14ac:dyDescent="0.35">
      <c r="B52" s="225"/>
      <c r="C52" s="21" t="str">
        <f>'Door - Step 2'!C79</f>
        <v>Sliding Door Parts</v>
      </c>
      <c r="D52" s="121">
        <f>'Quotation - Door 3'!D79</f>
        <v>0</v>
      </c>
      <c r="E52" s="71">
        <f>_xlfn.IFNA(IF($D52=0,0,(INDEX('Cost Sheet'!$N:$N,MATCH('Quotation - Door 3'!$D79,'Cost Sheet'!$C:$C,0)))),0)</f>
        <v>0</v>
      </c>
      <c r="F52" s="20"/>
      <c r="G52" s="19" t="s">
        <v>133</v>
      </c>
      <c r="H52" s="71">
        <f>+IF($D52=0,0,INDEX('Accessories Install - Labour'!$E:$E,MATCH($D52,'Accessories Install - Labour'!$C:$C,0)))</f>
        <v>0</v>
      </c>
      <c r="I52" s="71">
        <f t="shared" si="11"/>
        <v>0</v>
      </c>
      <c r="J52" s="71">
        <f>IF($D52=0,0,(INDEX('Cost Sheet'!$V:$V,MATCH('Quotation - Door 3'!$D79,'Cost Sheet'!$C:$C,0))))</f>
        <v>0</v>
      </c>
      <c r="K52" s="71">
        <f>+IF($D52=0,0,INDEX('Accessories Install - Labour'!$F:$F,MATCH($D52,'Accessories Install - Labour'!$C:$C,0)))</f>
        <v>0</v>
      </c>
      <c r="L52" s="71">
        <f t="shared" si="12"/>
        <v>0</v>
      </c>
      <c r="N52" s="4"/>
      <c r="P52" s="4"/>
    </row>
    <row r="53" spans="1:16" x14ac:dyDescent="0.35">
      <c r="B53" s="225"/>
      <c r="C53" s="21" t="str">
        <f>'Door - Step 2'!C80</f>
        <v>Sliding Door Parts</v>
      </c>
      <c r="D53" s="121">
        <f>'Quotation - Door 3'!D80</f>
        <v>0</v>
      </c>
      <c r="E53" s="71">
        <f>_xlfn.IFNA(IF($D53=0,0,(INDEX('Cost Sheet'!$N:$N,MATCH('Quotation - Door 2'!$D80,'Cost Sheet'!$C:$C,0)))),0)</f>
        <v>0</v>
      </c>
      <c r="F53" s="20"/>
      <c r="G53" s="19" t="s">
        <v>133</v>
      </c>
      <c r="H53" s="71">
        <f>+IF($D53=0,0,INDEX('Accessories Install - Labour'!$E:$E,MATCH($D53,'Accessories Install - Labour'!$C:$C,0)))</f>
        <v>0</v>
      </c>
      <c r="I53" s="71">
        <f t="shared" si="11"/>
        <v>0</v>
      </c>
      <c r="J53" s="71">
        <f>IF($D53=0,0,(INDEX('Cost Sheet'!$V:$V,MATCH('Quotation - Door 3'!$D80,'Cost Sheet'!$C:$C,0))))</f>
        <v>0</v>
      </c>
      <c r="K53" s="71">
        <f>+IF($D53=0,0,INDEX('Accessories Install - Labour'!$F:$F,MATCH($D53,'Accessories Install - Labour'!$C:$C,0)))</f>
        <v>0</v>
      </c>
      <c r="L53" s="71">
        <f t="shared" si="12"/>
        <v>0</v>
      </c>
      <c r="N53" s="4"/>
      <c r="P53" s="4"/>
    </row>
    <row r="54" spans="1:16" x14ac:dyDescent="0.35">
      <c r="D54" s="4"/>
      <c r="H54" s="4"/>
      <c r="K54" s="4"/>
      <c r="L54" s="4"/>
      <c r="N54" s="4"/>
      <c r="P54" s="4"/>
    </row>
    <row r="55" spans="1:16" x14ac:dyDescent="0.35">
      <c r="D55" s="4"/>
      <c r="H55" s="4"/>
      <c r="K55" s="4"/>
      <c r="L55" s="4"/>
      <c r="N55" s="4"/>
      <c r="P55" s="4"/>
    </row>
    <row r="56" spans="1:16" x14ac:dyDescent="0.35">
      <c r="D56" s="4"/>
      <c r="H56" s="4"/>
      <c r="K56" s="4"/>
      <c r="L56" s="4"/>
      <c r="N56" s="4"/>
      <c r="P56" s="4"/>
    </row>
    <row r="57" spans="1:16" ht="43.5" x14ac:dyDescent="0.35">
      <c r="D57" s="150" t="s">
        <v>82</v>
      </c>
      <c r="E57" s="160" t="s">
        <v>321</v>
      </c>
      <c r="F57" s="160" t="s">
        <v>334</v>
      </c>
      <c r="G57" s="160" t="s">
        <v>322</v>
      </c>
      <c r="H57" s="220" t="s">
        <v>335</v>
      </c>
      <c r="I57" s="160" t="s">
        <v>336</v>
      </c>
      <c r="J57" s="160" t="s">
        <v>337</v>
      </c>
      <c r="K57" s="220" t="s">
        <v>338</v>
      </c>
      <c r="L57" s="160" t="s">
        <v>339</v>
      </c>
      <c r="N57" s="4"/>
      <c r="P57" s="4"/>
    </row>
    <row r="58" spans="1:16" ht="31" x14ac:dyDescent="0.35">
      <c r="A58" s="215" t="str">
        <f>'Door - Step 2'!A82</f>
        <v xml:space="preserve">ADDITIONAL OPTIONS  &amp; ADD ON - PARTS </v>
      </c>
      <c r="B58" s="216"/>
      <c r="C58" s="27" t="str">
        <f>'Door - Step 2'!C82</f>
        <v xml:space="preserve">Category </v>
      </c>
      <c r="D58" s="27">
        <f>'Quotation - Door 2'!D82</f>
        <v>0</v>
      </c>
      <c r="E58" s="20"/>
      <c r="F58" s="20"/>
      <c r="G58" s="20"/>
      <c r="H58" s="71"/>
      <c r="I58" s="20"/>
      <c r="J58" s="20"/>
      <c r="K58" s="71"/>
      <c r="L58" s="19"/>
      <c r="N58" s="4"/>
      <c r="P58" s="4"/>
    </row>
    <row r="59" spans="1:16" x14ac:dyDescent="0.35">
      <c r="A59" s="217"/>
      <c r="B59" s="218"/>
      <c r="C59" s="21" t="str">
        <f>'Door - Step 2'!C83</f>
        <v>Hinge</v>
      </c>
      <c r="D59" s="121" t="str">
        <f>'Quotation - Door 3'!D83</f>
        <v>Not Required</v>
      </c>
      <c r="E59" s="71" t="e">
        <f>IF($D59=0,0,(INDEX('Cost Sheet'!$N:$N,MATCH('Quotation - Door 3'!$D83,'Cost Sheet'!$C:$C,0))))</f>
        <v>#N/A</v>
      </c>
      <c r="F59" s="20"/>
      <c r="G59" s="19" t="s">
        <v>133</v>
      </c>
      <c r="H59" s="71">
        <f>+'Accessories Install - Labour'!$E$17</f>
        <v>21.666666666666668</v>
      </c>
      <c r="I59" s="71" t="e">
        <f>+E59+H59</f>
        <v>#N/A</v>
      </c>
      <c r="J59" s="71" t="e">
        <f>IF($D59=0,0,(INDEX('Cost Sheet'!$V:$V,MATCH('Quotation - Door 3'!$D83,'Cost Sheet'!$C:$C,0))))</f>
        <v>#N/A</v>
      </c>
      <c r="K59" s="71">
        <f>+'Accessories Install - Labour'!$F$15</f>
        <v>13</v>
      </c>
      <c r="L59" s="71" t="e">
        <f t="shared" ref="L59:L70" si="13">+J59+K59</f>
        <v>#N/A</v>
      </c>
      <c r="N59" s="4"/>
      <c r="P59" s="4"/>
    </row>
    <row r="60" spans="1:16" x14ac:dyDescent="0.35">
      <c r="A60" s="217"/>
      <c r="B60" s="218"/>
      <c r="C60" s="168" t="str">
        <f>'Door - Step 2'!C84</f>
        <v>Additional Hinge 1</v>
      </c>
      <c r="D60" s="121">
        <f>'Quotation - Door 3'!D84</f>
        <v>0</v>
      </c>
      <c r="E60" s="71">
        <f>IF($D60=0,0,(INDEX('Cost Sheet'!$N:$N,MATCH('Quotation - Door 3'!$D84,'Cost Sheet'!$C:$C,0))))</f>
        <v>0</v>
      </c>
      <c r="F60" s="20"/>
      <c r="G60" s="19" t="s">
        <v>133</v>
      </c>
      <c r="H60" s="71">
        <f>+'Accessories Install - Labour'!$E$17</f>
        <v>21.666666666666668</v>
      </c>
      <c r="I60" s="71">
        <f t="shared" ref="I60:I70" si="14">+E60+H60</f>
        <v>21.666666666666668</v>
      </c>
      <c r="J60" s="71">
        <f>IF($D60=0,0,(INDEX('Cost Sheet'!$V:$V,MATCH('Quotation - Door 3'!$D84,'Cost Sheet'!$C:$C,0))))</f>
        <v>0</v>
      </c>
      <c r="K60" s="71">
        <f>+'Accessories Install - Labour'!$F$15</f>
        <v>13</v>
      </c>
      <c r="L60" s="71">
        <f t="shared" si="13"/>
        <v>13</v>
      </c>
      <c r="N60" s="4"/>
      <c r="P60" s="4"/>
    </row>
    <row r="61" spans="1:16" x14ac:dyDescent="0.35">
      <c r="A61" s="217"/>
      <c r="B61" s="218"/>
      <c r="C61" s="168" t="str">
        <f>'Door - Step 2'!C85</f>
        <v>Additional Hinge 2</v>
      </c>
      <c r="D61" s="121">
        <f>'Quotation - Door 3'!D85</f>
        <v>0</v>
      </c>
      <c r="E61" s="71">
        <f>IF($D61=0,0,(INDEX('Cost Sheet'!$N:$N,MATCH('Quotation - Door 3'!$D85,'Cost Sheet'!$C:$C,0))))</f>
        <v>0</v>
      </c>
      <c r="F61" s="20"/>
      <c r="G61" s="19" t="s">
        <v>133</v>
      </c>
      <c r="H61" s="71">
        <f>+'Accessories Install - Labour'!$E$17</f>
        <v>21.666666666666668</v>
      </c>
      <c r="I61" s="71">
        <f t="shared" si="14"/>
        <v>21.666666666666668</v>
      </c>
      <c r="J61" s="71">
        <f>IF($D61=0,0,(INDEX('Cost Sheet'!$V:$V,MATCH('Quotation - Door 3'!$D85,'Cost Sheet'!$C:$C,0))))</f>
        <v>0</v>
      </c>
      <c r="K61" s="71">
        <f>+'Accessories Install - Labour'!$F$15</f>
        <v>13</v>
      </c>
      <c r="L61" s="71">
        <f t="shared" si="13"/>
        <v>13</v>
      </c>
      <c r="N61" s="4"/>
      <c r="P61" s="4"/>
    </row>
    <row r="62" spans="1:16" x14ac:dyDescent="0.35">
      <c r="A62" s="217"/>
      <c r="B62" s="218"/>
      <c r="C62" s="168" t="str">
        <f>'Door - Step 2'!C86</f>
        <v>Additional Hinge 3</v>
      </c>
      <c r="D62" s="121">
        <f>'Quotation - Door 3'!D86</f>
        <v>0</v>
      </c>
      <c r="E62" s="71">
        <f>IF($D62=0,0,(INDEX('Cost Sheet'!$N:$N,MATCH('Quotation - Door 3'!$D86,'Cost Sheet'!$C:$C,0))))</f>
        <v>0</v>
      </c>
      <c r="F62" s="20"/>
      <c r="G62" s="19" t="s">
        <v>133</v>
      </c>
      <c r="H62" s="71">
        <f>+'Accessories Install - Labour'!$E$17</f>
        <v>21.666666666666668</v>
      </c>
      <c r="I62" s="71">
        <f t="shared" si="14"/>
        <v>21.666666666666668</v>
      </c>
      <c r="J62" s="71">
        <f>IF($D62=0,0,(INDEX('Cost Sheet'!$V:$V,MATCH('Quotation - Door 3'!$D86,'Cost Sheet'!$C:$C,0))))</f>
        <v>0</v>
      </c>
      <c r="K62" s="71">
        <f>+'Accessories Install - Labour'!$F$15</f>
        <v>13</v>
      </c>
      <c r="L62" s="71">
        <f t="shared" si="13"/>
        <v>13</v>
      </c>
      <c r="N62" s="4"/>
      <c r="P62" s="4"/>
    </row>
    <row r="63" spans="1:16" x14ac:dyDescent="0.35">
      <c r="A63" s="217"/>
      <c r="B63" s="218"/>
      <c r="C63" s="21" t="str">
        <f>'Door - Step 2'!C87</f>
        <v>Latch</v>
      </c>
      <c r="D63" s="121" t="str">
        <f>'Quotation - Door 3'!D87</f>
        <v>Not Required</v>
      </c>
      <c r="E63" s="71" t="e">
        <f>IF($D63=0,0,(INDEX('Cost Sheet'!$N:$N,MATCH('Quotation - Door 3'!$D87,'Cost Sheet'!$C:$C,0))))</f>
        <v>#N/A</v>
      </c>
      <c r="F63" s="20"/>
      <c r="G63" s="19" t="s">
        <v>133</v>
      </c>
      <c r="H63" s="71">
        <f>+'Accessories Install - Labour'!$E$17</f>
        <v>21.666666666666668</v>
      </c>
      <c r="I63" s="71" t="e">
        <f t="shared" si="14"/>
        <v>#N/A</v>
      </c>
      <c r="J63" s="71" t="e">
        <f>IF($D63=0,0,(INDEX('Cost Sheet'!$V:$V,MATCH('Quotation - Door 3'!$D87,'Cost Sheet'!$C:$C,0))))</f>
        <v>#N/A</v>
      </c>
      <c r="K63" s="71">
        <f>+'Accessories Install - Labour'!$F$17</f>
        <v>21.666666666666668</v>
      </c>
      <c r="L63" s="71" t="e">
        <f t="shared" si="13"/>
        <v>#N/A</v>
      </c>
      <c r="N63" s="4"/>
      <c r="P63" s="4"/>
    </row>
    <row r="64" spans="1:16" x14ac:dyDescent="0.35">
      <c r="A64" s="217"/>
      <c r="B64" s="218"/>
      <c r="C64" s="168" t="str">
        <f>'Door - Step 2'!C88</f>
        <v>Additional Latch 1</v>
      </c>
      <c r="D64" s="121">
        <f>'Quotation - Door 3'!D88</f>
        <v>0</v>
      </c>
      <c r="E64" s="71">
        <f>IF($D64=0,0,(INDEX('Cost Sheet'!$N:$N,MATCH('Quotation - Door 3'!$D88,'Cost Sheet'!$C:$C,0))))</f>
        <v>0</v>
      </c>
      <c r="F64" s="20"/>
      <c r="G64" s="19" t="s">
        <v>133</v>
      </c>
      <c r="H64" s="71">
        <f>+'Accessories Install - Labour'!$E$17</f>
        <v>21.666666666666668</v>
      </c>
      <c r="I64" s="71">
        <f t="shared" si="14"/>
        <v>21.666666666666668</v>
      </c>
      <c r="J64" s="71">
        <f>IF($D64=0,0,(INDEX('Cost Sheet'!$V:$V,MATCH('Quotation - Door 3'!$D88,'Cost Sheet'!$C:$C,0))))</f>
        <v>0</v>
      </c>
      <c r="K64" s="71">
        <f>+'Accessories Install - Labour'!$F$17</f>
        <v>21.666666666666668</v>
      </c>
      <c r="L64" s="71">
        <f t="shared" si="13"/>
        <v>21.666666666666668</v>
      </c>
      <c r="N64" s="4"/>
      <c r="P64" s="4"/>
    </row>
    <row r="65" spans="1:17" x14ac:dyDescent="0.35">
      <c r="A65" s="217"/>
      <c r="B65" s="218"/>
      <c r="C65" s="168" t="str">
        <f>'Door - Step 2'!C89</f>
        <v>Additional Latch 2</v>
      </c>
      <c r="D65" s="121">
        <f>'Quotation - Door 3'!D89</f>
        <v>0</v>
      </c>
      <c r="E65" s="71">
        <f>IF($D65=0,0,(INDEX('Cost Sheet'!$N:$N,MATCH('Quotation - Door 3'!$D89,'Cost Sheet'!$C:$C,0))))</f>
        <v>0</v>
      </c>
      <c r="F65" s="20"/>
      <c r="G65" s="19" t="s">
        <v>133</v>
      </c>
      <c r="H65" s="71">
        <f>+'Accessories Install - Labour'!$E$17</f>
        <v>21.666666666666668</v>
      </c>
      <c r="I65" s="71">
        <f t="shared" si="14"/>
        <v>21.666666666666668</v>
      </c>
      <c r="J65" s="71">
        <f>IF($D65=0,0,(INDEX('Cost Sheet'!$V:$V,MATCH('Quotation - Door 3'!$D89,'Cost Sheet'!$C:$C,0))))</f>
        <v>0</v>
      </c>
      <c r="K65" s="71">
        <f>+'Accessories Install - Labour'!$F$17</f>
        <v>21.666666666666668</v>
      </c>
      <c r="L65" s="71">
        <f t="shared" si="13"/>
        <v>21.666666666666668</v>
      </c>
      <c r="N65" s="4"/>
      <c r="P65" s="4"/>
    </row>
    <row r="66" spans="1:17" x14ac:dyDescent="0.35">
      <c r="A66" s="217"/>
      <c r="B66" s="218"/>
      <c r="C66" s="21" t="str">
        <f>'Door - Step 2'!C90</f>
        <v xml:space="preserve">Interior Release </v>
      </c>
      <c r="D66" s="121">
        <f>'Quotation - Door 3'!D90</f>
        <v>0</v>
      </c>
      <c r="E66" s="71">
        <f>IF($D66=0,0,(INDEX('Cost Sheet'!$N:$N,MATCH('Quotation - Door 3'!$D90,'Cost Sheet'!$C:$C,0))))</f>
        <v>0</v>
      </c>
      <c r="F66" s="20"/>
      <c r="G66" s="19" t="s">
        <v>133</v>
      </c>
      <c r="H66" s="71">
        <f>+IF($D66=0,0,INDEX('Accessories Install - Labour'!$E:$E,MATCH($D66,'Accessories Install - Labour'!$C:$C,0)))</f>
        <v>0</v>
      </c>
      <c r="I66" s="71">
        <f t="shared" si="14"/>
        <v>0</v>
      </c>
      <c r="J66" s="71">
        <f>IF($D66=0,0,(INDEX('Cost Sheet'!$S:$S,MATCH('Quotation - Door 2'!$D90,'Cost Sheet'!$C:$C,0))))</f>
        <v>0</v>
      </c>
      <c r="K66" s="71">
        <f>+IF($D66=0,0,INDEX('Accessories Install - Labour'!$F:$F,MATCH($D66,'Accessories Install - Labour'!$C:$C,0)))</f>
        <v>0</v>
      </c>
      <c r="L66" s="71">
        <f t="shared" si="13"/>
        <v>0</v>
      </c>
      <c r="N66" s="4"/>
      <c r="P66" s="4"/>
    </row>
    <row r="67" spans="1:17" x14ac:dyDescent="0.35">
      <c r="A67" s="217"/>
      <c r="B67" s="218"/>
      <c r="C67" s="21" t="str">
        <f>'Door - Step 2'!C91</f>
        <v>Hook</v>
      </c>
      <c r="D67" s="121">
        <f>'Quotation - Door 3'!D91</f>
        <v>0</v>
      </c>
      <c r="E67" s="71">
        <f>IF($D67=0,0,(INDEX('Cost Sheet'!$N:$N,MATCH('Quotation - Door 3'!$D91,'Cost Sheet'!$C:$C,0))))</f>
        <v>0</v>
      </c>
      <c r="F67" s="20"/>
      <c r="G67" s="19" t="s">
        <v>133</v>
      </c>
      <c r="H67" s="71">
        <f>+IF($D67=0,0,INDEX('Accessories Install - Labour'!$E:$E,MATCH($D67,'Accessories Install - Labour'!$C:$C,0)))</f>
        <v>0</v>
      </c>
      <c r="I67" s="71">
        <f t="shared" si="14"/>
        <v>0</v>
      </c>
      <c r="J67" s="71">
        <f>IF($D67=0,0,(INDEX('Cost Sheet'!$S:$S,MATCH('Quotation - Door 2'!$D91,'Cost Sheet'!$C:$C,0))))</f>
        <v>0</v>
      </c>
      <c r="K67" s="71">
        <f>+IF($D67=0,0,INDEX('Accessories Install - Labour'!$F:$F,MATCH($D67,'Accessories Install - Labour'!$C:$C,0)))</f>
        <v>0</v>
      </c>
      <c r="L67" s="71">
        <f t="shared" si="13"/>
        <v>0</v>
      </c>
      <c r="N67" s="4"/>
      <c r="P67" s="4"/>
    </row>
    <row r="68" spans="1:17" x14ac:dyDescent="0.35">
      <c r="A68" s="217"/>
      <c r="B68" s="218"/>
      <c r="C68" s="21" t="str">
        <f>'Door - Step 2'!C92</f>
        <v xml:space="preserve">Door Closer </v>
      </c>
      <c r="D68" s="121" t="str">
        <f>'Quotation - Door 3'!D92</f>
        <v>Not Required</v>
      </c>
      <c r="E68" s="71" t="e">
        <f>IF($D68=0,0,(INDEX('Cost Sheet'!$N:$N,MATCH('Quotation - Door 3'!$D92,'Cost Sheet'!$C:$C,0))))</f>
        <v>#N/A</v>
      </c>
      <c r="F68" s="20"/>
      <c r="G68" s="19" t="s">
        <v>133</v>
      </c>
      <c r="H68" s="71" t="e">
        <f>+IF($D68=0,0,INDEX('Accessories Install - Labour'!$E:$E,MATCH($D68,'Accessories Install - Labour'!$C:$C,0)))</f>
        <v>#N/A</v>
      </c>
      <c r="I68" s="71" t="e">
        <f t="shared" si="14"/>
        <v>#N/A</v>
      </c>
      <c r="J68" s="71">
        <f>IF($D68=0,0,(INDEX('Cost Sheet'!$S:$S,MATCH('Quotation - Door 2'!$D92,'Cost Sheet'!$C:$C,0))))</f>
        <v>24</v>
      </c>
      <c r="K68" s="71" t="e">
        <f>+IF($D68=0,0,INDEX('Accessories Install - Labour'!$F:$F,MATCH($D68,'Accessories Install - Labour'!$C:$C,0)))</f>
        <v>#N/A</v>
      </c>
      <c r="L68" s="71" t="e">
        <f t="shared" si="13"/>
        <v>#N/A</v>
      </c>
      <c r="N68" s="4"/>
      <c r="P68" s="4"/>
    </row>
    <row r="69" spans="1:17" x14ac:dyDescent="0.35">
      <c r="A69" s="217"/>
      <c r="B69" s="218"/>
      <c r="C69" s="21" t="str">
        <f>'Door - Step 2'!C93</f>
        <v>Strike</v>
      </c>
      <c r="D69" s="121">
        <f>'Quotation - Door 3'!D93</f>
        <v>0</v>
      </c>
      <c r="E69" s="71">
        <f>IF($D69=0,0,(INDEX('Cost Sheet'!$N:$N,MATCH('Quotation - Door 3'!$D93,'Cost Sheet'!$C:$C,0))))</f>
        <v>0</v>
      </c>
      <c r="F69" s="20"/>
      <c r="G69" s="19" t="s">
        <v>133</v>
      </c>
      <c r="H69" s="71">
        <f>+IF($D69=0,0,INDEX('Accessories Install - Labour'!$E:$E,MATCH($D69,'Accessories Install - Labour'!$C:$C,0)))</f>
        <v>0</v>
      </c>
      <c r="I69" s="71">
        <f t="shared" si="14"/>
        <v>0</v>
      </c>
      <c r="J69" s="71">
        <f>IF($D69=0,0,(INDEX('Cost Sheet'!$S:$S,MATCH('Quotation - Door 2'!$D93,'Cost Sheet'!$C:$C,0))))</f>
        <v>0</v>
      </c>
      <c r="K69" s="71">
        <f>+IF($D69=0,0,INDEX('Accessories Install - Labour'!$F:$F,MATCH($D69,'Accessories Install - Labour'!$C:$C,0)))</f>
        <v>0</v>
      </c>
      <c r="L69" s="71">
        <f t="shared" si="13"/>
        <v>0</v>
      </c>
      <c r="N69" s="4"/>
      <c r="P69" s="4"/>
    </row>
    <row r="70" spans="1:17" x14ac:dyDescent="0.35">
      <c r="A70" s="217"/>
      <c r="B70" s="218"/>
      <c r="C70" s="21" t="str">
        <f>'Door - Step 2'!C95</f>
        <v xml:space="preserve">Wind Chains </v>
      </c>
      <c r="D70" s="121">
        <f>'Quotation - Door 3'!D95</f>
        <v>0</v>
      </c>
      <c r="E70" s="71">
        <f>IF($D70=0,0,(INDEX('Cost Sheet'!$N:$N,MATCH('Quotation - Door 3'!$D95,'Cost Sheet'!$C:$C,0))))</f>
        <v>0</v>
      </c>
      <c r="F70" s="20"/>
      <c r="G70" s="19" t="s">
        <v>133</v>
      </c>
      <c r="H70" s="71">
        <f>+IF($D70=0,0,INDEX('Accessories Install - Labour'!$E:$E,MATCH($D70,'Accessories Install - Labour'!$C:$C,0)))</f>
        <v>0</v>
      </c>
      <c r="I70" s="71">
        <f t="shared" si="14"/>
        <v>0</v>
      </c>
      <c r="J70" s="71">
        <f>IF($D70=0,0,(INDEX('Cost Sheet'!$S:$S,MATCH('Quotation - Door 2'!$D95,'Cost Sheet'!$C:$C,0))))</f>
        <v>0</v>
      </c>
      <c r="K70" s="71">
        <f>+IF($D70=0,0,INDEX('Accessories Install - Labour'!$F:$F,MATCH($D70,'Accessories Install - Labour'!$C:$C,0)))</f>
        <v>0</v>
      </c>
      <c r="L70" s="71">
        <f t="shared" si="13"/>
        <v>0</v>
      </c>
      <c r="N70" s="4"/>
      <c r="P70" s="4"/>
    </row>
    <row r="71" spans="1:17" x14ac:dyDescent="0.35">
      <c r="A71" s="217"/>
      <c r="B71" s="218"/>
      <c r="C71" s="147" t="str">
        <f>'Door - Step 2'!C106</f>
        <v>Heat Trace - Location &amp; Ft. req.</v>
      </c>
      <c r="D71" s="121">
        <f>'Quotation - Door 3'!D105</f>
        <v>0</v>
      </c>
      <c r="E71" s="71">
        <f>+AVERAGE('Cost Sheet'!$N$102:$N$112)</f>
        <v>0.17090909090909087</v>
      </c>
      <c r="F71" s="20"/>
      <c r="G71" s="19" t="s">
        <v>133</v>
      </c>
      <c r="H71" s="71">
        <f>+IF($D71=0,0,((D71*'Accessories Install - Labour'!$E$43)))</f>
        <v>0</v>
      </c>
      <c r="I71" s="71">
        <f>+(E71*D71)+H71</f>
        <v>0</v>
      </c>
      <c r="J71" s="71">
        <f>+AVERAGE('Cost Sheet'!$V$102:$V$112)</f>
        <v>0.17090909090909087</v>
      </c>
      <c r="K71" s="71">
        <f>+IF($D71=0,0,((D71*'Accessories Install - Labour'!$F$43)))</f>
        <v>0</v>
      </c>
      <c r="L71" s="71">
        <f>_xlfn.IFNA(IF(D71=0,0,((J71*D71)+K71)),0)</f>
        <v>0</v>
      </c>
      <c r="N71" s="4"/>
      <c r="P71" s="4"/>
    </row>
    <row r="72" spans="1:17" x14ac:dyDescent="0.35">
      <c r="A72" s="217"/>
      <c r="B72" s="218"/>
      <c r="C72" s="21" t="str">
        <f>'Door - Step 2'!C107</f>
        <v>Electrical Wire - Ft. required</v>
      </c>
      <c r="D72" s="121">
        <f>'Quotation - Door 3'!D106</f>
        <v>0</v>
      </c>
      <c r="E72" s="71">
        <f>+AVERAGE('Cost Sheet'!$M$131:$M$132)/L6</f>
        <v>0.72237597688396882</v>
      </c>
      <c r="F72" s="20"/>
      <c r="G72" s="19" t="s">
        <v>133</v>
      </c>
      <c r="H72" s="71">
        <f>+IF($D72=0,0,((D72*'Accessories Install - Labour'!$E$46)))</f>
        <v>0</v>
      </c>
      <c r="I72" s="71">
        <f>(E72*D72)+H72</f>
        <v>0</v>
      </c>
      <c r="J72" s="71">
        <f>+AVERAGE('Cost Sheet'!$V$131:$V$132)/L6</f>
        <v>0.72237597688396882</v>
      </c>
      <c r="K72" s="71">
        <f>+IF($D72=0,0,((D72*'Accessories Install - Labour'!$F$46)))</f>
        <v>0</v>
      </c>
      <c r="L72" s="71">
        <f>_xlfn.IFNA(IF(D72=0,0,((J72*D72)+K72)),0)</f>
        <v>0</v>
      </c>
      <c r="O72" s="3"/>
      <c r="P72" s="105"/>
      <c r="Q72" s="3"/>
    </row>
    <row r="73" spans="1:17" ht="21" x14ac:dyDescent="0.35">
      <c r="I73" s="224" t="e">
        <f>SUM(I13:I72)*$D$10</f>
        <v>#N/A</v>
      </c>
      <c r="L73" s="224" t="e">
        <f>SUM(L13:L72)*D10</f>
        <v>#N/A</v>
      </c>
      <c r="O73" s="3"/>
      <c r="P73" s="105"/>
      <c r="Q73" s="3"/>
    </row>
    <row r="74" spans="1:17" x14ac:dyDescent="0.35">
      <c r="D74" s="4"/>
      <c r="H74" s="4"/>
      <c r="K74" s="4"/>
      <c r="L74" s="4"/>
      <c r="O74" s="3"/>
      <c r="P74" s="105"/>
      <c r="Q74" s="3"/>
    </row>
    <row r="75" spans="1:17" x14ac:dyDescent="0.35">
      <c r="D75" s="4"/>
      <c r="H75" s="4"/>
      <c r="K75" s="4"/>
      <c r="L75" s="4"/>
      <c r="O75" s="3"/>
      <c r="P75" s="105"/>
      <c r="Q75" s="3"/>
    </row>
  </sheetData>
  <mergeCells count="18">
    <mergeCell ref="E18:E20"/>
    <mergeCell ref="F18:F20"/>
    <mergeCell ref="G18:G20"/>
    <mergeCell ref="H18:H20"/>
    <mergeCell ref="I18:I20"/>
    <mergeCell ref="K1:L1"/>
    <mergeCell ref="A2:B10"/>
    <mergeCell ref="O2:R2"/>
    <mergeCell ref="K3:L3"/>
    <mergeCell ref="E11:I11"/>
    <mergeCell ref="J11:L11"/>
    <mergeCell ref="AB26:AE26"/>
    <mergeCell ref="AB15:AG15"/>
    <mergeCell ref="AB16:AE16"/>
    <mergeCell ref="AF16:AG16"/>
    <mergeCell ref="J18:J20"/>
    <mergeCell ref="K18:K20"/>
    <mergeCell ref="L18:L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DC1C71-A635-41E1-A139-536B7EAEA219}">
          <x14:formula1>
            <xm:f>Controller!$A$13:$A$21</xm:f>
          </x14:formula1>
          <xm:sqref>D2:D10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DD17-54F2-4B31-85A9-B667F90369D7}">
  <sheetPr codeName="Sheet23">
    <tabColor rgb="FFFF0000"/>
  </sheetPr>
  <dimension ref="A1:AG75"/>
  <sheetViews>
    <sheetView zoomScale="55" zoomScaleNormal="55" workbookViewId="0">
      <selection activeCell="H220" sqref="H220"/>
    </sheetView>
  </sheetViews>
  <sheetFormatPr defaultColWidth="8.58203125" defaultRowHeight="15.5" x14ac:dyDescent="0.35"/>
  <cols>
    <col min="1" max="2" width="19.83203125" style="4" customWidth="1"/>
    <col min="3" max="3" width="33.25" style="4" bestFit="1" customWidth="1"/>
    <col min="4" max="4" width="45.58203125" style="3" bestFit="1" customWidth="1"/>
    <col min="5" max="5" width="24" style="4" bestFit="1" customWidth="1"/>
    <col min="6" max="6" width="22.83203125" style="4" bestFit="1" customWidth="1"/>
    <col min="7" max="7" width="27.08203125" style="4" bestFit="1" customWidth="1"/>
    <col min="8" max="8" width="17.5" style="188" bestFit="1" customWidth="1"/>
    <col min="9" max="9" width="24.25" style="4" bestFit="1" customWidth="1"/>
    <col min="10" max="10" width="18.83203125" style="4" bestFit="1" customWidth="1"/>
    <col min="11" max="11" width="17.5" style="188" bestFit="1" customWidth="1"/>
    <col min="12" max="12" width="24" style="3" bestFit="1" customWidth="1"/>
    <col min="13" max="13" width="19.08203125" style="3" customWidth="1"/>
    <col min="14" max="14" width="27.08203125" style="16" customWidth="1"/>
    <col min="15" max="15" width="24" style="4" bestFit="1" customWidth="1"/>
    <col min="16" max="16" width="20.58203125" style="15" customWidth="1"/>
    <col min="17" max="17" width="15.75" style="4" customWidth="1"/>
    <col min="18" max="18" width="15.5" style="4" bestFit="1" customWidth="1"/>
    <col min="19" max="19" width="16.33203125" style="4" customWidth="1"/>
    <col min="20" max="20" width="17.58203125" style="4" customWidth="1"/>
    <col min="21" max="21" width="21" style="4" bestFit="1" customWidth="1"/>
    <col min="22" max="22" width="14.25" style="4" bestFit="1" customWidth="1"/>
    <col min="23" max="23" width="21.5" style="4" bestFit="1" customWidth="1"/>
    <col min="24" max="24" width="10.83203125" style="4" bestFit="1" customWidth="1"/>
    <col min="25" max="25" width="16.25" style="4" bestFit="1" customWidth="1"/>
    <col min="26" max="27" width="8.58203125" style="4"/>
    <col min="28" max="33" width="17.58203125" style="4" customWidth="1"/>
    <col min="34" max="16384" width="8.58203125" style="4"/>
  </cols>
  <sheetData>
    <row r="1" spans="1:33" x14ac:dyDescent="0.35">
      <c r="K1" s="934" t="s">
        <v>278</v>
      </c>
      <c r="L1" s="934"/>
      <c r="M1" s="19" t="s">
        <v>279</v>
      </c>
      <c r="N1" s="28" t="s">
        <v>280</v>
      </c>
    </row>
    <row r="2" spans="1:33" x14ac:dyDescent="0.35">
      <c r="A2" s="908" t="str">
        <f>'Door - Step 2'!A30</f>
        <v>DOOR TYPE DETAILS</v>
      </c>
      <c r="B2" s="942"/>
      <c r="C2" s="31" t="str">
        <f>'Door - Step 2'!C30</f>
        <v>Door Type</v>
      </c>
      <c r="D2" s="46">
        <f>'Quotation - Door 4'!$D30</f>
        <v>0</v>
      </c>
      <c r="K2" s="71" t="s">
        <v>281</v>
      </c>
      <c r="L2" s="19">
        <v>8.3330000000000001E-2</v>
      </c>
      <c r="M2" s="175"/>
      <c r="N2" s="173">
        <f>+M2*L2</f>
        <v>0</v>
      </c>
      <c r="O2" s="752" t="s">
        <v>282</v>
      </c>
      <c r="P2" s="931"/>
      <c r="Q2" s="931"/>
      <c r="R2" s="931"/>
      <c r="U2" s="162" t="s">
        <v>283</v>
      </c>
      <c r="W2" s="162" t="s">
        <v>284</v>
      </c>
      <c r="Y2" s="162" t="s">
        <v>285</v>
      </c>
      <c r="AB2" s="162" t="s">
        <v>286</v>
      </c>
    </row>
    <row r="3" spans="1:33" x14ac:dyDescent="0.35">
      <c r="A3" s="909"/>
      <c r="B3" s="943"/>
      <c r="C3" s="31" t="str">
        <f>'Door - Step 2'!C31</f>
        <v xml:space="preserve">Cooler / Freezer </v>
      </c>
      <c r="D3" s="46">
        <f>'Quotation - Door 4'!$D31</f>
        <v>0</v>
      </c>
      <c r="K3" s="935"/>
      <c r="L3" s="936"/>
      <c r="M3" s="19" t="s">
        <v>290</v>
      </c>
      <c r="N3" s="28" t="s">
        <v>291</v>
      </c>
      <c r="O3" s="151" t="s">
        <v>292</v>
      </c>
      <c r="P3" s="19">
        <v>2.5</v>
      </c>
      <c r="Q3" s="15"/>
      <c r="U3" s="4" t="s">
        <v>293</v>
      </c>
      <c r="W3" s="4" t="s">
        <v>294</v>
      </c>
      <c r="Y3" s="4" t="s">
        <v>295</v>
      </c>
      <c r="Z3" s="194">
        <f>18*'Calculation Sheet - BOM '!$L$2</f>
        <v>1.4999400000000001</v>
      </c>
      <c r="AB3" s="4" t="s">
        <v>57</v>
      </c>
    </row>
    <row r="4" spans="1:33" x14ac:dyDescent="0.35">
      <c r="A4" s="909"/>
      <c r="B4" s="943"/>
      <c r="C4" s="31" t="str">
        <f>'Door - Step 2'!C32</f>
        <v>Frame Structure</v>
      </c>
      <c r="D4" s="46">
        <f>'Quotation - Door 4'!$D32</f>
        <v>0</v>
      </c>
      <c r="K4" s="71" t="s">
        <v>299</v>
      </c>
      <c r="L4" s="19">
        <f>+L2*L2</f>
        <v>6.9438889000000004E-3</v>
      </c>
      <c r="M4" s="175"/>
      <c r="N4" s="174">
        <f>+L4*M4</f>
        <v>0</v>
      </c>
      <c r="O4" s="151" t="s">
        <v>300</v>
      </c>
      <c r="P4" s="71">
        <v>2.65</v>
      </c>
      <c r="Q4" s="15"/>
      <c r="U4" s="4" t="s">
        <v>301</v>
      </c>
      <c r="W4" s="4" t="s">
        <v>302</v>
      </c>
      <c r="Y4" s="4" t="s">
        <v>303</v>
      </c>
      <c r="Z4" s="194">
        <f>24*'Calculation Sheet - BOM '!$L$2</f>
        <v>1.9999199999999999</v>
      </c>
      <c r="AB4" s="4" t="s">
        <v>79</v>
      </c>
    </row>
    <row r="5" spans="1:33" x14ac:dyDescent="0.35">
      <c r="A5" s="909"/>
      <c r="B5" s="943"/>
      <c r="C5" s="31" t="str">
        <f>'Door - Step 2'!C33</f>
        <v>Motorized/Manual</v>
      </c>
      <c r="D5" s="46">
        <f>'Quotation - Door 4'!$D33</f>
        <v>0</v>
      </c>
      <c r="M5" s="3" t="s">
        <v>307</v>
      </c>
      <c r="N5" s="16" t="s">
        <v>280</v>
      </c>
      <c r="O5" s="46" t="s">
        <v>308</v>
      </c>
      <c r="P5" s="71">
        <f>+P4*'Cost Sheet'!Z1</f>
        <v>3.8424999999999998</v>
      </c>
      <c r="Q5" s="15"/>
      <c r="W5" s="4" t="s">
        <v>309</v>
      </c>
      <c r="Y5" s="4" t="s">
        <v>310</v>
      </c>
      <c r="Z5" s="194">
        <f>36*'Calculation Sheet - BOM '!$L$2</f>
        <v>2.9998800000000001</v>
      </c>
    </row>
    <row r="6" spans="1:33" ht="31" x14ac:dyDescent="0.35">
      <c r="A6" s="909"/>
      <c r="B6" s="943"/>
      <c r="C6" s="46" t="str">
        <f>'Door - Step 2'!C34</f>
        <v>Width (Inches)</v>
      </c>
      <c r="D6" s="46">
        <f>'Quotation - Door 4'!$D34</f>
        <v>0</v>
      </c>
      <c r="K6" s="188" t="s">
        <v>311</v>
      </c>
      <c r="L6" s="3">
        <v>3.28084</v>
      </c>
      <c r="M6" s="3">
        <v>1</v>
      </c>
      <c r="N6" s="16">
        <f>+L6*M6</f>
        <v>3.28084</v>
      </c>
      <c r="O6" s="118" t="s">
        <v>312</v>
      </c>
      <c r="P6" s="118" t="s">
        <v>313</v>
      </c>
      <c r="Q6" s="118" t="s">
        <v>314</v>
      </c>
      <c r="R6" s="118" t="s">
        <v>315</v>
      </c>
      <c r="S6" s="118" t="s">
        <v>316</v>
      </c>
      <c r="T6" s="118" t="s">
        <v>317</v>
      </c>
      <c r="W6" s="4" t="s">
        <v>93</v>
      </c>
      <c r="Y6" s="4" t="s">
        <v>318</v>
      </c>
      <c r="Z6" s="194">
        <f>48*'Calculation Sheet - BOM '!$L$2</f>
        <v>3.9998399999999998</v>
      </c>
    </row>
    <row r="7" spans="1:33" x14ac:dyDescent="0.35">
      <c r="A7" s="909"/>
      <c r="B7" s="943"/>
      <c r="C7" s="46" t="str">
        <f>'Door - Step 2'!C35</f>
        <v>Height (inches)</v>
      </c>
      <c r="D7" s="46">
        <f>'Quotation - Door 4'!$D35</f>
        <v>0</v>
      </c>
      <c r="O7" s="30">
        <v>0.60499999999999998</v>
      </c>
      <c r="P7" s="19">
        <v>3</v>
      </c>
      <c r="Q7" s="124">
        <f>O7*$P$5</f>
        <v>2.3247125</v>
      </c>
      <c r="R7" s="163">
        <f>+Q7/144</f>
        <v>1.6143836805555555E-2</v>
      </c>
      <c r="S7" s="164">
        <v>0</v>
      </c>
      <c r="T7" s="163">
        <f>+R7/(1-S7)</f>
        <v>1.6143836805555555E-2</v>
      </c>
      <c r="W7" s="4" t="s">
        <v>319</v>
      </c>
    </row>
    <row r="8" spans="1:33" x14ac:dyDescent="0.35">
      <c r="A8" s="909"/>
      <c r="B8" s="943"/>
      <c r="C8" s="46" t="str">
        <f>'Door - Step 2'!C36</f>
        <v>Depth (Inches)</v>
      </c>
      <c r="D8" s="46">
        <f>'Quotation - Door 4'!$D36</f>
        <v>0</v>
      </c>
      <c r="O8" s="30">
        <v>0.81</v>
      </c>
      <c r="P8" s="19">
        <v>4</v>
      </c>
      <c r="Q8" s="124">
        <f>O8*$P$5</f>
        <v>3.112425</v>
      </c>
      <c r="R8" s="163">
        <f>+Q8/144</f>
        <v>2.16140625E-2</v>
      </c>
      <c r="S8" s="164">
        <v>0</v>
      </c>
      <c r="T8" s="163">
        <f t="shared" ref="T8:T11" si="0">+R8/(1-S8)</f>
        <v>2.16140625E-2</v>
      </c>
      <c r="Y8" s="162" t="s">
        <v>330</v>
      </c>
    </row>
    <row r="9" spans="1:33" x14ac:dyDescent="0.35">
      <c r="A9" s="909"/>
      <c r="B9" s="943"/>
      <c r="C9" s="21" t="s">
        <v>67</v>
      </c>
      <c r="D9" s="46">
        <f>'Quotation - Door 4'!$D37</f>
        <v>0</v>
      </c>
      <c r="O9" s="30">
        <v>1.0062500000000001</v>
      </c>
      <c r="P9" s="19">
        <v>5</v>
      </c>
      <c r="Q9" s="124">
        <f>O9*$P$5</f>
        <v>3.8665156250000003</v>
      </c>
      <c r="R9" s="163">
        <f>+Q9/144</f>
        <v>2.6850802951388891E-2</v>
      </c>
      <c r="S9" s="164">
        <v>0</v>
      </c>
      <c r="T9" s="163">
        <f t="shared" si="0"/>
        <v>2.6850802951388891E-2</v>
      </c>
      <c r="W9" s="162" t="s">
        <v>197</v>
      </c>
      <c r="Y9" s="4" t="s">
        <v>86</v>
      </c>
    </row>
    <row r="10" spans="1:33" x14ac:dyDescent="0.35">
      <c r="A10" s="909"/>
      <c r="B10" s="943"/>
      <c r="C10" s="78" t="str">
        <f>'Door - Step 2'!C38</f>
        <v>QUANTITY (COUNT)</v>
      </c>
      <c r="D10" s="46">
        <f>'Quotation - Door 4'!$D38</f>
        <v>0</v>
      </c>
      <c r="O10" s="30">
        <v>1.2075</v>
      </c>
      <c r="P10" s="19">
        <v>6</v>
      </c>
      <c r="Q10" s="124">
        <f>O10*$P$5</f>
        <v>4.6398187499999999</v>
      </c>
      <c r="R10" s="163">
        <f>+Q10/144</f>
        <v>3.2220963541666668E-2</v>
      </c>
      <c r="S10" s="164">
        <v>0</v>
      </c>
      <c r="T10" s="163">
        <f t="shared" si="0"/>
        <v>3.2220963541666668E-2</v>
      </c>
      <c r="W10" s="4" t="s">
        <v>85</v>
      </c>
      <c r="Y10" s="4" t="s">
        <v>53</v>
      </c>
    </row>
    <row r="11" spans="1:33" ht="31" x14ac:dyDescent="0.35">
      <c r="D11" s="105"/>
      <c r="E11" s="931" t="s">
        <v>332</v>
      </c>
      <c r="F11" s="931"/>
      <c r="G11" s="931"/>
      <c r="H11" s="931"/>
      <c r="I11" s="931"/>
      <c r="J11" s="931" t="s">
        <v>265</v>
      </c>
      <c r="K11" s="931"/>
      <c r="L11" s="931"/>
      <c r="N11" s="169" t="s">
        <v>333</v>
      </c>
      <c r="O11" s="30">
        <f>+P11*O7/P7</f>
        <v>0.30249999999999999</v>
      </c>
      <c r="P11" s="170">
        <v>1.5</v>
      </c>
      <c r="Q11" s="124">
        <f>O11*$P$5</f>
        <v>1.16235625</v>
      </c>
      <c r="R11" s="163">
        <f>+Q11/144</f>
        <v>8.0719184027777773E-3</v>
      </c>
      <c r="S11" s="164">
        <v>0</v>
      </c>
      <c r="T11" s="163">
        <f t="shared" si="0"/>
        <v>8.0719184027777773E-3</v>
      </c>
      <c r="W11" s="4" t="s">
        <v>48</v>
      </c>
    </row>
    <row r="12" spans="1:33" ht="43.5" x14ac:dyDescent="0.35">
      <c r="A12" s="543" t="str">
        <f>'Door - Step 2'!A41</f>
        <v>DOOR AND OPTIONS SPECS</v>
      </c>
      <c r="B12" s="77" t="str">
        <f>'Door - Step 2'!B41</f>
        <v>Feature</v>
      </c>
      <c r="C12" s="77" t="str">
        <f>'Door - Step 2'!C41</f>
        <v>Door Panel and Frame</v>
      </c>
      <c r="D12" s="150">
        <f>'Quotation - Door 4'!D41</f>
        <v>0</v>
      </c>
      <c r="E12" s="160" t="s">
        <v>321</v>
      </c>
      <c r="F12" s="160" t="s">
        <v>334</v>
      </c>
      <c r="G12" s="160" t="s">
        <v>322</v>
      </c>
      <c r="H12" s="220" t="s">
        <v>335</v>
      </c>
      <c r="I12" s="160" t="s">
        <v>336</v>
      </c>
      <c r="J12" s="160" t="s">
        <v>337</v>
      </c>
      <c r="K12" s="220" t="s">
        <v>338</v>
      </c>
      <c r="L12" s="160" t="s">
        <v>339</v>
      </c>
      <c r="N12" s="172" t="s">
        <v>340</v>
      </c>
      <c r="O12" s="3">
        <v>5.75</v>
      </c>
      <c r="W12" s="4" t="s">
        <v>486</v>
      </c>
    </row>
    <row r="13" spans="1:33" ht="62" x14ac:dyDescent="0.35">
      <c r="A13" s="544"/>
      <c r="B13" s="21" t="str">
        <f>'Door - Step 2'!B42</f>
        <v>Main</v>
      </c>
      <c r="C13" s="21" t="str">
        <f>'Quotation - Door 4'!C42</f>
        <v>Door Panel</v>
      </c>
      <c r="D13" s="121">
        <f>'Quotation - Door 4'!D42</f>
        <v>0</v>
      </c>
      <c r="E13" s="71">
        <f>_xlfn.IFNA(INDEX('Cost Sheet'!$N:$N,MATCH($D13,'Cost Sheet'!$C:$C,0)),0)</f>
        <v>0</v>
      </c>
      <c r="F13" s="30">
        <f>+((($D$6*$D$7)*2)+(($D$6+$D$7)*$D$8*2))*('Calculation Sheet - BOM '!$L$2*'Calculation Sheet - BOM '!$L$2)</f>
        <v>0</v>
      </c>
      <c r="G13" s="49" t="s">
        <v>341</v>
      </c>
      <c r="H13" s="71">
        <f>('Cost Sheet'!$N$26*5*4)+((($D$6+$D$7)*2*$D$8)*('Calculation Sheet - BOM '!$L$2*'Calculation Sheet - BOM '!$L$2)*'Cost Sheet'!$N$27)+((($D$6+$D$7)*2)*'Calculation Sheet - BOM '!$L$2*'Cost Sheet'!$N$67)+((($D$6+$D$7)*2)*'Calculation Sheet - BOM '!$L$2*'Cost Sheet'!$N$68)</f>
        <v>15</v>
      </c>
      <c r="I13" s="71">
        <f>+(E13*F13)+H13</f>
        <v>15</v>
      </c>
      <c r="J13" s="71">
        <f>_xlfn.IFNA(INDEX('Cost Sheet'!$V:$V,MATCH($D13,'Cost Sheet'!$C:$C,0)),0)</f>
        <v>0</v>
      </c>
      <c r="K13" s="71">
        <f>('Cost Sheet'!$V$26*5*4)+((($D$6+$D$7)*2*$D$8)*('Calculation Sheet - BOM '!$L$2*'Calculation Sheet - BOM '!$L$2)*'Cost Sheet'!$V$27)+((($D$6+$D$7)*2)*'Calculation Sheet - BOM '!$L$2*'Cost Sheet'!$V$67)+((($D$6+$D$7)*2)*'Calculation Sheet - BOM '!$L$2*'Cost Sheet'!$V$68)</f>
        <v>15</v>
      </c>
      <c r="L13" s="71">
        <f>+(J13*F13)+K13</f>
        <v>15</v>
      </c>
      <c r="O13" s="3"/>
      <c r="P13" s="105"/>
      <c r="Q13" s="3"/>
    </row>
    <row r="14" spans="1:33" ht="43.5" x14ac:dyDescent="0.35">
      <c r="A14" s="544"/>
      <c r="B14" s="21" t="str">
        <f>'Door - Step 2'!B43</f>
        <v>Main</v>
      </c>
      <c r="C14" s="21" t="str">
        <f>'Quotation - Door 4'!C43</f>
        <v>Face Frame</v>
      </c>
      <c r="D14" s="121">
        <f>'Quotation - Door 4'!D43</f>
        <v>0</v>
      </c>
      <c r="E14" s="71">
        <f>_xlfn.IFNA(INDEX(O$14:O$24,MATCH($D14,$N$14:$N$24,0)),0)</f>
        <v>0</v>
      </c>
      <c r="F14" s="30">
        <f>_xlfn.IFNA(INDEX($Q$14:$Q$24,MATCH($D14,$N$14:$N$24,0)),0)</f>
        <v>0</v>
      </c>
      <c r="G14" s="49"/>
      <c r="H14" s="71"/>
      <c r="I14" s="71">
        <f>_xlfn.IFNA(INDEX(T14:T24,MATCH($D14,$N$14:$N$24,0)),0)</f>
        <v>0</v>
      </c>
      <c r="J14" s="71">
        <f>_xlfn.IFNA(INDEX($U$14:$U$24,MATCH($D14,$N$14:$N$24,0)),0)</f>
        <v>0</v>
      </c>
      <c r="K14" s="71"/>
      <c r="L14" s="71">
        <f>_xlfn.IFNA(INDEX($X$14:$X$24,MATCH($D14,$N$14:$N$24,0)),0)</f>
        <v>0</v>
      </c>
      <c r="N14" s="119" t="s">
        <v>343</v>
      </c>
      <c r="O14" s="160" t="s">
        <v>321</v>
      </c>
      <c r="P14" s="160" t="s">
        <v>322</v>
      </c>
      <c r="Q14" s="160" t="s">
        <v>323</v>
      </c>
      <c r="R14" s="160" t="s">
        <v>324</v>
      </c>
      <c r="S14" s="160" t="s">
        <v>134</v>
      </c>
      <c r="T14" s="160" t="s">
        <v>325</v>
      </c>
      <c r="U14" s="160" t="s">
        <v>326</v>
      </c>
      <c r="V14" s="160" t="s">
        <v>327</v>
      </c>
      <c r="W14" s="160" t="s">
        <v>328</v>
      </c>
      <c r="X14" s="160" t="s">
        <v>329</v>
      </c>
    </row>
    <row r="15" spans="1:33" x14ac:dyDescent="0.35">
      <c r="A15" s="544"/>
      <c r="B15" s="21" t="str">
        <f>'Door - Step 2'!B44</f>
        <v>Option</v>
      </c>
      <c r="C15" s="21" t="str">
        <f>'Quotation - Door 4'!C44</f>
        <v>Inside Jamb</v>
      </c>
      <c r="D15" s="121">
        <f>'Quotation - Door 4'!D44</f>
        <v>0</v>
      </c>
      <c r="E15" s="71">
        <f>_xlfn.IFNA(INDEX(O$26:O$36,MATCH($D15,$N$26:$N$36,0)),0)</f>
        <v>0</v>
      </c>
      <c r="F15" s="30">
        <f>_xlfn.IFNA(INDEX($Q$26:$Q$36,MATCH($D15,$N$26:$N$36,0)),0)</f>
        <v>0</v>
      </c>
      <c r="G15" s="49"/>
      <c r="H15" s="71"/>
      <c r="I15" s="71">
        <f>_xlfn.IFNA(INDEX(T26:T36,MATCH($D15,$N$26:$N$36,0)),0)</f>
        <v>0</v>
      </c>
      <c r="J15" s="71">
        <f>_xlfn.IFNA(INDEX($U$26:$U$36,MATCH($D15,$N$26:$N$36,0)),0)</f>
        <v>0</v>
      </c>
      <c r="K15" s="71"/>
      <c r="L15" s="71">
        <f>_xlfn.IFNA(INDEX($X$26:$X$36,MATCH($D15,$N$26:$N$36,0)),0)</f>
        <v>0</v>
      </c>
      <c r="N15" s="28" t="s">
        <v>344</v>
      </c>
      <c r="O15" s="71">
        <f>+IF($D$3="Freezer",'Cost Sheet'!$N$22,'Cost Sheet'!$N$21)</f>
        <v>11.36</v>
      </c>
      <c r="P15" s="171" t="s">
        <v>345</v>
      </c>
      <c r="Q15" s="30">
        <f>((($D$6*2)+(($D$7+($O$12*2))*2))*'Calculation Sheet - BOM '!$L$2)</f>
        <v>1.91659</v>
      </c>
      <c r="R15" s="71">
        <f>+Q15*O15</f>
        <v>21.772462399999998</v>
      </c>
      <c r="S15" s="71" cm="1">
        <f t="array" ref="S15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5" s="71">
        <f t="shared" ref="T15:T24" si="1">+R15+S15</f>
        <v>21.772462399999998</v>
      </c>
      <c r="U15" s="71">
        <f>+IF($D$3="Freezer",'Cost Sheet'!$V$22,'Cost Sheet'!$V$21)</f>
        <v>11.36</v>
      </c>
      <c r="V15" s="71">
        <f>+U15*Q15</f>
        <v>21.772462399999998</v>
      </c>
      <c r="W15" s="71" cm="1">
        <f t="array" ref="W15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5" s="71">
        <f t="shared" ref="X15:X24" si="2">+V15+W15</f>
        <v>21.772462399999998</v>
      </c>
      <c r="AB15" s="750" t="s">
        <v>180</v>
      </c>
      <c r="AC15" s="751"/>
      <c r="AD15" s="751"/>
      <c r="AE15" s="751"/>
      <c r="AF15" s="751"/>
      <c r="AG15" s="752"/>
    </row>
    <row r="16" spans="1:33" ht="31" x14ac:dyDescent="0.35">
      <c r="A16" s="544"/>
      <c r="B16" s="21" t="str">
        <f>'Door - Step 2'!B45</f>
        <v>Option</v>
      </c>
      <c r="C16" s="21" t="str">
        <f>'Quotation - Door 4'!C45</f>
        <v>Back Frame</v>
      </c>
      <c r="D16" s="121">
        <f>'Quotation - Door 4'!D45</f>
        <v>0</v>
      </c>
      <c r="E16" s="71">
        <f>_xlfn.IFNA(INDEX(O$38:O$58,MATCH($D16,$N$38:$N$58,0)),0)</f>
        <v>0</v>
      </c>
      <c r="F16" s="30">
        <f>_xlfn.IFNA(INDEX($Q$38:$Q$58,MATCH($D16,$N$38:$N$58,0)),0)</f>
        <v>0</v>
      </c>
      <c r="G16" s="49"/>
      <c r="H16" s="71"/>
      <c r="I16" s="71">
        <f>_xlfn.IFNA(INDEX(T38:T58,MATCH($D16,$N$38:$N$58,0)),0)</f>
        <v>0</v>
      </c>
      <c r="J16" s="71">
        <f>_xlfn.IFNA(INDEX($U$38:$U$58,MATCH($D16,$N$38:$N$58,0)),0)</f>
        <v>0</v>
      </c>
      <c r="K16" s="71"/>
      <c r="L16" s="71">
        <f>_xlfn.IFNA(INDEX($X$38:$X$58,MATCH($D16,$N$38:$N$58,0)),0)</f>
        <v>0</v>
      </c>
      <c r="N16" s="28" t="s">
        <v>346</v>
      </c>
      <c r="O16" s="71">
        <f>+$O$15+'Cost Sheet'!$N$10</f>
        <v>12.956203623813632</v>
      </c>
      <c r="P16" s="49" t="s">
        <v>347</v>
      </c>
      <c r="Q16" s="30">
        <f>((($D$6*2)+(($D$7+($O$12*2))*2))*'Calculation Sheet - BOM '!$L$2)</f>
        <v>1.91659</v>
      </c>
      <c r="R16" s="71">
        <f>($O$15*$Q$15)+('Cost Sheet'!$N$10*2*$Q$19)</f>
        <v>27.635824670910267</v>
      </c>
      <c r="S16" s="71" cm="1">
        <f t="array" ref="S16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6" s="71">
        <f t="shared" si="1"/>
        <v>27.635824670910267</v>
      </c>
      <c r="U16" s="71">
        <f>+$U$15+'Cost Sheet'!$V$10</f>
        <v>12.956203623813632</v>
      </c>
      <c r="V16" s="71">
        <f>($U$15*$Q$15)+('Cost Sheet'!$P$10*2*$Q$19)</f>
        <v>27.635824670910267</v>
      </c>
      <c r="W16" s="71" cm="1">
        <f t="array" ref="W16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6" s="71">
        <f t="shared" si="2"/>
        <v>27.635824670910267</v>
      </c>
      <c r="AB16" s="751" t="s">
        <v>482</v>
      </c>
      <c r="AC16" s="751"/>
      <c r="AD16" s="751"/>
      <c r="AE16" s="752"/>
      <c r="AF16" s="932" t="s">
        <v>389</v>
      </c>
      <c r="AG16" s="933"/>
    </row>
    <row r="17" spans="1:33" ht="46.5" x14ac:dyDescent="0.35">
      <c r="A17" s="544"/>
      <c r="B17" s="21" t="str">
        <f>'Door - Step 2'!B46</f>
        <v>Option</v>
      </c>
      <c r="C17" s="21" t="str">
        <f>'Quotation - Door 4'!C46</f>
        <v>Freezer Door</v>
      </c>
      <c r="D17" s="121">
        <f>'Quotation - Door 4'!D46</f>
        <v>0</v>
      </c>
      <c r="E17" s="19"/>
      <c r="F17" s="20"/>
      <c r="G17" s="20"/>
      <c r="H17" s="71"/>
      <c r="I17" s="71">
        <f>IF($D17=0,0,'Cost Sheet'!$N$28)</f>
        <v>0</v>
      </c>
      <c r="J17" s="20"/>
      <c r="K17" s="71"/>
      <c r="L17" s="71">
        <f>IF($D17=0,0,'Cost Sheet'!$V$28)</f>
        <v>0</v>
      </c>
      <c r="N17" s="28" t="s">
        <v>348</v>
      </c>
      <c r="O17" s="71">
        <f>+$O$15+'Cost Sheet'!$N$3</f>
        <v>12.542357301704966</v>
      </c>
      <c r="P17" s="49" t="s">
        <v>349</v>
      </c>
      <c r="Q17" s="30">
        <f>((($D$6*2)+(($D$7+($O$12*2))*2))*'Calculation Sheet - BOM '!$L$2)</f>
        <v>1.91659</v>
      </c>
      <c r="R17" s="71">
        <f>($O$15*$Q$15)+('Cost Sheet'!$N$3*2*$Q$19)</f>
        <v>26.115635846122682</v>
      </c>
      <c r="S17" s="71" cm="1">
        <f t="array" ref="S17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7" s="71">
        <f t="shared" si="1"/>
        <v>26.115635846122682</v>
      </c>
      <c r="U17" s="71">
        <f>+$U$15+'Cost Sheet'!$V$3</f>
        <v>12.542357301704966</v>
      </c>
      <c r="V17" s="71">
        <f>($U$15*$Q$15)+('Cost Sheet'!$P$3*2*$Q$19)</f>
        <v>26.115635846122682</v>
      </c>
      <c r="W17" s="71" cm="1">
        <f t="array" ref="W17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7" s="71">
        <f t="shared" si="2"/>
        <v>26.115635846122682</v>
      </c>
      <c r="AB17" s="46" t="s">
        <v>483</v>
      </c>
      <c r="AC17" s="19">
        <v>20</v>
      </c>
      <c r="AD17" s="19">
        <v>30</v>
      </c>
      <c r="AE17" s="19">
        <v>8</v>
      </c>
      <c r="AF17" s="165" t="s">
        <v>484</v>
      </c>
      <c r="AG17" s="165" t="s">
        <v>388</v>
      </c>
    </row>
    <row r="18" spans="1:33" ht="46.5" x14ac:dyDescent="0.35">
      <c r="A18" s="544"/>
      <c r="B18" s="21" t="str">
        <f>'Door - Step 2'!B47</f>
        <v>Option</v>
      </c>
      <c r="C18" s="21" t="str">
        <f>'Quotation - Door 4'!C47</f>
        <v>Kick Plate Material</v>
      </c>
      <c r="D18" s="121">
        <f>'Quotation - Door 4'!D47</f>
        <v>0</v>
      </c>
      <c r="E18" s="940">
        <f>_xlfn.IFNA((INDEX('Cost Sheet'!$N:$N,MATCH('Quotation - Door 4'!$D$47,'Cost Sheet'!$C:$C,0))*(($D$6*'Calculation Sheet - BOM '!$L$2)*(INDEX('Calculation Sheet - BOM '!$Z$3:$Z$6,MATCH('Quotation - Door 4'!$D$48,'Calculation Sheet - BOM '!$Y$3:$Y$6,0))))),0)</f>
        <v>0</v>
      </c>
      <c r="F18" s="950"/>
      <c r="G18" s="950" t="s">
        <v>133</v>
      </c>
      <c r="H18" s="944">
        <f>+IF(D19=0,0,INDEX('Accessories Install - Labour'!$E:$E,MATCH(D19,'Accessories Install - Labour'!$C:$C,0)))</f>
        <v>0</v>
      </c>
      <c r="I18" s="940">
        <f>+E18+H18</f>
        <v>0</v>
      </c>
      <c r="J18" s="940">
        <f>_xlfn.IFNA((INDEX('Cost Sheet'!$V:$V,MATCH('Quotation - Door 4'!$D$47,'Cost Sheet'!$C:$C,0))*(($D$6*'Calculation Sheet - BOM '!$L$2)*(INDEX('Calculation Sheet - BOM '!$Z$3:$Z$6,MATCH('Quotation - Door 4'!$D$48,'Calculation Sheet - BOM '!$Y$3:$Y$6,0))))),0)</f>
        <v>0</v>
      </c>
      <c r="K18" s="944">
        <f>+IF(D19=0,0,INDEX('Accessories Install - Labour'!$F:$F,MATCH(D19,'Accessories Install - Labour'!$C:$C,0)))</f>
        <v>0</v>
      </c>
      <c r="L18" s="940">
        <f>+J18+K18</f>
        <v>0</v>
      </c>
      <c r="N18" s="28" t="s">
        <v>350</v>
      </c>
      <c r="O18" s="71">
        <f>+$O$15+'Cost Sheet'!$N$5</f>
        <v>12.476670784943579</v>
      </c>
      <c r="P18" s="49" t="s">
        <v>349</v>
      </c>
      <c r="Q18" s="30">
        <f>((($D$6*2)+(($D$7+($O$12*2))*2))*'Calculation Sheet - BOM '!$L$2)</f>
        <v>1.91659</v>
      </c>
      <c r="R18" s="71">
        <f>($O$15*$Q$15)+('Cost Sheet'!$N$5*2*$Q$19)</f>
        <v>25.874348432449199</v>
      </c>
      <c r="S18" s="71" cm="1">
        <f t="array" ref="S18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8" s="71">
        <f t="shared" si="1"/>
        <v>25.874348432449199</v>
      </c>
      <c r="U18" s="71">
        <f>+$U$15+'Cost Sheet'!$V$5</f>
        <v>12.476670784943579</v>
      </c>
      <c r="V18" s="71">
        <f>($U$15*$Q$15)+('Cost Sheet'!$P$5*2*$Q$19)</f>
        <v>25.874348432449199</v>
      </c>
      <c r="W18" s="71" cm="1">
        <f t="array" ref="W18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8" s="71">
        <f t="shared" si="2"/>
        <v>25.874348432449199</v>
      </c>
      <c r="AB18" s="46"/>
      <c r="AC18" s="19"/>
      <c r="AD18" s="19"/>
      <c r="AE18" s="19"/>
      <c r="AF18" s="167"/>
      <c r="AG18" s="167"/>
    </row>
    <row r="19" spans="1:33" ht="46.5" x14ac:dyDescent="0.35">
      <c r="A19" s="544"/>
      <c r="B19" s="21" t="str">
        <f>'Door - Step 2'!B48</f>
        <v>Option</v>
      </c>
      <c r="C19" s="21" t="str">
        <f>'Quotation - Door 4'!C48</f>
        <v>Kick Plate Size</v>
      </c>
      <c r="D19" s="121">
        <f>'Quotation - Door 4'!D48</f>
        <v>0</v>
      </c>
      <c r="E19" s="940"/>
      <c r="F19" s="951"/>
      <c r="G19" s="951"/>
      <c r="H19" s="945"/>
      <c r="I19" s="940"/>
      <c r="J19" s="940"/>
      <c r="K19" s="945"/>
      <c r="L19" s="940"/>
      <c r="N19" s="28" t="s">
        <v>351</v>
      </c>
      <c r="O19" s="71">
        <f>+'Cost Sheet'!$N$27+'Cost Sheet'!$N$10</f>
        <v>2.7368286238136323</v>
      </c>
      <c r="P19" s="49" t="s">
        <v>352</v>
      </c>
      <c r="Q19" s="30">
        <f>SUM((($O$12*($D$7+(2*$O$12)))),($O$12*($D$6+(2*$O$12))))*2*$L$4</f>
        <v>1.8366586140500001</v>
      </c>
      <c r="R19" s="71">
        <f>+O19*Q19*2</f>
        <v>10.05323973421183</v>
      </c>
      <c r="S19" s="71" cm="1">
        <f t="array" ref="S19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9" s="71">
        <f t="shared" si="1"/>
        <v>10.05323973421183</v>
      </c>
      <c r="U19" s="71">
        <f>+'Cost Sheet'!$V$27+'Cost Sheet'!$V$10</f>
        <v>2.7368286238136323</v>
      </c>
      <c r="V19" s="71">
        <f>+Q19*U19*2</f>
        <v>10.05323973421183</v>
      </c>
      <c r="W19" s="71" cm="1">
        <f t="array" ref="W19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9" s="71">
        <f t="shared" si="2"/>
        <v>10.05323973421183</v>
      </c>
      <c r="AB19" s="46"/>
      <c r="AC19" s="19"/>
      <c r="AD19" s="19"/>
      <c r="AE19" s="19"/>
      <c r="AF19" s="167"/>
      <c r="AG19" s="167"/>
    </row>
    <row r="20" spans="1:33" ht="46.5" x14ac:dyDescent="0.35">
      <c r="A20" s="544"/>
      <c r="B20" s="21" t="str">
        <f>'Door - Step 2'!B49</f>
        <v>Option</v>
      </c>
      <c r="C20" s="21" t="str">
        <f>'Quotation - Door 4'!C49</f>
        <v>Kick Plate Location</v>
      </c>
      <c r="D20" s="121">
        <f>'Quotation - Door 4'!D49</f>
        <v>0</v>
      </c>
      <c r="E20" s="940"/>
      <c r="F20" s="952"/>
      <c r="G20" s="952"/>
      <c r="H20" s="946"/>
      <c r="I20" s="940"/>
      <c r="J20" s="940"/>
      <c r="K20" s="946"/>
      <c r="L20" s="940"/>
      <c r="N20" s="28" t="s">
        <v>353</v>
      </c>
      <c r="O20" s="71">
        <f>+'Cost Sheet'!$N$27+'Cost Sheet'!$N$3</f>
        <v>2.3229823017049664</v>
      </c>
      <c r="P20" s="49" t="s">
        <v>352</v>
      </c>
      <c r="Q20" s="30">
        <f>SUM((($O$12*($D$7+(2*$O$12)))),($O$12*($D$6+(2*$O$12))))*2*$L$4</f>
        <v>1.8366586140500001</v>
      </c>
      <c r="R20" s="71">
        <f>+O20*Q20*2</f>
        <v>8.5330509094242455</v>
      </c>
      <c r="S20" s="71" cm="1">
        <f t="array" ref="S20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0" s="71">
        <f t="shared" si="1"/>
        <v>8.5330509094242455</v>
      </c>
      <c r="U20" s="71">
        <f>+'Cost Sheet'!$V$27+'Cost Sheet'!$V$3</f>
        <v>2.3229823017049664</v>
      </c>
      <c r="V20" s="71">
        <f>+Q20*U20*2</f>
        <v>8.5330509094242455</v>
      </c>
      <c r="W20" s="71" cm="1">
        <f t="array" ref="W20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0" s="71">
        <f t="shared" si="2"/>
        <v>8.5330509094242455</v>
      </c>
      <c r="AB20" s="46"/>
      <c r="AC20" s="19"/>
      <c r="AD20" s="19"/>
      <c r="AE20" s="19"/>
      <c r="AF20" s="167"/>
      <c r="AG20" s="167"/>
    </row>
    <row r="21" spans="1:33" ht="46.5" x14ac:dyDescent="0.35">
      <c r="A21" s="544"/>
      <c r="B21" s="21" t="str">
        <f>'Door - Step 2'!B50</f>
        <v>Option</v>
      </c>
      <c r="C21" s="21" t="str">
        <f>'Quotation - Door 4'!C50</f>
        <v>ViewPort Window Size</v>
      </c>
      <c r="D21" s="121">
        <f>'Quotation - Door 4'!D50</f>
        <v>0</v>
      </c>
      <c r="E21" s="71">
        <f>IF($D21=0,0,(INDEX('Cost Sheet'!$N:$N,MATCH('Quotation - Door 4'!$D50,'Cost Sheet'!$C:$C,0))))</f>
        <v>0</v>
      </c>
      <c r="F21" s="20"/>
      <c r="G21" s="121" t="s">
        <v>354</v>
      </c>
      <c r="H21" s="71">
        <f>+IF(D21=0,0,INDEX('Accessories Install - Labour'!$E:$E,MATCH($D21,'Accessories Install - Labour'!$C:$C,0)))+IF(D21=0,0,('Cost Sheet'!$N$65*40*'Calculation Sheet - BOM '!$L$2))</f>
        <v>0</v>
      </c>
      <c r="I21" s="71">
        <f>+E21+H21</f>
        <v>0</v>
      </c>
      <c r="J21" s="71">
        <f>IF($D21=0,0,(INDEX('Cost Sheet'!$V:$V,MATCH('Quotation - Door 4'!$D50,'Cost Sheet'!$C:$C,0))))</f>
        <v>0</v>
      </c>
      <c r="K21" s="71">
        <f>+IF(D21=0,0,INDEX('Accessories Install - Labour'!$F:$F,MATCH($D21,'Accessories Install - Labour'!$C:$C,0)))+IF(D21=0,0,('Cost Sheet'!$S$65*40*'Calculation Sheet - BOM '!$L$2))</f>
        <v>0</v>
      </c>
      <c r="L21" s="71">
        <f>+J21+K21</f>
        <v>0</v>
      </c>
      <c r="N21" s="28" t="s">
        <v>355</v>
      </c>
      <c r="O21" s="71">
        <f>+'Cost Sheet'!$N$27+'Cost Sheet'!$N$5</f>
        <v>2.2572957849435795</v>
      </c>
      <c r="P21" s="49" t="s">
        <v>352</v>
      </c>
      <c r="Q21" s="30">
        <f>SUM((($O$12*($D$7+(2*$O$12)))),($O$12*($D$6+(2*$O$12))))*2*$L$4</f>
        <v>1.8366586140500001</v>
      </c>
      <c r="R21" s="71">
        <f>+O21*Q21*2</f>
        <v>8.2917634957507644</v>
      </c>
      <c r="S21" s="71" cm="1">
        <f t="array" ref="S21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1" s="71">
        <f t="shared" si="1"/>
        <v>8.2917634957507644</v>
      </c>
      <c r="U21" s="71">
        <f>+'Cost Sheet'!$V$27+'Cost Sheet'!$V$5</f>
        <v>2.2572957849435795</v>
      </c>
      <c r="V21" s="71">
        <f>+Q21*U21*2</f>
        <v>8.2917634957507644</v>
      </c>
      <c r="W21" s="71" cm="1">
        <f t="array" ref="W21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1" s="71">
        <f t="shared" si="2"/>
        <v>8.2917634957507644</v>
      </c>
      <c r="AB21" s="46"/>
      <c r="AC21" s="19"/>
      <c r="AD21" s="19"/>
      <c r="AE21" s="19"/>
      <c r="AF21" s="167"/>
      <c r="AG21" s="167"/>
    </row>
    <row r="22" spans="1:33" ht="31" x14ac:dyDescent="0.35">
      <c r="A22" s="544"/>
      <c r="B22" s="21" t="str">
        <f>'Door - Step 2'!B51</f>
        <v>Option</v>
      </c>
      <c r="C22" s="21" t="str">
        <f>'Quotation - Door 4'!C51</f>
        <v>ViewPort Window Type</v>
      </c>
      <c r="D22" s="121">
        <f>'Quotation - Door 4'!D51</f>
        <v>0</v>
      </c>
      <c r="E22" s="19" t="str">
        <f>+IF($D22="Insulated",(5*'Cost Sheet'!$N$65),IF($D22="Heated",(5*3*'Cost Sheet'!$N$102),""))</f>
        <v/>
      </c>
      <c r="F22" s="20"/>
      <c r="G22" s="19" t="s">
        <v>133</v>
      </c>
      <c r="H22" s="71">
        <f>+IF(D22=0,0,IF(D22="Insulated",INDEX('Accessories Install - Labour'!$E:$E,MATCH(CONCATENATE(D22,D21),'Accessories Install - Labour'!$C:$C,0)),IF(D22="Heated",INDEX('Accessories Install - Labour'!$E:$E,MATCH(CONCATENATE(D22,D21),'Accessories Install - Labour'!$C:$C,0)),IF(D22="Other","Cost Required - Purchasing"))))</f>
        <v>0</v>
      </c>
      <c r="I22" s="71">
        <f>IFERROR((IF($D22="Insulated",(5*'Cost Sheet'!$N$65),IF($D22="Heated",(5*3*'Cost Sheet'!$N$102),""))+H22),0)</f>
        <v>0</v>
      </c>
      <c r="J22" s="20"/>
      <c r="K22" s="71">
        <f>+IF(D22=0,0,IF(D22="Insulated",INDEX('Accessories Install - Labour'!$F:$F,MATCH(CONCATENATE(D22,D21),'Accessories Install - Labour'!$C:$C,0)),IF(D22="Heated",INDEX('Accessories Install - Labour'!$F:$F,MATCH(CONCATENATE(D22,D21),'Accessories Install - Labour'!$C:$C,0)),IF(D22="Other","Cost Required - Purchasing"))))</f>
        <v>0</v>
      </c>
      <c r="L22" s="71">
        <f>IFERROR((IF($D22="Insulated",(5*'Cost Sheet'!$V$65),IF($D22="Heated",(5*3*'Cost Sheet'!$V$102),""))+K22),0)</f>
        <v>0</v>
      </c>
      <c r="N22" s="28" t="s">
        <v>356</v>
      </c>
      <c r="O22" s="71">
        <f>+'Cost Sheet'!$N$24+'Cost Sheet'!$N$10</f>
        <v>6.0253702904802982</v>
      </c>
      <c r="P22" s="49" t="s">
        <v>347</v>
      </c>
      <c r="Q22" s="30">
        <f>((($D$6*2)+(($D$7+($O$12*2))*2))*'Calculation Sheet - BOM '!$L$2)</f>
        <v>1.91659</v>
      </c>
      <c r="R22" s="71">
        <f>('Cost Sheet'!$N$24*$Q22)+('Cost Sheet'!$N$10*$Q$21)</f>
        <v>11.420577677121798</v>
      </c>
      <c r="S22" s="71" cm="1">
        <f t="array" ref="S22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2" s="71">
        <f t="shared" si="1"/>
        <v>11.420577677121798</v>
      </c>
      <c r="U22" s="71">
        <f>+'Cost Sheet'!$V$24+'Cost Sheet'!$V$10</f>
        <v>6.0253702904802982</v>
      </c>
      <c r="V22" s="71">
        <f>('Cost Sheet'!$P$24*$Q22)+('Cost Sheet'!$P$10*$Q$21)</f>
        <v>11.420577677121798</v>
      </c>
      <c r="W22" s="71" cm="1">
        <f t="array" ref="W22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2" s="71">
        <f t="shared" si="2"/>
        <v>11.420577677121798</v>
      </c>
      <c r="AB22" s="46"/>
      <c r="AC22" s="19"/>
      <c r="AD22" s="19"/>
      <c r="AE22" s="19"/>
      <c r="AF22" s="167"/>
      <c r="AG22" s="167"/>
    </row>
    <row r="23" spans="1:33" ht="46.5" x14ac:dyDescent="0.35">
      <c r="A23" s="544"/>
      <c r="B23" s="21" t="str">
        <f>'Door - Step 2'!B52</f>
        <v>Not Required</v>
      </c>
      <c r="C23" s="21" t="str">
        <f>'Quotation - Door 4'!C52</f>
        <v>Motion Sensor</v>
      </c>
      <c r="D23" s="121">
        <f>'Quotation - Door 4'!D52</f>
        <v>0</v>
      </c>
      <c r="E23" s="71">
        <f>IF($D23=0,0,(INDEX('Cost Sheet'!$N:$N,MATCH('Quotation - Door 4'!$D52,'Cost Sheet'!$C:$C,0))))</f>
        <v>0</v>
      </c>
      <c r="F23" s="20"/>
      <c r="G23" s="19" t="s">
        <v>133</v>
      </c>
      <c r="H23" s="71"/>
      <c r="I23" s="71">
        <f>IF($D23=0,0,(INDEX('Cost Sheet'!$N:$N,MATCH('Quotation - Door 4'!$D52,'Cost Sheet'!$C:$C,0))))</f>
        <v>0</v>
      </c>
      <c r="J23" s="20"/>
      <c r="K23" s="71"/>
      <c r="L23" s="71">
        <f>IF($D23=0,0,(INDEX('Cost Sheet'!$V:$V,MATCH('Quotation - Door 2'!$D52,'Cost Sheet'!$C:$C,0))))</f>
        <v>0</v>
      </c>
      <c r="N23" s="28" t="s">
        <v>55</v>
      </c>
      <c r="O23" s="71">
        <f>+'Cost Sheet'!$N$24+'Cost Sheet'!$N$3</f>
        <v>5.6115239683716327</v>
      </c>
      <c r="P23" s="49" t="s">
        <v>349</v>
      </c>
      <c r="Q23" s="30">
        <f>((($D$6*2)+(($D$7+($O$12*2))*2))*'Calculation Sheet - BOM '!$L$2)</f>
        <v>1.91659</v>
      </c>
      <c r="R23" s="71">
        <f>('Cost Sheet'!$N$24*$Q23)+('Cost Sheet'!$N$3*$Q$21)</f>
        <v>10.660483264728008</v>
      </c>
      <c r="S23" s="71" cm="1">
        <f t="array" ref="S23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3" s="71">
        <f t="shared" si="1"/>
        <v>10.660483264728008</v>
      </c>
      <c r="U23" s="71">
        <f>+'Cost Sheet'!$V$24+'Cost Sheet'!$V$3</f>
        <v>5.6115239683716327</v>
      </c>
      <c r="V23" s="71">
        <f>('Cost Sheet'!$P$24*$Q23)+('Cost Sheet'!$P$3*$Q$21)</f>
        <v>10.660483264728008</v>
      </c>
      <c r="W23" s="71" cm="1">
        <f t="array" ref="W23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3" s="71">
        <f t="shared" si="2"/>
        <v>10.660483264728008</v>
      </c>
      <c r="AB23" s="46"/>
      <c r="AC23" s="19"/>
      <c r="AD23" s="19"/>
      <c r="AE23" s="19"/>
      <c r="AF23" s="167"/>
      <c r="AG23" s="167"/>
    </row>
    <row r="24" spans="1:33" ht="46.5" x14ac:dyDescent="0.35">
      <c r="A24" s="544"/>
      <c r="B24" s="21" t="str">
        <f>'Door - Step 2'!B53</f>
        <v>Not Required</v>
      </c>
      <c r="C24" s="21" t="str">
        <f>'Quotation - Door 4'!C53</f>
        <v>Additional Heater Location</v>
      </c>
      <c r="D24" s="121">
        <f>'Quotation - Door 4'!D53</f>
        <v>0</v>
      </c>
      <c r="E24" s="71">
        <f>IF($D24=0,0,(E71*4*((($D$6+$D$7)*2)*$L$2)))</f>
        <v>0</v>
      </c>
      <c r="F24" s="20"/>
      <c r="G24" s="20"/>
      <c r="H24" s="71"/>
      <c r="I24" s="71">
        <f>IF($D24=0,0,(I71*4*((($D$6+$D$7)*2)*$L$2)))</f>
        <v>0</v>
      </c>
      <c r="J24" s="20"/>
      <c r="K24" s="71"/>
      <c r="L24" s="71">
        <f>IF($D24=0,0,(L71*4*((($D$6+$D$7)*2)*$L$2)))</f>
        <v>0</v>
      </c>
      <c r="N24" s="28" t="s">
        <v>357</v>
      </c>
      <c r="O24" s="71">
        <f>+'Cost Sheet'!$N$24+'Cost Sheet'!$N$5</f>
        <v>5.5458374516102458</v>
      </c>
      <c r="P24" s="49" t="s">
        <v>349</v>
      </c>
      <c r="Q24" s="30">
        <f>((($D$6*2)+(($D$7+($O$12*2))*2))*'Calculation Sheet - BOM '!$L$2)</f>
        <v>1.91659</v>
      </c>
      <c r="R24" s="71">
        <f>('Cost Sheet'!$N$24*$Q24)+('Cost Sheet'!$N$5*$Q$21)</f>
        <v>10.539839557891266</v>
      </c>
      <c r="S24" s="71" cm="1">
        <f t="array" ref="S24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4" s="71">
        <f t="shared" si="1"/>
        <v>10.539839557891266</v>
      </c>
      <c r="U24" s="71">
        <f>+'Cost Sheet'!$V$24+'Cost Sheet'!$V$5</f>
        <v>5.5458374516102458</v>
      </c>
      <c r="V24" s="71">
        <f>('Cost Sheet'!$P$24*$Q24)+('Cost Sheet'!$P$5*$Q$21)</f>
        <v>10.539839557891266</v>
      </c>
      <c r="W24" s="71" cm="1">
        <f t="array" ref="W24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4" s="71">
        <f t="shared" si="2"/>
        <v>10.539839557891266</v>
      </c>
      <c r="AB24" s="46" t="s">
        <v>378</v>
      </c>
      <c r="AC24" s="19" t="s">
        <v>381</v>
      </c>
      <c r="AD24" s="19" t="s">
        <v>382</v>
      </c>
      <c r="AE24" s="19" t="s">
        <v>383</v>
      </c>
    </row>
    <row r="25" spans="1:33" x14ac:dyDescent="0.35">
      <c r="A25" s="544"/>
      <c r="B25" s="21" t="str">
        <f>'Door - Step 2'!B54</f>
        <v/>
      </c>
      <c r="C25" s="21" t="str">
        <f ca="1">'Quotation - Door 4'!C54</f>
        <v/>
      </c>
      <c r="D25" s="121">
        <f>'Quotation - Door 4'!D54</f>
        <v>0</v>
      </c>
      <c r="E25" s="71">
        <f>IF($D25=0,0,(INDEX('Cost Sheet'!$N:$N,MATCH('Quotation - Door 4'!$D54,'Cost Sheet'!$C:$C,0))))*2</f>
        <v>0</v>
      </c>
      <c r="F25" s="20"/>
      <c r="G25" s="19" t="s">
        <v>133</v>
      </c>
      <c r="H25" s="71">
        <f>+'Accessories Install - Labour'!$E$15*2</f>
        <v>26</v>
      </c>
      <c r="I25" s="71">
        <f>IF($D25=0,0,(INDEX('Cost Sheet'!$N:$N,MATCH('Quotation - Door 4'!$D54,'Cost Sheet'!$C:$C,0))))+H25</f>
        <v>26</v>
      </c>
      <c r="J25" s="71">
        <f>IF($D25=0,0,(INDEX('Cost Sheet'!$V:$V,MATCH('Quotation - Door 4'!$D54,'Cost Sheet'!$C:$C,0))))*2</f>
        <v>0</v>
      </c>
      <c r="K25" s="71">
        <f>+'Accessories Install - Labour'!$F$15*2</f>
        <v>26</v>
      </c>
      <c r="L25" s="71">
        <f>+K25+J25</f>
        <v>26</v>
      </c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AB25" s="46" t="s">
        <v>386</v>
      </c>
      <c r="AC25" s="19">
        <f>+AC17*12</f>
        <v>240</v>
      </c>
      <c r="AD25" s="19">
        <f>+AD17*12</f>
        <v>360</v>
      </c>
      <c r="AE25" s="19">
        <f>+AE17*12</f>
        <v>96</v>
      </c>
      <c r="AF25" s="19">
        <f>+((AC25*AE25)*2)+((AD25*AE25)*2)</f>
        <v>115200</v>
      </c>
      <c r="AG25" s="3">
        <f>+AF25/144</f>
        <v>800</v>
      </c>
    </row>
    <row r="26" spans="1:33" ht="43.5" x14ac:dyDescent="0.35">
      <c r="A26" s="544"/>
      <c r="B26" s="21" t="str">
        <f>'Door - Step 2'!B55</f>
        <v/>
      </c>
      <c r="C26" s="21">
        <f>'Quotation - Door 4'!C55</f>
        <v>0</v>
      </c>
      <c r="D26" s="121">
        <f>'Quotation - Door 4'!D55</f>
        <v>0</v>
      </c>
      <c r="E26" s="71">
        <f>IF($D26=0,0,(INDEX('Cost Sheet'!$N:$N,MATCH('Quotation - Door 4'!$D55,'Cost Sheet'!$C:$C,0))))</f>
        <v>0</v>
      </c>
      <c r="F26" s="20"/>
      <c r="G26" s="19" t="s">
        <v>133</v>
      </c>
      <c r="H26" s="71">
        <f>+'Accessories Install - Labour'!$E$17</f>
        <v>21.666666666666668</v>
      </c>
      <c r="I26" s="71">
        <f>+E26+H26</f>
        <v>21.666666666666668</v>
      </c>
      <c r="J26" s="71">
        <f>IF($D26=0,0,(INDEX('Cost Sheet'!$V:$V,MATCH('Quotation - Door 4'!$D55,'Cost Sheet'!$C:$C,0))))*2</f>
        <v>0</v>
      </c>
      <c r="K26" s="71">
        <f>+'Accessories Install - Labour'!$F$17</f>
        <v>21.666666666666668</v>
      </c>
      <c r="L26" s="71">
        <f>+J26+K26</f>
        <v>21.666666666666668</v>
      </c>
      <c r="N26" s="119" t="s">
        <v>358</v>
      </c>
      <c r="O26" s="160" t="s">
        <v>321</v>
      </c>
      <c r="P26" s="160" t="s">
        <v>322</v>
      </c>
      <c r="Q26" s="160" t="s">
        <v>323</v>
      </c>
      <c r="R26" s="160" t="s">
        <v>324</v>
      </c>
      <c r="S26" s="160" t="s">
        <v>134</v>
      </c>
      <c r="T26" s="160" t="s">
        <v>325</v>
      </c>
      <c r="U26" s="160" t="s">
        <v>326</v>
      </c>
      <c r="V26" s="160" t="s">
        <v>327</v>
      </c>
      <c r="W26" s="160" t="s">
        <v>328</v>
      </c>
      <c r="X26" s="160" t="s">
        <v>329</v>
      </c>
      <c r="AB26" s="751" t="s">
        <v>485</v>
      </c>
      <c r="AC26" s="751"/>
      <c r="AD26" s="751"/>
      <c r="AE26" s="751"/>
    </row>
    <row r="27" spans="1:33" ht="31" x14ac:dyDescent="0.35">
      <c r="A27" s="544"/>
      <c r="B27" s="21" t="str">
        <f>'Door - Step 2'!B56</f>
        <v/>
      </c>
      <c r="C27" s="21">
        <f>'Quotation - Door 4'!C56</f>
        <v>0</v>
      </c>
      <c r="D27" s="121">
        <f>'Quotation - Door 4'!D56</f>
        <v>0</v>
      </c>
      <c r="E27" s="71">
        <f>IF($D27=0,0,(INDEX('Cost Sheet'!$N:$N,MATCH('Quotation - Door 4'!$D56,'Cost Sheet'!$C:$C,0))))</f>
        <v>0</v>
      </c>
      <c r="F27" s="20"/>
      <c r="G27" s="19" t="s">
        <v>133</v>
      </c>
      <c r="H27" s="71">
        <f>+IF($D27=0,0,INDEX('Accessories Install - Labour'!$E:$E,MATCH($D27,'Accessories Install - Labour'!$C:$C,0)))</f>
        <v>0</v>
      </c>
      <c r="I27" s="71">
        <f>+E27+H27</f>
        <v>0</v>
      </c>
      <c r="J27" s="71">
        <f>IF($D27=0,0,(INDEX('Cost Sheet'!$V:$V,MATCH('Quotation - Door 4'!$D56,'Cost Sheet'!$C:$C,0))))*2</f>
        <v>0</v>
      </c>
      <c r="K27" s="71">
        <f>+IF($D27=0,0,INDEX('Accessories Install - Labour'!$F:$F,MATCH($D27,'Accessories Install - Labour'!$C:$C,0)))</f>
        <v>0</v>
      </c>
      <c r="L27" s="71">
        <f>+J27+K27</f>
        <v>0</v>
      </c>
      <c r="N27" s="28" t="s">
        <v>344</v>
      </c>
      <c r="O27" s="71">
        <f>+'Cost Sheet'!$N$15</f>
        <v>3.8724791666666665</v>
      </c>
      <c r="P27" s="49" t="s">
        <v>359</v>
      </c>
      <c r="Q27" s="30">
        <f>+(($D$7*1)*$L$4)*2</f>
        <v>0</v>
      </c>
      <c r="R27" s="71">
        <f>+Q27*O27</f>
        <v>0</v>
      </c>
      <c r="S27" s="71">
        <f>+S15*0.75</f>
        <v>0</v>
      </c>
      <c r="T27" s="71">
        <f t="shared" ref="T27:T36" si="3">+R27+S27</f>
        <v>0</v>
      </c>
      <c r="U27" s="71">
        <f>+IF($D$3="Freezer",'Cost Sheet'!$V$22,'Cost Sheet'!$V$21)</f>
        <v>11.36</v>
      </c>
      <c r="V27" s="71">
        <f>+U27*Q27</f>
        <v>0</v>
      </c>
      <c r="W27" s="71">
        <f>+W15*0.75</f>
        <v>0</v>
      </c>
      <c r="X27" s="71">
        <f t="shared" ref="X27:X36" si="4">+V27+W27</f>
        <v>0</v>
      </c>
      <c r="AB27" s="144"/>
      <c r="AC27" s="144"/>
      <c r="AD27" s="144"/>
      <c r="AE27" s="144"/>
    </row>
    <row r="28" spans="1:33" ht="46.5" x14ac:dyDescent="0.35">
      <c r="A28" s="544"/>
      <c r="B28" s="21" t="str">
        <f>'Door - Step 2'!B57</f>
        <v/>
      </c>
      <c r="C28" s="21">
        <f>'Quotation - Door 4'!C57</f>
        <v>0</v>
      </c>
      <c r="D28" s="121">
        <f>'Quotation - Door 4'!D57</f>
        <v>0</v>
      </c>
      <c r="E28" s="71">
        <f>IF($D28=0,0,(INDEX('Cost Sheet'!$N:$N,MATCH('Quotation - Door 4'!$D57,'Cost Sheet'!$C:$C,0))))</f>
        <v>0</v>
      </c>
      <c r="F28" s="20"/>
      <c r="G28" s="19" t="s">
        <v>133</v>
      </c>
      <c r="H28" s="71">
        <f>+IF($D28=0,0,INDEX('Accessories Install - Labour'!$E:$E,MATCH($D28,'Accessories Install - Labour'!$C:$C,0)))</f>
        <v>0</v>
      </c>
      <c r="I28" s="71">
        <f>+E28+H28</f>
        <v>0</v>
      </c>
      <c r="J28" s="71">
        <f>IF($D28=0,0,(INDEX('Cost Sheet'!$V:$V,MATCH('Quotation - Door 4'!$D57,'Cost Sheet'!$C:$C,0))))*2</f>
        <v>0</v>
      </c>
      <c r="K28" s="71">
        <f>+IF($D28=0,0,INDEX('Accessories Install - Labour'!$F:$F,MATCH($D28,'Accessories Install - Labour'!$C:$C,0)))</f>
        <v>0</v>
      </c>
      <c r="L28" s="71">
        <f>+J28+K28</f>
        <v>0</v>
      </c>
      <c r="N28" s="28" t="s">
        <v>346</v>
      </c>
      <c r="O28" s="71">
        <f>+$O$27+'Cost Sheet'!$N$10</f>
        <v>5.4686827904802993</v>
      </c>
      <c r="P28" s="49" t="s">
        <v>360</v>
      </c>
      <c r="Q28" s="30">
        <f>+(($D$7*1)*$L$4)*2</f>
        <v>0</v>
      </c>
      <c r="R28" s="71">
        <f>($O$27*$Q$27)+('Cost Sheet'!$N$10*2*$Q$31)</f>
        <v>0</v>
      </c>
      <c r="S28" s="71">
        <f>+S16*0.75</f>
        <v>0</v>
      </c>
      <c r="T28" s="71">
        <f t="shared" si="3"/>
        <v>0</v>
      </c>
      <c r="U28" s="71">
        <f>+$U$15+'Cost Sheet'!$V$10</f>
        <v>12.956203623813632</v>
      </c>
      <c r="V28" s="71">
        <f>($U$27*$Q$27)+('Cost Sheet'!$P$10*2*$Q$31)</f>
        <v>0</v>
      </c>
      <c r="W28" s="71">
        <f>+W16*0.75</f>
        <v>0</v>
      </c>
      <c r="X28" s="71">
        <f t="shared" si="4"/>
        <v>0</v>
      </c>
      <c r="AB28" s="144"/>
      <c r="AC28" s="144"/>
      <c r="AD28" s="144"/>
      <c r="AE28" s="144"/>
    </row>
    <row r="29" spans="1:33" ht="62" x14ac:dyDescent="0.35">
      <c r="A29" s="544"/>
      <c r="B29" s="21" t="str">
        <f>'Door - Step 2'!B58</f>
        <v/>
      </c>
      <c r="C29" s="21">
        <f>'Quotation - Door 4'!C58</f>
        <v>0</v>
      </c>
      <c r="D29" s="121">
        <f>'Quotation - Door 4'!D58</f>
        <v>0</v>
      </c>
      <c r="E29" s="71">
        <f>IF($D29=0,0,(INDEX('Cost Sheet'!$N:$N,MATCH('Quotation - Door 4'!$D58,'Cost Sheet'!$C:$C,0))))</f>
        <v>0</v>
      </c>
      <c r="G29" s="19" t="s">
        <v>133</v>
      </c>
      <c r="H29" s="71">
        <f>+IF($D29=0,0,INDEX('Accessories Install - Labour'!$E:$E,MATCH($D29,'Accessories Install - Labour'!$C:$C,0)))</f>
        <v>0</v>
      </c>
      <c r="I29" s="71">
        <f>IFERROR(E29+H29,E29)</f>
        <v>0</v>
      </c>
      <c r="J29" s="71">
        <f>IF($D29=0,0,(INDEX('Cost Sheet'!$V:$V,MATCH('Quotation - Door 4'!$D58,'Cost Sheet'!$C:$C,0))))*2</f>
        <v>0</v>
      </c>
      <c r="K29" s="71">
        <f>+IF($D29=0,0,INDEX('Accessories Install - Labour'!$F:$F,MATCH($D29,'Accessories Install - Labour'!$C:$C,0)))</f>
        <v>0</v>
      </c>
      <c r="L29" s="71">
        <f>IFERROR(J29+K29,I29)</f>
        <v>0</v>
      </c>
      <c r="N29" s="28" t="s">
        <v>348</v>
      </c>
      <c r="O29" s="71">
        <f>+$O$27+'Cost Sheet'!$N$3</f>
        <v>5.0548364683716329</v>
      </c>
      <c r="P29" s="49" t="s">
        <v>361</v>
      </c>
      <c r="Q29" s="30">
        <f>+(($D$7*1)*$L$4)*2</f>
        <v>0</v>
      </c>
      <c r="R29" s="71">
        <f>($O$27*$Q$27)+('Cost Sheet'!$N$3*2*$Q$31)</f>
        <v>0</v>
      </c>
      <c r="S29" s="71">
        <f>+S17*0.75</f>
        <v>0</v>
      </c>
      <c r="T29" s="71">
        <f t="shared" si="3"/>
        <v>0</v>
      </c>
      <c r="U29" s="71">
        <f>+$U$15+'Cost Sheet'!$V$3</f>
        <v>12.542357301704966</v>
      </c>
      <c r="V29" s="71">
        <f>($U$27*$Q$27)+('Cost Sheet'!$P$3*2*$Q$31)</f>
        <v>0</v>
      </c>
      <c r="W29" s="71">
        <f>+W17*0.75</f>
        <v>0</v>
      </c>
      <c r="X29" s="71">
        <f t="shared" si="4"/>
        <v>0</v>
      </c>
      <c r="AB29" s="144"/>
      <c r="AC29" s="144"/>
      <c r="AD29" s="144"/>
      <c r="AE29" s="144"/>
    </row>
    <row r="30" spans="1:33" ht="62" x14ac:dyDescent="0.35">
      <c r="A30" s="544"/>
      <c r="B30" s="21" t="str">
        <f>'Door - Step 2'!B59</f>
        <v/>
      </c>
      <c r="C30" s="21">
        <f>'Quotation - Door 4'!C59</f>
        <v>0</v>
      </c>
      <c r="D30" s="121">
        <f>'Quotation - Door 4'!D59</f>
        <v>0</v>
      </c>
      <c r="E30" s="71">
        <f>IF($D30=0,0,(INDEX('Cost Sheet'!$N:$N,MATCH('Quotation - Door 4'!$D59,'Cost Sheet'!$C:$C,0))))</f>
        <v>0</v>
      </c>
      <c r="G30" s="19" t="s">
        <v>133</v>
      </c>
      <c r="H30" s="71">
        <f>+IF($D30=0,0,INDEX('Accessories Install - Labour'!$E:$E,MATCH($D30,'Accessories Install - Labour'!$C:$C,0)))</f>
        <v>0</v>
      </c>
      <c r="I30" s="71">
        <f>+E30+H30</f>
        <v>0</v>
      </c>
      <c r="J30" s="71">
        <f>IF($D30=0,0,(INDEX('Cost Sheet'!$V:$V,MATCH('Quotation - Door 4'!$D59,'Cost Sheet'!$C:$C,0))))*2</f>
        <v>0</v>
      </c>
      <c r="K30" s="71">
        <f>+IF($D30=0,0,INDEX('Accessories Install - Labour'!$F:$F,MATCH($D30,'Accessories Install - Labour'!$C:$C,0)))</f>
        <v>0</v>
      </c>
      <c r="L30" s="71">
        <f>+J30+K30</f>
        <v>0</v>
      </c>
      <c r="N30" s="28" t="s">
        <v>350</v>
      </c>
      <c r="O30" s="71">
        <f>+$O$27+'Cost Sheet'!$N$5</f>
        <v>4.989149951610246</v>
      </c>
      <c r="P30" s="49" t="s">
        <v>361</v>
      </c>
      <c r="Q30" s="30">
        <f>+(($D$7*1)*$L$4)*2</f>
        <v>0</v>
      </c>
      <c r="R30" s="71">
        <f>($O$27*$Q$27)+('Cost Sheet'!$N$5*2*$Q$31)</f>
        <v>0</v>
      </c>
      <c r="S30" s="71">
        <f>+S18*0.75</f>
        <v>0</v>
      </c>
      <c r="T30" s="71">
        <f t="shared" si="3"/>
        <v>0</v>
      </c>
      <c r="U30" s="71">
        <f>+$U$15+'Cost Sheet'!$V$5</f>
        <v>12.476670784943579</v>
      </c>
      <c r="V30" s="71">
        <f>($U$27*$Q$27)+('Cost Sheet'!$P$5*2*$Q$31)</f>
        <v>0</v>
      </c>
      <c r="W30" s="71">
        <f>+W18*0.75</f>
        <v>0</v>
      </c>
      <c r="X30" s="71">
        <f t="shared" si="4"/>
        <v>0</v>
      </c>
      <c r="AB30" s="46" t="s">
        <v>386</v>
      </c>
      <c r="AC30" s="19" t="e">
        <f>+#REF!*12</f>
        <v>#REF!</v>
      </c>
      <c r="AD30" s="19" t="e">
        <f>+#REF!*12</f>
        <v>#REF!</v>
      </c>
      <c r="AE30" s="19" t="e">
        <f>+#REF!*12</f>
        <v>#REF!</v>
      </c>
      <c r="AF30" s="19" t="e">
        <f>+((AC30*AE30)*2)+((AD30*AE30)*2)</f>
        <v>#REF!</v>
      </c>
      <c r="AG30" s="3" t="e">
        <f>+AF30/144</f>
        <v>#REF!</v>
      </c>
    </row>
    <row r="31" spans="1:33" ht="46.5" x14ac:dyDescent="0.35">
      <c r="A31" s="544"/>
      <c r="N31" s="28" t="s">
        <v>351</v>
      </c>
      <c r="O31" s="71">
        <f>+'Cost Sheet'!$N$27+'Cost Sheet'!$N$10</f>
        <v>2.7368286238136323</v>
      </c>
      <c r="P31" s="49" t="s">
        <v>362</v>
      </c>
      <c r="Q31" s="30">
        <f>+(($D$7*$D$9)*$L$4)*2</f>
        <v>0</v>
      </c>
      <c r="R31" s="71">
        <f>+O31*Q31*2</f>
        <v>0</v>
      </c>
      <c r="S31" s="71">
        <f t="shared" ref="S31:S36" si="5">+S19*0.4</f>
        <v>0</v>
      </c>
      <c r="T31" s="71">
        <f t="shared" si="3"/>
        <v>0</v>
      </c>
      <c r="U31" s="71">
        <f>+'Cost Sheet'!$V$27+'Cost Sheet'!$V$10</f>
        <v>2.7368286238136323</v>
      </c>
      <c r="V31" s="71">
        <f>+Q31*U31*2</f>
        <v>0</v>
      </c>
      <c r="W31" s="71">
        <f t="shared" ref="W31:W36" si="6">+W19*0.4</f>
        <v>0</v>
      </c>
      <c r="X31" s="71">
        <f t="shared" si="4"/>
        <v>0</v>
      </c>
    </row>
    <row r="32" spans="1:33" ht="46.5" x14ac:dyDescent="0.35">
      <c r="A32" s="544"/>
      <c r="B32" s="21" t="str">
        <f>'Door - Step 2'!B61</f>
        <v>Labor</v>
      </c>
      <c r="C32" s="21" t="str">
        <f>'Quotation - Door 4'!C61</f>
        <v>Labor Expense</v>
      </c>
      <c r="D32" s="121">
        <f>'Quotation - Door 4'!D61</f>
        <v>0</v>
      </c>
      <c r="E32" s="20"/>
      <c r="F32" s="20"/>
      <c r="G32" s="20"/>
      <c r="H32" s="71"/>
      <c r="I32" s="71" cm="1">
        <f t="array" ref="I32">_xlfn.IFNA(IF(OR('Quotation - Door 4'!$D$30=Controller!$A$13, 'Quotation - Door 4'!$D$30=Controller!$A$14, 'Quotation - Door 4'!$D$30=Controller!$A$15),
INDEX('Door and Panel Labor Exp. '!$A$23:$I$40,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'!$A$1:$I$1, 0)
),
INDEX('Door and Panel Labor Exp. '!$A$5:$I$16,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'!$A$1:$I$1, 0)
)),0)</f>
        <v>0</v>
      </c>
      <c r="J32" s="20"/>
      <c r="K32" s="71"/>
      <c r="L32" s="71" cm="1">
        <f t="array" ref="L32">_xlfn.IFNA(IF(OR('Quotation - Door 4'!$D$30=Controller!$A$13, 'Quotation - Door 4'!$D$30=Controller!$A$14, 'Quotation - Door 4'!$D$30=Controller!$A$15),
INDEX('Door and Panel Labor Exp. '!$A$76:$I$86,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'!$A$1:$I$1, 0)
),
INDEX('Door and Panel Labor Exp. '!$A$66:$I$75,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'!$B$75:$B$76 - 'Quotation - Door 4'!$D$34), 1))), 0)),
 MATCH('Quotation - Door 4'!$D$31, 'Door and Panel Labor Exp. '!$A$1:$I$1, 0)
)),0)</f>
        <v>0</v>
      </c>
      <c r="N32" s="28" t="s">
        <v>353</v>
      </c>
      <c r="O32" s="71">
        <f>+'Cost Sheet'!$N$27+'Cost Sheet'!$N$3</f>
        <v>2.3229823017049664</v>
      </c>
      <c r="P32" s="49" t="s">
        <v>362</v>
      </c>
      <c r="Q32" s="30">
        <f>+(($D$7*$D$9)*$L$4)*2</f>
        <v>0</v>
      </c>
      <c r="R32" s="71">
        <f>+O32*Q32*2</f>
        <v>0</v>
      </c>
      <c r="S32" s="71">
        <f t="shared" si="5"/>
        <v>0</v>
      </c>
      <c r="T32" s="71">
        <f t="shared" si="3"/>
        <v>0</v>
      </c>
      <c r="U32" s="71">
        <f>+'Cost Sheet'!$V$27+'Cost Sheet'!$V$3</f>
        <v>2.3229823017049664</v>
      </c>
      <c r="V32" s="71">
        <f>+Q32*U32*2</f>
        <v>0</v>
      </c>
      <c r="W32" s="71">
        <f t="shared" si="6"/>
        <v>0</v>
      </c>
      <c r="X32" s="71">
        <f t="shared" si="4"/>
        <v>0</v>
      </c>
    </row>
    <row r="33" spans="1:24" ht="46.5" x14ac:dyDescent="0.35">
      <c r="A33" s="544"/>
      <c r="B33" s="21" t="str">
        <f>'Door - Step 2'!B62</f>
        <v xml:space="preserve">Material </v>
      </c>
      <c r="C33" s="21" t="str">
        <f>'Quotation - Door 4'!C62</f>
        <v xml:space="preserve">Foam Expense </v>
      </c>
      <c r="D33" s="121">
        <f>'Quotation - Door 4'!D62</f>
        <v>0</v>
      </c>
      <c r="E33" s="20"/>
      <c r="F33" s="30"/>
      <c r="G33" s="20"/>
      <c r="H33" s="71"/>
      <c r="I33" s="71">
        <f>_xlfn.IFNA('Quotation - Door 4'!$D$34*'Quotation - Door 4'!$D$35*(INDEX('Calculation Sheet - BOM '!$R$6:$R$10,MATCH('Quotation - Door 4'!$D$36,'Calculation Sheet - BOM '!$P$6:$P$10,0))),0)</f>
        <v>0</v>
      </c>
      <c r="J33" s="20"/>
      <c r="K33" s="71"/>
      <c r="L33" s="71">
        <f>_xlfn.IFNA('Quotation - Door 4'!$D$34*'Quotation - Door 4'!$D$35*(INDEX('Calculation Sheet - BOM '!$T$6:$T$10,MATCH('Quotation - Door 4'!$D$36,'Calculation Sheet - BOM '!$P$6:$P$10,0))),0)</f>
        <v>0</v>
      </c>
      <c r="N33" s="28" t="s">
        <v>355</v>
      </c>
      <c r="O33" s="71">
        <f>+'Cost Sheet'!$N$27+'Cost Sheet'!$N$5</f>
        <v>2.2572957849435795</v>
      </c>
      <c r="P33" s="49" t="s">
        <v>362</v>
      </c>
      <c r="Q33" s="30">
        <f>+(($D$7*$D$9)*$L$4)*2</f>
        <v>0</v>
      </c>
      <c r="R33" s="71">
        <f>+O33*Q33*2</f>
        <v>0</v>
      </c>
      <c r="S33" s="71">
        <f t="shared" si="5"/>
        <v>0</v>
      </c>
      <c r="T33" s="71">
        <f t="shared" si="3"/>
        <v>0</v>
      </c>
      <c r="U33" s="71">
        <f>+'Cost Sheet'!$V$27+'Cost Sheet'!$V$5</f>
        <v>2.2572957849435795</v>
      </c>
      <c r="V33" s="71">
        <f>+Q33*U33*2</f>
        <v>0</v>
      </c>
      <c r="W33" s="71">
        <f t="shared" si="6"/>
        <v>0</v>
      </c>
      <c r="X33" s="71">
        <f t="shared" si="4"/>
        <v>0</v>
      </c>
    </row>
    <row r="34" spans="1:24" ht="31" x14ac:dyDescent="0.35">
      <c r="A34" s="544"/>
      <c r="B34" s="21" t="str">
        <f>'Door - Step 2'!B63</f>
        <v xml:space="preserve">Material </v>
      </c>
      <c r="C34" s="21" t="str">
        <f>'Quotation - Door 4'!C63</f>
        <v>Bottom Sweep</v>
      </c>
      <c r="D34" s="121" t="str">
        <f>'Quotation - Door 4'!D63</f>
        <v/>
      </c>
      <c r="E34" s="71">
        <f>+'Cost Sheet'!$N$72</f>
        <v>0.94</v>
      </c>
      <c r="F34" s="30">
        <f>+D6*L2*2</f>
        <v>0</v>
      </c>
      <c r="G34" s="19" t="s">
        <v>133</v>
      </c>
      <c r="H34" s="71">
        <f>+IF($D34=0,0,'Accessories Install - Labour'!$E$28)</f>
        <v>13</v>
      </c>
      <c r="I34" s="71">
        <f>(E34*F34)+H34</f>
        <v>13</v>
      </c>
      <c r="J34" s="71">
        <f>+'Cost Sheet'!$V$72</f>
        <v>0.94</v>
      </c>
      <c r="K34" s="71">
        <f>+IF($D34=0,0,'Accessories Install - Labour'!$F$28)</f>
        <v>13</v>
      </c>
      <c r="L34" s="71">
        <f>(F34*J34)+K34</f>
        <v>13</v>
      </c>
      <c r="N34" s="28" t="s">
        <v>356</v>
      </c>
      <c r="O34" s="71">
        <f>+'Cost Sheet'!$N$24+'Cost Sheet'!$N$10</f>
        <v>6.0253702904802982</v>
      </c>
      <c r="P34" s="49" t="s">
        <v>347</v>
      </c>
      <c r="Q34" s="30">
        <f t="shared" ref="Q34:Q36" si="7">+($D$7*2*$L$2)</f>
        <v>0</v>
      </c>
      <c r="R34" s="71">
        <f>('Cost Sheet'!$N$24*$Q34)+('Cost Sheet'!$N$10*$Q$33)</f>
        <v>0</v>
      </c>
      <c r="S34" s="71">
        <f t="shared" si="5"/>
        <v>0</v>
      </c>
      <c r="T34" s="71">
        <f t="shared" si="3"/>
        <v>0</v>
      </c>
      <c r="U34" s="71">
        <f>+'Cost Sheet'!$V$24+'Cost Sheet'!$V$10</f>
        <v>6.0253702904802982</v>
      </c>
      <c r="V34" s="71">
        <f>('Cost Sheet'!$P$24*$Q34)+('Cost Sheet'!$P$10*$Q$33)</f>
        <v>0</v>
      </c>
      <c r="W34" s="71">
        <f t="shared" si="6"/>
        <v>0</v>
      </c>
      <c r="X34" s="71">
        <f t="shared" si="4"/>
        <v>0</v>
      </c>
    </row>
    <row r="35" spans="1:24" ht="46.5" x14ac:dyDescent="0.35">
      <c r="A35" s="544"/>
      <c r="B35" s="21" t="str">
        <f>'Door - Step 2'!B64</f>
        <v xml:space="preserve">Material </v>
      </c>
      <c r="C35" s="21" t="str">
        <f>'Quotation - Door 4'!C64</f>
        <v>Weather Strip</v>
      </c>
      <c r="D35" s="121" t="str">
        <f>'Quotation - Door 4'!D64</f>
        <v/>
      </c>
      <c r="E35" s="71">
        <f>_xlfn.IFNA(INDEX('Cost Sheet'!$N$73:$N$75,MATCH($D$8,'Cost Sheet'!$D$73:$D$75,0)),0)</f>
        <v>0</v>
      </c>
      <c r="F35" s="30">
        <f>+D6*L2</f>
        <v>0</v>
      </c>
      <c r="G35" s="19" t="s">
        <v>133</v>
      </c>
      <c r="H35" s="71">
        <f>+IF($D35=0,0,'Accessories Install - Labour'!$E$32)</f>
        <v>39</v>
      </c>
      <c r="I35" s="71">
        <f>_xlfn.IFNA(E35*F35,0)+H35</f>
        <v>39</v>
      </c>
      <c r="J35" s="71">
        <f>_xlfn.IFNA((INDEX('Cost Sheet'!$V$73:$V$75,MATCH($D8,'Cost Sheet'!$D$73:$D$75,0))*F35),0)</f>
        <v>0</v>
      </c>
      <c r="K35" s="71">
        <f>+IF($D35=0,0,'Accessories Install - Labour'!$F$32)</f>
        <v>39</v>
      </c>
      <c r="L35" s="71">
        <f>_xlfn.IFNA(F35*J35,0)+K35</f>
        <v>39</v>
      </c>
      <c r="N35" s="28" t="s">
        <v>55</v>
      </c>
      <c r="O35" s="71">
        <f>+'Cost Sheet'!$N$24+'Cost Sheet'!$N$3</f>
        <v>5.6115239683716327</v>
      </c>
      <c r="P35" s="49" t="s">
        <v>349</v>
      </c>
      <c r="Q35" s="30">
        <f t="shared" si="7"/>
        <v>0</v>
      </c>
      <c r="R35" s="71">
        <f>('Cost Sheet'!$N$24*$Q35)+('Cost Sheet'!$N$3*$Q$33)</f>
        <v>0</v>
      </c>
      <c r="S35" s="71">
        <f t="shared" si="5"/>
        <v>0</v>
      </c>
      <c r="T35" s="71">
        <f t="shared" si="3"/>
        <v>0</v>
      </c>
      <c r="U35" s="71">
        <f>+'Cost Sheet'!$V$24+'Cost Sheet'!$V$3</f>
        <v>5.6115239683716327</v>
      </c>
      <c r="V35" s="71">
        <f>('Cost Sheet'!$P$24*$Q35)+('Cost Sheet'!$P$3*$Q$33)</f>
        <v>0</v>
      </c>
      <c r="W35" s="71">
        <f t="shared" si="6"/>
        <v>0</v>
      </c>
      <c r="X35" s="71">
        <f t="shared" si="4"/>
        <v>0</v>
      </c>
    </row>
    <row r="36" spans="1:24" ht="46.5" x14ac:dyDescent="0.35">
      <c r="A36" s="544"/>
      <c r="B36" s="21" t="str">
        <f>'Door - Step 2'!B65</f>
        <v xml:space="preserve">Material </v>
      </c>
      <c r="C36" s="21" t="str">
        <f>'Quotation - Door 4'!C65</f>
        <v>Gasket</v>
      </c>
      <c r="D36" s="121">
        <f>'Quotation - Door 4'!D65</f>
        <v>0</v>
      </c>
      <c r="E36" s="71">
        <f>+IF(OR('Quotation - Door 4'!$D$30=Controller!$A$13, 'Quotation - Door 4'!$D$30=Controller!$A$14, 'Quotation - Door 4'!$D$30=Controller!$A$15),SUM('Cost Sheet'!$N$69:$N$70),SUM('Cost Sheet'!$N$67:$N$68))</f>
        <v>1.79</v>
      </c>
      <c r="F36" s="30">
        <f>+((D6+D7)*2)*L2</f>
        <v>0</v>
      </c>
      <c r="G36" s="19" t="s">
        <v>133</v>
      </c>
      <c r="H36" s="71">
        <f>+IF($D36=0,0,'Accessories Install - Labour'!$E$25)</f>
        <v>0</v>
      </c>
      <c r="I36" s="71">
        <f>(F36*E36)+H36</f>
        <v>0</v>
      </c>
      <c r="J36" s="71">
        <f>+IF(OR('Quotation - Door 4'!$D$30=Controller!$A$13, 'Quotation - Door 4'!$D$30=Controller!$A$14, 'Quotation - Door 4'!$D$30=Controller!$A$16),SUM('Cost Sheet'!$V$69:$V$70),SUM('Cost Sheet'!$V$67:$V$68))</f>
        <v>1.79</v>
      </c>
      <c r="K36" s="71">
        <f>+IF($D36=0,0,'Accessories Install - Labour'!$F$25)</f>
        <v>0</v>
      </c>
      <c r="L36" s="71">
        <f>(J36*F36)+K36</f>
        <v>0</v>
      </c>
      <c r="N36" s="28" t="s">
        <v>357</v>
      </c>
      <c r="O36" s="71">
        <f>+'Cost Sheet'!$N$24+'Cost Sheet'!$N$5</f>
        <v>5.5458374516102458</v>
      </c>
      <c r="P36" s="49" t="s">
        <v>349</v>
      </c>
      <c r="Q36" s="30">
        <f t="shared" si="7"/>
        <v>0</v>
      </c>
      <c r="R36" s="71">
        <f>('Cost Sheet'!$N$24*$Q36)+('Cost Sheet'!$N$5*$Q$33)</f>
        <v>0</v>
      </c>
      <c r="S36" s="71">
        <f t="shared" si="5"/>
        <v>0</v>
      </c>
      <c r="T36" s="71">
        <f t="shared" si="3"/>
        <v>0</v>
      </c>
      <c r="U36" s="71">
        <f>+'Cost Sheet'!$V$24+'Cost Sheet'!$V$5</f>
        <v>5.5458374516102458</v>
      </c>
      <c r="V36" s="71">
        <f>('Cost Sheet'!$P$24*$Q36)+('Cost Sheet'!$P$5*$Q$33)</f>
        <v>0</v>
      </c>
      <c r="W36" s="71">
        <f t="shared" si="6"/>
        <v>0</v>
      </c>
      <c r="X36" s="71">
        <f t="shared" si="4"/>
        <v>0</v>
      </c>
    </row>
    <row r="37" spans="1:24" x14ac:dyDescent="0.35">
      <c r="A37" s="544"/>
      <c r="B37" s="21" t="str">
        <f>'Door - Step 2'!B66</f>
        <v xml:space="preserve">Material </v>
      </c>
      <c r="C37" s="21" t="str">
        <f>'Quotation - Door 4'!C66</f>
        <v xml:space="preserve">Additional Gasket </v>
      </c>
      <c r="D37" s="121" t="str">
        <f>'Quotation - Door 4'!D66</f>
        <v>Not Required</v>
      </c>
      <c r="E37" s="71" t="e">
        <f>IF($D37=0,0,(INDEX('Cost Sheet'!$N:$N,MATCH('Quotation - Door 4'!$D66,'Cost Sheet'!$C:$C,0))))</f>
        <v>#N/A</v>
      </c>
      <c r="F37" s="30">
        <f>+((D6+D7)*2)*L2</f>
        <v>0</v>
      </c>
      <c r="G37" s="19" t="s">
        <v>133</v>
      </c>
      <c r="H37" s="71">
        <f>+IF($D37=0,0,'Accessories Install - Labour'!$E$26)</f>
        <v>21.666666666666668</v>
      </c>
      <c r="I37" s="71" t="e">
        <f>(F37*E37)+H37</f>
        <v>#N/A</v>
      </c>
      <c r="J37" s="71" t="e">
        <f>IF($D37=0,0,(INDEX('Cost Sheet'!$V:$V,MATCH('Quotation - Door 4'!$D66,'Cost Sheet'!$C:$C,0))))</f>
        <v>#N/A</v>
      </c>
      <c r="K37" s="71">
        <f>+IF($D37=0,0,'Accessories Install - Labour'!$F$26)</f>
        <v>21.666666666666668</v>
      </c>
      <c r="L37" s="71" t="e">
        <f>(J37*F37)+K37</f>
        <v>#N/A</v>
      </c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</row>
    <row r="38" spans="1:24" ht="43.5" x14ac:dyDescent="0.35">
      <c r="A38" s="544"/>
      <c r="N38" s="119" t="s">
        <v>363</v>
      </c>
      <c r="O38" s="160" t="s">
        <v>321</v>
      </c>
      <c r="P38" s="160" t="s">
        <v>322</v>
      </c>
      <c r="Q38" s="160" t="s">
        <v>323</v>
      </c>
      <c r="R38" s="160" t="s">
        <v>324</v>
      </c>
      <c r="S38" s="160" t="s">
        <v>134</v>
      </c>
      <c r="T38" s="160" t="s">
        <v>325</v>
      </c>
      <c r="U38" s="160" t="s">
        <v>326</v>
      </c>
      <c r="V38" s="160" t="s">
        <v>327</v>
      </c>
      <c r="W38" s="160" t="s">
        <v>328</v>
      </c>
      <c r="X38" s="160" t="s">
        <v>329</v>
      </c>
    </row>
    <row r="39" spans="1:24" ht="31" x14ac:dyDescent="0.35">
      <c r="A39" s="544"/>
      <c r="N39" s="28" t="s">
        <v>344</v>
      </c>
      <c r="O39" s="71">
        <f>+'Cost Sheet'!$N$15</f>
        <v>3.8724791666666665</v>
      </c>
      <c r="P39" s="49" t="s">
        <v>364</v>
      </c>
      <c r="Q39" s="30">
        <f>SUM((($O$12*($D$7+(2*$O$12)))),($O$12*($D$6+(2*$O$12))))*2*$L$4</f>
        <v>1.8366586140500001</v>
      </c>
      <c r="R39" s="71">
        <f>+Q39*O39</f>
        <v>7.1124222191874988</v>
      </c>
      <c r="S39" s="71" cm="1">
        <f t="array" ref="S39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39" s="71">
        <f t="shared" ref="T39:T46" si="8">+R39+S39</f>
        <v>7.1124222191874988</v>
      </c>
      <c r="U39" s="71">
        <f>+IF($D$3="Freezer",'Cost Sheet'!$V$22,'Cost Sheet'!$V$21)</f>
        <v>11.36</v>
      </c>
      <c r="V39" s="71">
        <f>+U39*Q39</f>
        <v>20.864441855608</v>
      </c>
      <c r="W39" s="71" cm="1">
        <f t="array" ref="W39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39" s="71">
        <f t="shared" ref="X39:X46" si="9">+V39+W39</f>
        <v>20.864441855608</v>
      </c>
    </row>
    <row r="40" spans="1:24" ht="46.5" x14ac:dyDescent="0.35">
      <c r="A40" s="544"/>
      <c r="N40" s="28" t="s">
        <v>346</v>
      </c>
      <c r="O40" s="71">
        <f>+$O$39+'Cost Sheet'!$N$10</f>
        <v>5.4686827904802993</v>
      </c>
      <c r="P40" s="49" t="s">
        <v>365</v>
      </c>
      <c r="Q40" s="30">
        <f t="shared" ref="Q40:Q42" si="10">SUM((($O$12*($D$7+(2*$O$12)))),($O$12*($D$6+(2*$O$12))))*2*$L$4</f>
        <v>1.8366586140500001</v>
      </c>
      <c r="R40" s="71">
        <f>($O$15*$Q$15)+('Cost Sheet'!$N$10*2*$Q$19)</f>
        <v>27.635824670910267</v>
      </c>
      <c r="S40" s="71" cm="1">
        <f t="array" ref="S40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0" s="71">
        <f t="shared" si="8"/>
        <v>27.635824670910267</v>
      </c>
      <c r="U40" s="71">
        <f>+$U$15+'Cost Sheet'!$V$10</f>
        <v>12.956203623813632</v>
      </c>
      <c r="V40" s="71">
        <f>($U$15*$Q$15)+('Cost Sheet'!$P$10*2*$Q$19)</f>
        <v>27.635824670910267</v>
      </c>
      <c r="W40" s="71" cm="1">
        <f t="array" ref="W40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0" s="71">
        <f t="shared" si="9"/>
        <v>27.635824670910267</v>
      </c>
    </row>
    <row r="41" spans="1:24" ht="62" x14ac:dyDescent="0.35">
      <c r="A41" s="544"/>
      <c r="B41" s="226" t="s">
        <v>366</v>
      </c>
      <c r="D41" s="150" t="s">
        <v>82</v>
      </c>
      <c r="E41" s="160" t="s">
        <v>321</v>
      </c>
      <c r="F41" s="160" t="s">
        <v>334</v>
      </c>
      <c r="G41" s="160" t="s">
        <v>322</v>
      </c>
      <c r="H41" s="220" t="s">
        <v>335</v>
      </c>
      <c r="I41" s="160" t="s">
        <v>336</v>
      </c>
      <c r="J41" s="160" t="s">
        <v>337</v>
      </c>
      <c r="K41" s="220" t="s">
        <v>338</v>
      </c>
      <c r="L41" s="160" t="s">
        <v>339</v>
      </c>
      <c r="N41" s="28" t="s">
        <v>348</v>
      </c>
      <c r="O41" s="71">
        <f>+$O$39+'Cost Sheet'!$N$3</f>
        <v>5.0548364683716329</v>
      </c>
      <c r="P41" s="49" t="s">
        <v>367</v>
      </c>
      <c r="Q41" s="30">
        <f t="shared" si="10"/>
        <v>1.8366586140500001</v>
      </c>
      <c r="R41" s="71">
        <f>($O$15*$Q$15)+('Cost Sheet'!$N$3*2*$Q$19)</f>
        <v>26.115635846122682</v>
      </c>
      <c r="S41" s="71" cm="1">
        <f t="array" ref="S41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1" s="71">
        <f t="shared" si="8"/>
        <v>26.115635846122682</v>
      </c>
      <c r="U41" s="71">
        <f>+$U$15+'Cost Sheet'!$V$3</f>
        <v>12.542357301704966</v>
      </c>
      <c r="V41" s="71">
        <f>($U$15*$Q$15)+('Cost Sheet'!$P$3*2*$Q$19)</f>
        <v>26.115635846122682</v>
      </c>
      <c r="W41" s="71" cm="1">
        <f t="array" ref="W41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1" s="71">
        <f t="shared" si="9"/>
        <v>26.115635846122682</v>
      </c>
    </row>
    <row r="42" spans="1:24" ht="62" x14ac:dyDescent="0.35">
      <c r="A42" s="544"/>
      <c r="B42" s="227"/>
      <c r="C42" s="21" t="str">
        <f>'Door - Step 2'!C69</f>
        <v xml:space="preserve">Sliding Door Parts </v>
      </c>
      <c r="D42" s="121" t="str">
        <f>+IF($D$2="Polyfoam Overlap Doors - Swing door","","SS Tube")</f>
        <v>SS Tube</v>
      </c>
      <c r="E42" s="71">
        <f>IF($D42=0,0,(INDEX('Cost Sheet'!$N:$N,MATCH('Quotation - Door 4'!$D69,'Cost Sheet'!$C:$C,0))))</f>
        <v>12</v>
      </c>
      <c r="F42" s="19">
        <f>+IF(D6=0,0,((D6*2)+17))</f>
        <v>0</v>
      </c>
      <c r="G42" s="19" t="s">
        <v>133</v>
      </c>
      <c r="H42" s="71">
        <f>+IF($D$6=0,0,INDEX('Accessories Install - Labour'!$E:$E,MATCH($D42,'Accessories Install - Labour'!$C:$C,0)))</f>
        <v>0</v>
      </c>
      <c r="I42" s="71">
        <f>_xlfn.IFNA(IF(D42=0,0,(E42*F42*L2))+H42,0)</f>
        <v>0</v>
      </c>
      <c r="J42" s="71">
        <f>IF($D$6=0,0,(INDEX('Cost Sheet'!$V:$V,MATCH('Quotation - Door 4'!$D69,'Cost Sheet'!$C:$C,0))))</f>
        <v>0</v>
      </c>
      <c r="K42" s="71">
        <f>+IF($D$6=0,0,INDEX('Accessories Install - Labour'!$F:$F,MATCH($D42,'Accessories Install - Labour'!$C:$C,0)))</f>
        <v>0</v>
      </c>
      <c r="L42" s="71">
        <f>_xlfn.IFNA(IF(D42=0,0,(J42*F42*$L$2))+K42,0)</f>
        <v>0</v>
      </c>
      <c r="N42" s="28" t="s">
        <v>350</v>
      </c>
      <c r="O42" s="71">
        <f>+$O$39+'Cost Sheet'!$N$5</f>
        <v>4.989149951610246</v>
      </c>
      <c r="P42" s="49" t="s">
        <v>367</v>
      </c>
      <c r="Q42" s="30">
        <f t="shared" si="10"/>
        <v>1.8366586140500001</v>
      </c>
      <c r="R42" s="71">
        <f>($O$15*$Q$15)+('Cost Sheet'!$N$5*2*$Q$19)</f>
        <v>25.874348432449199</v>
      </c>
      <c r="S42" s="71" cm="1">
        <f t="array" ref="S42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2" s="71">
        <f t="shared" si="8"/>
        <v>25.874348432449199</v>
      </c>
      <c r="U42" s="71">
        <f>+$U$15+'Cost Sheet'!$V$5</f>
        <v>12.476670784943579</v>
      </c>
      <c r="V42" s="71">
        <f>($U$15*$Q$15)+('Cost Sheet'!$P$5*2*$Q$19)</f>
        <v>25.874348432449199</v>
      </c>
      <c r="W42" s="71" cm="1">
        <f t="array" ref="W42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2" s="71">
        <f t="shared" si="9"/>
        <v>25.874348432449199</v>
      </c>
    </row>
    <row r="43" spans="1:24" ht="46.5" x14ac:dyDescent="0.35">
      <c r="A43" s="544"/>
      <c r="B43" s="227"/>
      <c r="C43" s="21" t="str">
        <f>'Door - Step 2'!C70</f>
        <v xml:space="preserve">Sliding Door Parts </v>
      </c>
      <c r="D43" s="121" t="str">
        <f>'Quotation - Door 4'!D70</f>
        <v>Main Roller</v>
      </c>
      <c r="E43" s="71">
        <f>IF($D43=0,0,(INDEX('Cost Sheet'!$N:$N,MATCH('Quotation - Door 4'!$D70,'Cost Sheet'!$C:$C,0))))</f>
        <v>168</v>
      </c>
      <c r="F43" s="20"/>
      <c r="G43" s="19" t="s">
        <v>133</v>
      </c>
      <c r="H43" s="71">
        <f>+IF($D$6=0,0,INDEX('Accessories Install - Labour'!$E:$E,MATCH($D43,'Accessories Install - Labour'!$C:$C,0)))</f>
        <v>0</v>
      </c>
      <c r="I43" s="71">
        <f>_xlfn.IFNA(IF(D6=0,0,(E43+H43)),0)</f>
        <v>0</v>
      </c>
      <c r="J43" s="71">
        <f>IF($D$6=0,0,(INDEX('Cost Sheet'!$V:$V,MATCH('Quotation - Door 4'!$D70,'Cost Sheet'!$C:$C,0))))</f>
        <v>0</v>
      </c>
      <c r="K43" s="71">
        <f>+IF($D$6=0,0,INDEX('Accessories Install - Labour'!$F:$F,MATCH($D43,'Accessories Install - Labour'!$C:$C,0)))</f>
        <v>0</v>
      </c>
      <c r="L43" s="71">
        <f>_xlfn.IFNA(IF(D43=0,0,(J43+K43)),0)</f>
        <v>0</v>
      </c>
      <c r="N43" s="28" t="s">
        <v>351</v>
      </c>
      <c r="O43" s="71">
        <f>+'Cost Sheet'!$N$27+'Cost Sheet'!$N$10</f>
        <v>2.7368286238136323</v>
      </c>
      <c r="P43" s="49" t="s">
        <v>352</v>
      </c>
      <c r="Q43" s="30">
        <f>SUM((($O$12*($D$7+(2*$O$12)))),($O$12*($D$6+(2*$O$12))))*2*$L$4</f>
        <v>1.8366586140500001</v>
      </c>
      <c r="R43" s="71">
        <f>+O43*Q43*2</f>
        <v>10.05323973421183</v>
      </c>
      <c r="S43" s="71" cm="1">
        <f t="array" ref="S43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3" s="71">
        <f t="shared" si="8"/>
        <v>10.05323973421183</v>
      </c>
      <c r="U43" s="71">
        <f>+'Cost Sheet'!$V$27+'Cost Sheet'!$V$10</f>
        <v>2.7368286238136323</v>
      </c>
      <c r="V43" s="71">
        <f>+Q43*U43*2</f>
        <v>10.05323973421183</v>
      </c>
      <c r="W43" s="71" cm="1">
        <f t="array" ref="W43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3" s="71">
        <f t="shared" si="9"/>
        <v>10.05323973421183</v>
      </c>
    </row>
    <row r="44" spans="1:24" ht="46.5" x14ac:dyDescent="0.35">
      <c r="A44" s="544"/>
      <c r="B44" s="227"/>
      <c r="C44" s="21" t="str">
        <f>'Door - Step 2'!C71</f>
        <v xml:space="preserve">Sliding Door Parts </v>
      </c>
      <c r="D44" s="121" t="str">
        <f>'Quotation - Door 4'!D71</f>
        <v>Bottom Stay Roller</v>
      </c>
      <c r="E44" s="71">
        <f>IF($D44=0,0,(INDEX('Cost Sheet'!$N:$N,MATCH('Quotation - Door 4'!$D71,'Cost Sheet'!$C:$C,0))))</f>
        <v>27</v>
      </c>
      <c r="F44" s="20"/>
      <c r="G44" s="19" t="s">
        <v>133</v>
      </c>
      <c r="H44" s="71">
        <f>+IF($D$6=0,0,INDEX('Accessories Install - Labour'!$E:$E,MATCH($D44,'Accessories Install - Labour'!$C:$C,0)))</f>
        <v>0</v>
      </c>
      <c r="I44" s="71">
        <f>_xlfn.IFNA(IF(D6=0,0,(E44+H44)),0)</f>
        <v>0</v>
      </c>
      <c r="J44" s="71">
        <f>IF($D$6=0,0,(INDEX('Cost Sheet'!$V:$V,MATCH('Quotation - Door 4'!$D71,'Cost Sheet'!$C:$C,0))))</f>
        <v>0</v>
      </c>
      <c r="K44" s="71">
        <f>+IF($D$6=0,0,INDEX('Accessories Install - Labour'!$F:$F,MATCH($D44,'Accessories Install - Labour'!$C:$C,0)))</f>
        <v>0</v>
      </c>
      <c r="L44" s="71">
        <f>_xlfn.IFNA(IF(D44=0,0,(J44+K44)),0)</f>
        <v>0</v>
      </c>
      <c r="N44" s="28" t="s">
        <v>353</v>
      </c>
      <c r="O44" s="71">
        <f>+'Cost Sheet'!$N$27+'Cost Sheet'!$N$3</f>
        <v>2.3229823017049664</v>
      </c>
      <c r="P44" s="49" t="s">
        <v>352</v>
      </c>
      <c r="Q44" s="30">
        <f>SUM((($O$12*($D$7+(2*$O$12)))),($O$12*($D$6+(2*$O$12))))*2*$L$4</f>
        <v>1.8366586140500001</v>
      </c>
      <c r="R44" s="71">
        <f>+O44*Q44*2</f>
        <v>8.5330509094242455</v>
      </c>
      <c r="S44" s="71" cm="1">
        <f t="array" ref="S44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4" s="71">
        <f t="shared" si="8"/>
        <v>8.5330509094242455</v>
      </c>
      <c r="U44" s="71">
        <f>+'Cost Sheet'!$V$27+'Cost Sheet'!$V$3</f>
        <v>2.3229823017049664</v>
      </c>
      <c r="V44" s="71">
        <f>+Q44*U44*2</f>
        <v>8.5330509094242455</v>
      </c>
      <c r="W44" s="71" cm="1">
        <f t="array" ref="W44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4" s="71">
        <f t="shared" si="9"/>
        <v>8.5330509094242455</v>
      </c>
    </row>
    <row r="45" spans="1:24" ht="46.5" x14ac:dyDescent="0.35">
      <c r="A45" s="544"/>
      <c r="B45" s="227"/>
      <c r="C45" s="21" t="str">
        <f>'Door - Step 2'!C72</f>
        <v xml:space="preserve">Sliding Door Parts </v>
      </c>
      <c r="D45" s="121" t="str">
        <f>'Quotation - Door 4'!D72</f>
        <v>Aluminum Frame bracket</v>
      </c>
      <c r="E45" s="71">
        <f>IF($D45=0,0,(INDEX('Cost Sheet'!$N:$N,MATCH('Quotation - Door 4'!$D72,'Cost Sheet'!$C:$C,0))))</f>
        <v>19.93</v>
      </c>
      <c r="F45" s="19">
        <f>ROUNDUP(($F$42/30),0)</f>
        <v>0</v>
      </c>
      <c r="G45" s="19" t="s">
        <v>133</v>
      </c>
      <c r="H45" s="71">
        <f>+IF($D$6=0,0,INDEX('Accessories Install - Labour'!$E:$E,MATCH($D45,'Accessories Install - Labour'!$C:$C,0)))</f>
        <v>0</v>
      </c>
      <c r="I45" s="71">
        <f>_xlfn.IFNA(IF(D6=0,0,((E45*$F$45)+H45)),0)</f>
        <v>0</v>
      </c>
      <c r="J45" s="71">
        <f>IF($D$6=0,0,(INDEX('Cost Sheet'!$V:$V,MATCH('Quotation - Door 4'!$D72,'Cost Sheet'!$C:$C,0))))</f>
        <v>0</v>
      </c>
      <c r="K45" s="71">
        <f>+IF($D$6=0,0,INDEX('Accessories Install - Labour'!$F:$F,MATCH($D45,'Accessories Install - Labour'!$C:$C,0)))</f>
        <v>0</v>
      </c>
      <c r="L45" s="71">
        <f>_xlfn.IFNA(IF(D45=0,0,((J45*F45)+K45)),0)</f>
        <v>0</v>
      </c>
      <c r="N45" s="28" t="s">
        <v>355</v>
      </c>
      <c r="O45" s="71">
        <f>+'Cost Sheet'!$N$27+'Cost Sheet'!$N$5</f>
        <v>2.2572957849435795</v>
      </c>
      <c r="P45" s="49" t="s">
        <v>352</v>
      </c>
      <c r="Q45" s="30">
        <f>SUM((($O$12*($D$7+(2*$O$12)))),($O$12*($D$6+(2*$O$12))))*2*$L$4</f>
        <v>1.8366586140500001</v>
      </c>
      <c r="R45" s="71">
        <f>+O45*Q45*2</f>
        <v>8.2917634957507644</v>
      </c>
      <c r="S45" s="71" cm="1">
        <f t="array" ref="S45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5" s="71">
        <f t="shared" si="8"/>
        <v>8.2917634957507644</v>
      </c>
      <c r="U45" s="71">
        <f>+'Cost Sheet'!$V$27+'Cost Sheet'!$V$5</f>
        <v>2.2572957849435795</v>
      </c>
      <c r="V45" s="71">
        <f>+Q45*U45*2</f>
        <v>8.2917634957507644</v>
      </c>
      <c r="W45" s="71" cm="1">
        <f t="array" ref="W45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5" s="71">
        <f t="shared" si="9"/>
        <v>8.2917634957507644</v>
      </c>
    </row>
    <row r="46" spans="1:24" ht="31" x14ac:dyDescent="0.35">
      <c r="A46" s="207"/>
      <c r="B46" s="227"/>
      <c r="C46" s="21" t="str">
        <f>'Door - Step 2'!C73</f>
        <v xml:space="preserve">Sliding Door Parts </v>
      </c>
      <c r="D46" s="121" t="b">
        <f>'Quotation - Door 4'!D73</f>
        <v>0</v>
      </c>
      <c r="E46" s="71">
        <f>_xlfn.IFNA(IF($D46=0,0,(INDEX('Cost Sheet'!$N:$N,MATCH('Quotation - Door 4'!$D73,'Cost Sheet'!$C:$C,0)))),0)</f>
        <v>0</v>
      </c>
      <c r="F46" s="20"/>
      <c r="G46" s="19" t="s">
        <v>133</v>
      </c>
      <c r="H46" s="71" t="e">
        <f>+IF($D46=0,0,INDEX('Accessories Install - Labour'!$E:$E,MATCH($D46,'Accessories Install - Labour'!$C:$C,0)))</f>
        <v>#N/A</v>
      </c>
      <c r="I46" s="71">
        <f>_xlfn.IFNA(IF(D46=0,0,(E46+H46)),0)</f>
        <v>0</v>
      </c>
      <c r="J46" s="71" t="e">
        <f>IF($D46=0,0,(INDEX('Cost Sheet'!$V:$V,MATCH('Quotation - Door 4'!$D73,'Cost Sheet'!$C:$C,0))))</f>
        <v>#N/A</v>
      </c>
      <c r="K46" s="71" t="e">
        <f>+IF($D46=0,0,INDEX('Accessories Install - Labour'!$F:$F,MATCH($D46,'Accessories Install - Labour'!$C:$C,0)))</f>
        <v>#N/A</v>
      </c>
      <c r="L46" s="71">
        <f>_xlfn.IFNA(IF(D46=0,0,(J46+K46)),0)</f>
        <v>0</v>
      </c>
      <c r="N46" s="28" t="s">
        <v>356</v>
      </c>
      <c r="O46" s="71">
        <f>+'Cost Sheet'!$N$24+'Cost Sheet'!$N$10</f>
        <v>6.0253702904802982</v>
      </c>
      <c r="P46" s="49" t="s">
        <v>347</v>
      </c>
      <c r="Q46" s="30">
        <f>((($D$6*2)+(($D$7+($O$12*2))*2))*'Calculation Sheet - BOM '!$L$2)</f>
        <v>1.91659</v>
      </c>
      <c r="R46" s="71">
        <f>('Cost Sheet'!$N$24*$Q46)+('Cost Sheet'!$N$10*$Q$21)</f>
        <v>11.420577677121798</v>
      </c>
      <c r="S46" s="71" cm="1">
        <f t="array" ref="S46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6" s="71">
        <f t="shared" si="8"/>
        <v>11.420577677121798</v>
      </c>
      <c r="U46" s="71">
        <f>+'Cost Sheet'!$V$24+'Cost Sheet'!$V$10</f>
        <v>6.0253702904802982</v>
      </c>
      <c r="V46" s="71">
        <f>('Cost Sheet'!$P$24*$Q46)+('Cost Sheet'!$P$10*$Q$21)</f>
        <v>11.420577677121798</v>
      </c>
      <c r="W46" s="71" cm="1">
        <f t="array" ref="W46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6" s="71">
        <f t="shared" si="9"/>
        <v>11.420577677121798</v>
      </c>
    </row>
    <row r="47" spans="1:24" ht="46.5" x14ac:dyDescent="0.35">
      <c r="A47" s="207"/>
      <c r="B47" s="227"/>
      <c r="C47" s="21" t="str">
        <f>'Door - Step 2'!C74</f>
        <v xml:space="preserve">Sliding Door Parts </v>
      </c>
      <c r="D47" s="121" t="b">
        <f>'Quotation - Door 4'!D74</f>
        <v>0</v>
      </c>
      <c r="E47" s="71">
        <f>_xlfn.IFNA(IF($D47=0,0,(INDEX('Cost Sheet'!$N:$N,MATCH('Quotation - Door 4'!$D74,'Cost Sheet'!$C:$C,0)))),0)</f>
        <v>0</v>
      </c>
      <c r="F47" s="20"/>
      <c r="G47" s="19" t="s">
        <v>133</v>
      </c>
      <c r="H47" s="71" t="e">
        <f>+IF($D47=0,0,INDEX('Accessories Install - Labour'!$E:$E,MATCH($D47,'Accessories Install - Labour'!$C:$C,0)))</f>
        <v>#N/A</v>
      </c>
      <c r="I47" s="71">
        <f t="shared" ref="I47:I53" si="11">_xlfn.IFNA(IF(D47=0,0,(E47+H47)),0)</f>
        <v>0</v>
      </c>
      <c r="J47" s="71" t="e">
        <f>IF($D47=0,0,(INDEX('Cost Sheet'!$V:$V,MATCH('Quotation - Door 4'!$D74,'Cost Sheet'!$C:$C,0))))</f>
        <v>#N/A</v>
      </c>
      <c r="K47" s="71" t="e">
        <f>+IF($D47=0,0,INDEX('Accessories Install - Labour'!$F:$F,MATCH($D47,'Accessories Install - Labour'!$C:$C,0)))</f>
        <v>#N/A</v>
      </c>
      <c r="L47" s="71">
        <f t="shared" ref="L47:L53" si="12">_xlfn.IFNA(IF(G47=0,0,(H47+K47)),0)</f>
        <v>0</v>
      </c>
      <c r="N47" s="28" t="s">
        <v>55</v>
      </c>
      <c r="O47" s="71">
        <f>+'Cost Sheet'!$N$24+'Cost Sheet'!$N$3</f>
        <v>5.6115239683716327</v>
      </c>
      <c r="P47" s="49" t="s">
        <v>349</v>
      </c>
      <c r="Q47" s="30">
        <f>((($D$6*2)+(($D$7+($O$12*2))*2))*'Calculation Sheet - BOM '!$L$2)</f>
        <v>1.91659</v>
      </c>
      <c r="R47" s="71">
        <f>('Cost Sheet'!$N$24*$Q47)+('Cost Sheet'!$N$3*$Q$21)</f>
        <v>10.660483264728008</v>
      </c>
      <c r="S47" s="71" cm="1">
        <f t="array" ref="S47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7" s="71">
        <f>+R47+S47</f>
        <v>10.660483264728008</v>
      </c>
      <c r="U47" s="71">
        <f>+'Cost Sheet'!$V$24+'Cost Sheet'!$V$3</f>
        <v>5.6115239683716327</v>
      </c>
      <c r="V47" s="71">
        <f>('Cost Sheet'!$P$24*$Q47)+('Cost Sheet'!$P$3*$Q$21)</f>
        <v>10.660483264728008</v>
      </c>
      <c r="W47" s="71" cm="1">
        <f t="array" ref="W47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7" s="71">
        <f>+V47+W47</f>
        <v>10.660483264728008</v>
      </c>
    </row>
    <row r="48" spans="1:24" ht="46.5" x14ac:dyDescent="0.35">
      <c r="B48" s="227"/>
      <c r="C48" s="21" t="str">
        <f>'Door - Step 2'!C75</f>
        <v>Sliding Door Parts</v>
      </c>
      <c r="D48" s="121" t="b">
        <f>'Quotation - Door 4'!D75</f>
        <v>0</v>
      </c>
      <c r="E48" s="71">
        <f>_xlfn.IFNA(IF($D48=0,0,(INDEX('Cost Sheet'!$N:$N,MATCH('Quotation - Door 4'!$D75,'Cost Sheet'!$C:$C,0)))),0)</f>
        <v>0</v>
      </c>
      <c r="F48" s="20"/>
      <c r="G48" s="19" t="s">
        <v>133</v>
      </c>
      <c r="H48" s="71" t="e">
        <f>+IF($D48=0,0,INDEX('Accessories Install - Labour'!$E:$E,MATCH($D48,'Accessories Install - Labour'!$C:$C,0)))</f>
        <v>#N/A</v>
      </c>
      <c r="I48" s="71">
        <f t="shared" si="11"/>
        <v>0</v>
      </c>
      <c r="J48" s="71" t="e">
        <f>IF($D48=0,0,(INDEX('Cost Sheet'!$V:$V,MATCH('Quotation - Door 4'!$D75,'Cost Sheet'!$C:$C,0))))</f>
        <v>#N/A</v>
      </c>
      <c r="K48" s="71" t="e">
        <f>+IF($D48=0,0,INDEX('Accessories Install - Labour'!$F:$F,MATCH($D48,'Accessories Install - Labour'!$C:$C,0)))</f>
        <v>#N/A</v>
      </c>
      <c r="L48" s="71">
        <f t="shared" si="12"/>
        <v>0</v>
      </c>
      <c r="N48" s="28" t="s">
        <v>357</v>
      </c>
      <c r="O48" s="71">
        <f>+'Cost Sheet'!$N$24+'Cost Sheet'!$N$5</f>
        <v>5.5458374516102458</v>
      </c>
      <c r="P48" s="49" t="s">
        <v>349</v>
      </c>
      <c r="Q48" s="30">
        <f>((($D$6*2)+(($D$7+($O$12*2))*2))*'Calculation Sheet - BOM '!$L$2)</f>
        <v>1.91659</v>
      </c>
      <c r="R48" s="71">
        <f>('Cost Sheet'!$N$24*$Q48)+('Cost Sheet'!$N$5*$Q$21)</f>
        <v>10.539839557891266</v>
      </c>
      <c r="S48" s="71" cm="1">
        <f t="array" ref="S48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8" s="71">
        <f>+R48+S48</f>
        <v>10.539839557891266</v>
      </c>
      <c r="U48" s="71">
        <f>+'Cost Sheet'!$V$24+'Cost Sheet'!$V$5</f>
        <v>5.5458374516102458</v>
      </c>
      <c r="V48" s="71">
        <f>('Cost Sheet'!$P$24*$Q48)+('Cost Sheet'!$P$5*$Q$21)</f>
        <v>10.539839557891266</v>
      </c>
      <c r="W48" s="71" cm="1">
        <f t="array" ref="W48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8" s="71">
        <f>+V48+W48</f>
        <v>10.539839557891266</v>
      </c>
    </row>
    <row r="49" spans="1:16" x14ac:dyDescent="0.35">
      <c r="B49" s="227"/>
      <c r="C49" s="21" t="str">
        <f>'Door - Step 2'!C76</f>
        <v>Sliding Door Parts</v>
      </c>
      <c r="D49" s="121" t="b">
        <f>'Quotation - Door 4'!D76</f>
        <v>0</v>
      </c>
      <c r="E49" s="71">
        <f>_xlfn.IFNA(IF($D49=0,0,(INDEX('Cost Sheet'!$N:$N,MATCH('Quotation - Door 4'!$D76,'Cost Sheet'!$C:$C,0)))),0)</f>
        <v>0</v>
      </c>
      <c r="F49" s="20"/>
      <c r="G49" s="19" t="s">
        <v>133</v>
      </c>
      <c r="H49" s="71" t="e">
        <f>+IF($D49=0,0,INDEX('Accessories Install - Labour'!$E:$E,MATCH($D49,'Accessories Install - Labour'!$C:$C,0)))</f>
        <v>#N/A</v>
      </c>
      <c r="I49" s="71">
        <f t="shared" si="11"/>
        <v>0</v>
      </c>
      <c r="J49" s="71" t="e">
        <f>IF($D49=0,0,(INDEX('Cost Sheet'!$V:$V,MATCH('Quotation - Door 4'!$D76,'Cost Sheet'!$C:$C,0))))</f>
        <v>#N/A</v>
      </c>
      <c r="K49" s="71" t="e">
        <f>+IF($D49=0,0,INDEX('Accessories Install - Labour'!$F:$F,MATCH($D49,'Accessories Install - Labour'!$C:$C,0)))</f>
        <v>#N/A</v>
      </c>
      <c r="L49" s="71">
        <f t="shared" si="12"/>
        <v>0</v>
      </c>
      <c r="N49" s="4"/>
      <c r="P49" s="4"/>
    </row>
    <row r="50" spans="1:16" x14ac:dyDescent="0.35">
      <c r="B50" s="227"/>
      <c r="C50" s="21" t="str">
        <f>'Door - Step 2'!C77</f>
        <v>Sliding Door Parts</v>
      </c>
      <c r="D50" s="121">
        <f>'Quotation - Door 4'!D77</f>
        <v>0</v>
      </c>
      <c r="E50" s="71">
        <f>_xlfn.IFNA(IF($D50=0,0,(INDEX('Cost Sheet'!$N:$N,MATCH('Quotation - Door 4'!$D77,'Cost Sheet'!$C:$C,0)))),0)</f>
        <v>0</v>
      </c>
      <c r="F50" s="20"/>
      <c r="G50" s="19" t="s">
        <v>133</v>
      </c>
      <c r="H50" s="71">
        <f>+IF($D50=0,0,INDEX('Accessories Install - Labour'!$E:$E,MATCH($D50,'Accessories Install - Labour'!$C:$C,0)))</f>
        <v>0</v>
      </c>
      <c r="I50" s="71">
        <f t="shared" si="11"/>
        <v>0</v>
      </c>
      <c r="J50" s="71">
        <f>IF($D50=0,0,(INDEX('Cost Sheet'!$V:$V,MATCH('Quotation - Door 4'!$D77,'Cost Sheet'!$C:$C,0))))</f>
        <v>0</v>
      </c>
      <c r="K50" s="71">
        <f>+IF($D50=0,0,INDEX('Accessories Install - Labour'!$F:$F,MATCH($D50,'Accessories Install - Labour'!$C:$C,0)))</f>
        <v>0</v>
      </c>
      <c r="L50" s="71">
        <f t="shared" si="12"/>
        <v>0</v>
      </c>
      <c r="N50" s="4"/>
      <c r="P50" s="4"/>
    </row>
    <row r="51" spans="1:16" x14ac:dyDescent="0.35">
      <c r="B51" s="228"/>
      <c r="C51" s="21" t="str">
        <f>'Door - Step 2'!C78</f>
        <v>Sliding Door Parts</v>
      </c>
      <c r="D51" s="121">
        <f>'Quotation - Door 4'!D78</f>
        <v>0</v>
      </c>
      <c r="E51" s="71">
        <f>_xlfn.IFNA(IF($D51=0,0,(INDEX('Cost Sheet'!$N:$N,MATCH('Quotation - Door 4'!$D78,'Cost Sheet'!$C:$C,0)))),0)</f>
        <v>0</v>
      </c>
      <c r="F51" s="20"/>
      <c r="G51" s="19" t="s">
        <v>133</v>
      </c>
      <c r="H51" s="71">
        <f>+IF($D51=0,0,INDEX('Accessories Install - Labour'!$E:$E,MATCH($D51,'Accessories Install - Labour'!$C:$C,0)))</f>
        <v>0</v>
      </c>
      <c r="I51" s="71">
        <f t="shared" si="11"/>
        <v>0</v>
      </c>
      <c r="J51" s="71">
        <f>IF($D51=0,0,(INDEX('Cost Sheet'!$V:$V,MATCH('Quotation - Door 4'!$D78,'Cost Sheet'!$C:$C,0))))</f>
        <v>0</v>
      </c>
      <c r="K51" s="71">
        <f>+IF($D51=0,0,INDEX('Accessories Install - Labour'!$F:$F,MATCH($D51,'Accessories Install - Labour'!$C:$C,0)))</f>
        <v>0</v>
      </c>
      <c r="L51" s="71">
        <f t="shared" si="12"/>
        <v>0</v>
      </c>
      <c r="N51" s="4"/>
      <c r="P51" s="4"/>
    </row>
    <row r="52" spans="1:16" x14ac:dyDescent="0.35">
      <c r="B52" s="225"/>
      <c r="C52" s="21" t="str">
        <f>'Door - Step 2'!C79</f>
        <v>Sliding Door Parts</v>
      </c>
      <c r="D52" s="121">
        <f>'Quotation - Door 4'!D79</f>
        <v>0</v>
      </c>
      <c r="E52" s="71">
        <f>_xlfn.IFNA(IF($D52=0,0,(INDEX('Cost Sheet'!$N:$N,MATCH('Quotation - Door 4'!$D79,'Cost Sheet'!$C:$C,0)))),0)</f>
        <v>0</v>
      </c>
      <c r="F52" s="20"/>
      <c r="G52" s="19" t="s">
        <v>133</v>
      </c>
      <c r="H52" s="71">
        <f>+IF($D52=0,0,INDEX('Accessories Install - Labour'!$E:$E,MATCH($D52,'Accessories Install - Labour'!$C:$C,0)))</f>
        <v>0</v>
      </c>
      <c r="I52" s="71">
        <f t="shared" si="11"/>
        <v>0</v>
      </c>
      <c r="J52" s="71">
        <f>IF($D52=0,0,(INDEX('Cost Sheet'!$V:$V,MATCH('Quotation - Door 4'!$D79,'Cost Sheet'!$C:$C,0))))</f>
        <v>0</v>
      </c>
      <c r="K52" s="71">
        <f>+IF($D52=0,0,INDEX('Accessories Install - Labour'!$F:$F,MATCH($D52,'Accessories Install - Labour'!$C:$C,0)))</f>
        <v>0</v>
      </c>
      <c r="L52" s="71">
        <f t="shared" si="12"/>
        <v>0</v>
      </c>
      <c r="N52" s="4"/>
      <c r="P52" s="4"/>
    </row>
    <row r="53" spans="1:16" x14ac:dyDescent="0.35">
      <c r="B53" s="225"/>
      <c r="C53" s="21" t="str">
        <f>'Door - Step 2'!C80</f>
        <v>Sliding Door Parts</v>
      </c>
      <c r="D53" s="121">
        <f>'Quotation - Door 4'!D80</f>
        <v>0</v>
      </c>
      <c r="E53" s="71">
        <f>_xlfn.IFNA(IF($D53=0,0,(INDEX('Cost Sheet'!$N:$N,MATCH('Quotation - Door 2'!$D80,'Cost Sheet'!$C:$C,0)))),0)</f>
        <v>0</v>
      </c>
      <c r="F53" s="20"/>
      <c r="G53" s="19" t="s">
        <v>133</v>
      </c>
      <c r="H53" s="71">
        <f>+IF($D53=0,0,INDEX('Accessories Install - Labour'!$E:$E,MATCH($D53,'Accessories Install - Labour'!$C:$C,0)))</f>
        <v>0</v>
      </c>
      <c r="I53" s="71">
        <f t="shared" si="11"/>
        <v>0</v>
      </c>
      <c r="J53" s="71">
        <f>IF($D53=0,0,(INDEX('Cost Sheet'!$V:$V,MATCH('Quotation - Door 4'!$D80,'Cost Sheet'!$C:$C,0))))</f>
        <v>0</v>
      </c>
      <c r="K53" s="71">
        <f>+IF($D53=0,0,INDEX('Accessories Install - Labour'!$F:$F,MATCH($D53,'Accessories Install - Labour'!$C:$C,0)))</f>
        <v>0</v>
      </c>
      <c r="L53" s="71">
        <f t="shared" si="12"/>
        <v>0</v>
      </c>
      <c r="N53" s="4"/>
      <c r="P53" s="4"/>
    </row>
    <row r="54" spans="1:16" x14ac:dyDescent="0.35">
      <c r="D54" s="4"/>
      <c r="H54" s="4"/>
      <c r="K54" s="4"/>
      <c r="L54" s="4"/>
      <c r="N54" s="4"/>
      <c r="P54" s="4"/>
    </row>
    <row r="55" spans="1:16" x14ac:dyDescent="0.35">
      <c r="D55" s="4"/>
      <c r="H55" s="4"/>
      <c r="K55" s="4"/>
      <c r="L55" s="4"/>
      <c r="N55" s="4"/>
      <c r="P55" s="4"/>
    </row>
    <row r="56" spans="1:16" x14ac:dyDescent="0.35">
      <c r="D56" s="4"/>
      <c r="H56" s="4"/>
      <c r="K56" s="4"/>
      <c r="L56" s="4"/>
      <c r="N56" s="4"/>
      <c r="P56" s="4"/>
    </row>
    <row r="57" spans="1:16" ht="43.5" x14ac:dyDescent="0.35">
      <c r="D57" s="150" t="s">
        <v>82</v>
      </c>
      <c r="E57" s="160" t="s">
        <v>321</v>
      </c>
      <c r="F57" s="160" t="s">
        <v>334</v>
      </c>
      <c r="G57" s="160" t="s">
        <v>322</v>
      </c>
      <c r="H57" s="220" t="s">
        <v>335</v>
      </c>
      <c r="I57" s="160" t="s">
        <v>336</v>
      </c>
      <c r="J57" s="160" t="s">
        <v>337</v>
      </c>
      <c r="K57" s="220" t="s">
        <v>338</v>
      </c>
      <c r="L57" s="160" t="s">
        <v>339</v>
      </c>
      <c r="N57" s="4"/>
      <c r="P57" s="4"/>
    </row>
    <row r="58" spans="1:16" ht="31" x14ac:dyDescent="0.35">
      <c r="A58" s="215" t="str">
        <f>'Door - Step 2'!A82</f>
        <v xml:space="preserve">ADDITIONAL OPTIONS  &amp; ADD ON - PARTS </v>
      </c>
      <c r="B58" s="216"/>
      <c r="C58" s="27" t="str">
        <f>'Door - Step 2'!C82</f>
        <v xml:space="preserve">Category </v>
      </c>
      <c r="D58" s="27">
        <f>'Quotation - Door 2'!D82</f>
        <v>0</v>
      </c>
      <c r="E58" s="20"/>
      <c r="F58" s="20"/>
      <c r="G58" s="20"/>
      <c r="H58" s="71"/>
      <c r="I58" s="20"/>
      <c r="J58" s="20"/>
      <c r="K58" s="71"/>
      <c r="L58" s="19"/>
      <c r="N58" s="4"/>
      <c r="P58" s="4"/>
    </row>
    <row r="59" spans="1:16" x14ac:dyDescent="0.35">
      <c r="A59" s="217"/>
      <c r="B59" s="218"/>
      <c r="C59" s="21" t="str">
        <f>'Door - Step 2'!C83</f>
        <v>Hinge</v>
      </c>
      <c r="D59" s="121" t="str">
        <f>'Quotation - Door 4'!D83</f>
        <v>Not Required</v>
      </c>
      <c r="E59" s="71" t="e">
        <f>IF($D59=0,0,(INDEX('Cost Sheet'!$N:$N,MATCH('Quotation - Door 4'!$D83,'Cost Sheet'!$C:$C,0))))</f>
        <v>#N/A</v>
      </c>
      <c r="F59" s="20"/>
      <c r="G59" s="19" t="s">
        <v>133</v>
      </c>
      <c r="H59" s="71">
        <f>+'Accessories Install - Labour'!$E$17</f>
        <v>21.666666666666668</v>
      </c>
      <c r="I59" s="71" t="e">
        <f>+E59+H59</f>
        <v>#N/A</v>
      </c>
      <c r="J59" s="71" t="e">
        <f>IF($D59=0,0,(INDEX('Cost Sheet'!$V:$V,MATCH('Quotation - Door 4'!$D83,'Cost Sheet'!$C:$C,0))))</f>
        <v>#N/A</v>
      </c>
      <c r="K59" s="71">
        <f>+'Accessories Install - Labour'!$F$15</f>
        <v>13</v>
      </c>
      <c r="L59" s="71" t="e">
        <f t="shared" ref="L59:L70" si="13">+J59+K59</f>
        <v>#N/A</v>
      </c>
      <c r="N59" s="4"/>
      <c r="P59" s="4"/>
    </row>
    <row r="60" spans="1:16" x14ac:dyDescent="0.35">
      <c r="A60" s="217"/>
      <c r="B60" s="218"/>
      <c r="C60" s="168" t="str">
        <f>'Door - Step 2'!C84</f>
        <v>Additional Hinge 1</v>
      </c>
      <c r="D60" s="121">
        <f>'Quotation - Door 4'!D84</f>
        <v>0</v>
      </c>
      <c r="E60" s="71">
        <f>IF($D60=0,0,(INDEX('Cost Sheet'!$N:$N,MATCH('Quotation - Door 4'!$D84,'Cost Sheet'!$C:$C,0))))</f>
        <v>0</v>
      </c>
      <c r="F60" s="20"/>
      <c r="G60" s="19" t="s">
        <v>133</v>
      </c>
      <c r="H60" s="71">
        <f>+'Accessories Install - Labour'!$E$17</f>
        <v>21.666666666666668</v>
      </c>
      <c r="I60" s="71">
        <f t="shared" ref="I60:I70" si="14">+E60+H60</f>
        <v>21.666666666666668</v>
      </c>
      <c r="J60" s="71">
        <f>IF($D60=0,0,(INDEX('Cost Sheet'!$V:$V,MATCH('Quotation - Door 4'!$D84,'Cost Sheet'!$C:$C,0))))</f>
        <v>0</v>
      </c>
      <c r="K60" s="71">
        <f>+'Accessories Install - Labour'!$F$15</f>
        <v>13</v>
      </c>
      <c r="L60" s="71">
        <f t="shared" si="13"/>
        <v>13</v>
      </c>
      <c r="N60" s="4"/>
      <c r="P60" s="4"/>
    </row>
    <row r="61" spans="1:16" x14ac:dyDescent="0.35">
      <c r="A61" s="217"/>
      <c r="B61" s="218"/>
      <c r="C61" s="168" t="str">
        <f>'Door - Step 2'!C85</f>
        <v>Additional Hinge 2</v>
      </c>
      <c r="D61" s="121">
        <f>'Quotation - Door 4'!D85</f>
        <v>0</v>
      </c>
      <c r="E61" s="71">
        <f>IF($D61=0,0,(INDEX('Cost Sheet'!$N:$N,MATCH('Quotation - Door 4'!$D85,'Cost Sheet'!$C:$C,0))))</f>
        <v>0</v>
      </c>
      <c r="F61" s="20"/>
      <c r="G61" s="19" t="s">
        <v>133</v>
      </c>
      <c r="H61" s="71">
        <f>+'Accessories Install - Labour'!$E$17</f>
        <v>21.666666666666668</v>
      </c>
      <c r="I61" s="71">
        <f t="shared" si="14"/>
        <v>21.666666666666668</v>
      </c>
      <c r="J61" s="71">
        <f>IF($D61=0,0,(INDEX('Cost Sheet'!$V:$V,MATCH('Quotation - Door 4'!$D85,'Cost Sheet'!$C:$C,0))))</f>
        <v>0</v>
      </c>
      <c r="K61" s="71">
        <f>+'Accessories Install - Labour'!$F$15</f>
        <v>13</v>
      </c>
      <c r="L61" s="71">
        <f t="shared" si="13"/>
        <v>13</v>
      </c>
      <c r="N61" s="4"/>
      <c r="P61" s="4"/>
    </row>
    <row r="62" spans="1:16" x14ac:dyDescent="0.35">
      <c r="A62" s="217"/>
      <c r="B62" s="218"/>
      <c r="C62" s="168" t="str">
        <f>'Door - Step 2'!C86</f>
        <v>Additional Hinge 3</v>
      </c>
      <c r="D62" s="121">
        <f>'Quotation - Door 4'!D86</f>
        <v>0</v>
      </c>
      <c r="E62" s="71">
        <f>IF($D62=0,0,(INDEX('Cost Sheet'!$N:$N,MATCH('Quotation - Door 4'!$D86,'Cost Sheet'!$C:$C,0))))</f>
        <v>0</v>
      </c>
      <c r="F62" s="20"/>
      <c r="G62" s="19" t="s">
        <v>133</v>
      </c>
      <c r="H62" s="71">
        <f>+'Accessories Install - Labour'!$E$17</f>
        <v>21.666666666666668</v>
      </c>
      <c r="I62" s="71">
        <f t="shared" si="14"/>
        <v>21.666666666666668</v>
      </c>
      <c r="J62" s="71">
        <f>IF($D62=0,0,(INDEX('Cost Sheet'!$V:$V,MATCH('Quotation - Door 4'!$D86,'Cost Sheet'!$C:$C,0))))</f>
        <v>0</v>
      </c>
      <c r="K62" s="71">
        <f>+'Accessories Install - Labour'!$F$15</f>
        <v>13</v>
      </c>
      <c r="L62" s="71">
        <f t="shared" si="13"/>
        <v>13</v>
      </c>
      <c r="N62" s="4"/>
      <c r="P62" s="4"/>
    </row>
    <row r="63" spans="1:16" x14ac:dyDescent="0.35">
      <c r="A63" s="217"/>
      <c r="B63" s="218"/>
      <c r="C63" s="21" t="str">
        <f>'Door - Step 2'!C87</f>
        <v>Latch</v>
      </c>
      <c r="D63" s="121" t="str">
        <f>'Quotation - Door 4'!D87</f>
        <v>Not Required</v>
      </c>
      <c r="E63" s="71" t="e">
        <f>IF($D63=0,0,(INDEX('Cost Sheet'!$N:$N,MATCH('Quotation - Door 4'!$D87,'Cost Sheet'!$C:$C,0))))</f>
        <v>#N/A</v>
      </c>
      <c r="F63" s="20"/>
      <c r="G63" s="19" t="s">
        <v>133</v>
      </c>
      <c r="H63" s="71">
        <f>+'Accessories Install - Labour'!$E$17</f>
        <v>21.666666666666668</v>
      </c>
      <c r="I63" s="71" t="e">
        <f t="shared" si="14"/>
        <v>#N/A</v>
      </c>
      <c r="J63" s="71" t="e">
        <f>IF($D63=0,0,(INDEX('Cost Sheet'!$V:$V,MATCH('Quotation - Door 4'!$D87,'Cost Sheet'!$C:$C,0))))</f>
        <v>#N/A</v>
      </c>
      <c r="K63" s="71">
        <f>+'Accessories Install - Labour'!$F$17</f>
        <v>21.666666666666668</v>
      </c>
      <c r="L63" s="71" t="e">
        <f t="shared" si="13"/>
        <v>#N/A</v>
      </c>
      <c r="N63" s="4"/>
      <c r="P63" s="4"/>
    </row>
    <row r="64" spans="1:16" x14ac:dyDescent="0.35">
      <c r="A64" s="217"/>
      <c r="B64" s="218"/>
      <c r="C64" s="168" t="str">
        <f>'Door - Step 2'!C88</f>
        <v>Additional Latch 1</v>
      </c>
      <c r="D64" s="121">
        <f>'Quotation - Door 4'!D88</f>
        <v>0</v>
      </c>
      <c r="E64" s="71">
        <f>IF($D64=0,0,(INDEX('Cost Sheet'!$N:$N,MATCH('Quotation - Door 4'!$D88,'Cost Sheet'!$C:$C,0))))</f>
        <v>0</v>
      </c>
      <c r="F64" s="20"/>
      <c r="G64" s="19" t="s">
        <v>133</v>
      </c>
      <c r="H64" s="71">
        <f>+'Accessories Install - Labour'!$E$17</f>
        <v>21.666666666666668</v>
      </c>
      <c r="I64" s="71">
        <f t="shared" si="14"/>
        <v>21.666666666666668</v>
      </c>
      <c r="J64" s="71">
        <f>IF($D64=0,0,(INDEX('Cost Sheet'!$V:$V,MATCH('Quotation - Door 4'!$D88,'Cost Sheet'!$C:$C,0))))</f>
        <v>0</v>
      </c>
      <c r="K64" s="71">
        <f>+'Accessories Install - Labour'!$F$17</f>
        <v>21.666666666666668</v>
      </c>
      <c r="L64" s="71">
        <f t="shared" si="13"/>
        <v>21.666666666666668</v>
      </c>
      <c r="N64" s="4"/>
      <c r="P64" s="4"/>
    </row>
    <row r="65" spans="1:17" x14ac:dyDescent="0.35">
      <c r="A65" s="217"/>
      <c r="B65" s="218"/>
      <c r="C65" s="168" t="str">
        <f>'Door - Step 2'!C89</f>
        <v>Additional Latch 2</v>
      </c>
      <c r="D65" s="121">
        <f>'Quotation - Door 4'!D89</f>
        <v>0</v>
      </c>
      <c r="E65" s="71">
        <f>IF($D65=0,0,(INDEX('Cost Sheet'!$N:$N,MATCH('Quotation - Door 4'!$D89,'Cost Sheet'!$C:$C,0))))</f>
        <v>0</v>
      </c>
      <c r="F65" s="20"/>
      <c r="G65" s="19" t="s">
        <v>133</v>
      </c>
      <c r="H65" s="71">
        <f>+'Accessories Install - Labour'!$E$17</f>
        <v>21.666666666666668</v>
      </c>
      <c r="I65" s="71">
        <f t="shared" si="14"/>
        <v>21.666666666666668</v>
      </c>
      <c r="J65" s="71">
        <f>IF($D65=0,0,(INDEX('Cost Sheet'!$V:$V,MATCH('Quotation - Door 4'!$D89,'Cost Sheet'!$C:$C,0))))</f>
        <v>0</v>
      </c>
      <c r="K65" s="71">
        <f>+'Accessories Install - Labour'!$F$17</f>
        <v>21.666666666666668</v>
      </c>
      <c r="L65" s="71">
        <f t="shared" si="13"/>
        <v>21.666666666666668</v>
      </c>
      <c r="N65" s="4"/>
      <c r="P65" s="4"/>
    </row>
    <row r="66" spans="1:17" x14ac:dyDescent="0.35">
      <c r="A66" s="217"/>
      <c r="B66" s="218"/>
      <c r="C66" s="21" t="str">
        <f>'Door - Step 2'!C90</f>
        <v xml:space="preserve">Interior Release </v>
      </c>
      <c r="D66" s="121">
        <f>'Quotation - Door 4'!D90</f>
        <v>0</v>
      </c>
      <c r="E66" s="71">
        <f>IF($D66=0,0,(INDEX('Cost Sheet'!$N:$N,MATCH('Quotation - Door 4'!$D90,'Cost Sheet'!$C:$C,0))))</f>
        <v>0</v>
      </c>
      <c r="F66" s="20"/>
      <c r="G66" s="19" t="s">
        <v>133</v>
      </c>
      <c r="H66" s="71">
        <f>+IF($D66=0,0,INDEX('Accessories Install - Labour'!$E:$E,MATCH($D66,'Accessories Install - Labour'!$C:$C,0)))</f>
        <v>0</v>
      </c>
      <c r="I66" s="71">
        <f t="shared" si="14"/>
        <v>0</v>
      </c>
      <c r="J66" s="71">
        <f>IF($D66=0,0,(INDEX('Cost Sheet'!$S:$S,MATCH('Quotation - Door 2'!$D90,'Cost Sheet'!$C:$C,0))))</f>
        <v>0</v>
      </c>
      <c r="K66" s="71">
        <f>+IF($D66=0,0,INDEX('Accessories Install - Labour'!$F:$F,MATCH($D66,'Accessories Install - Labour'!$C:$C,0)))</f>
        <v>0</v>
      </c>
      <c r="L66" s="71">
        <f t="shared" si="13"/>
        <v>0</v>
      </c>
      <c r="N66" s="4"/>
      <c r="P66" s="4"/>
    </row>
    <row r="67" spans="1:17" x14ac:dyDescent="0.35">
      <c r="A67" s="217"/>
      <c r="B67" s="218"/>
      <c r="C67" s="21" t="str">
        <f>'Door - Step 2'!C91</f>
        <v>Hook</v>
      </c>
      <c r="D67" s="121">
        <f>'Quotation - Door 4'!D91</f>
        <v>0</v>
      </c>
      <c r="E67" s="71">
        <f>IF($D67=0,0,(INDEX('Cost Sheet'!$N:$N,MATCH('Quotation - Door 4'!$D91,'Cost Sheet'!$C:$C,0))))</f>
        <v>0</v>
      </c>
      <c r="F67" s="20"/>
      <c r="G67" s="19" t="s">
        <v>133</v>
      </c>
      <c r="H67" s="71">
        <f>+IF($D67=0,0,INDEX('Accessories Install - Labour'!$E:$E,MATCH($D67,'Accessories Install - Labour'!$C:$C,0)))</f>
        <v>0</v>
      </c>
      <c r="I67" s="71">
        <f t="shared" si="14"/>
        <v>0</v>
      </c>
      <c r="J67" s="71">
        <f>IF($D67=0,0,(INDEX('Cost Sheet'!$S:$S,MATCH('Quotation - Door 2'!$D91,'Cost Sheet'!$C:$C,0))))</f>
        <v>0</v>
      </c>
      <c r="K67" s="71">
        <f>+IF($D67=0,0,INDEX('Accessories Install - Labour'!$F:$F,MATCH($D67,'Accessories Install - Labour'!$C:$C,0)))</f>
        <v>0</v>
      </c>
      <c r="L67" s="71">
        <f t="shared" si="13"/>
        <v>0</v>
      </c>
      <c r="N67" s="4"/>
      <c r="P67" s="4"/>
    </row>
    <row r="68" spans="1:17" x14ac:dyDescent="0.35">
      <c r="A68" s="217"/>
      <c r="B68" s="218"/>
      <c r="C68" s="21" t="str">
        <f>'Door - Step 2'!C92</f>
        <v xml:space="preserve">Door Closer </v>
      </c>
      <c r="D68" s="121" t="str">
        <f>'Quotation - Door 4'!D92</f>
        <v>Not Required</v>
      </c>
      <c r="E68" s="71" t="e">
        <f>IF($D68=0,0,(INDEX('Cost Sheet'!$N:$N,MATCH('Quotation - Door 4'!$D92,'Cost Sheet'!$C:$C,0))))</f>
        <v>#N/A</v>
      </c>
      <c r="F68" s="20"/>
      <c r="G68" s="19" t="s">
        <v>133</v>
      </c>
      <c r="H68" s="71" t="e">
        <f>+IF($D68=0,0,INDEX('Accessories Install - Labour'!$E:$E,MATCH($D68,'Accessories Install - Labour'!$C:$C,0)))</f>
        <v>#N/A</v>
      </c>
      <c r="I68" s="71" t="e">
        <f t="shared" si="14"/>
        <v>#N/A</v>
      </c>
      <c r="J68" s="71">
        <f>IF($D68=0,0,(INDEX('Cost Sheet'!$S:$S,MATCH('Quotation - Door 2'!$D92,'Cost Sheet'!$C:$C,0))))</f>
        <v>24</v>
      </c>
      <c r="K68" s="71" t="e">
        <f>+IF($D68=0,0,INDEX('Accessories Install - Labour'!$F:$F,MATCH($D68,'Accessories Install - Labour'!$C:$C,0)))</f>
        <v>#N/A</v>
      </c>
      <c r="L68" s="71" t="e">
        <f t="shared" si="13"/>
        <v>#N/A</v>
      </c>
      <c r="N68" s="4"/>
      <c r="P68" s="4"/>
    </row>
    <row r="69" spans="1:17" x14ac:dyDescent="0.35">
      <c r="A69" s="217"/>
      <c r="B69" s="218"/>
      <c r="C69" s="21" t="str">
        <f>'Door - Step 2'!C93</f>
        <v>Strike</v>
      </c>
      <c r="D69" s="121">
        <f>'Quotation - Door 4'!D93</f>
        <v>0</v>
      </c>
      <c r="E69" s="71">
        <f>IF($D69=0,0,(INDEX('Cost Sheet'!$N:$N,MATCH('Quotation - Door 4'!$D93,'Cost Sheet'!$C:$C,0))))</f>
        <v>0</v>
      </c>
      <c r="F69" s="20"/>
      <c r="G69" s="19" t="s">
        <v>133</v>
      </c>
      <c r="H69" s="71">
        <f>+IF($D69=0,0,INDEX('Accessories Install - Labour'!$E:$E,MATCH($D69,'Accessories Install - Labour'!$C:$C,0)))</f>
        <v>0</v>
      </c>
      <c r="I69" s="71">
        <f t="shared" si="14"/>
        <v>0</v>
      </c>
      <c r="J69" s="71">
        <f>IF($D69=0,0,(INDEX('Cost Sheet'!$S:$S,MATCH('Quotation - Door 2'!$D93,'Cost Sheet'!$C:$C,0))))</f>
        <v>0</v>
      </c>
      <c r="K69" s="71">
        <f>+IF($D69=0,0,INDEX('Accessories Install - Labour'!$F:$F,MATCH($D69,'Accessories Install - Labour'!$C:$C,0)))</f>
        <v>0</v>
      </c>
      <c r="L69" s="71">
        <f t="shared" si="13"/>
        <v>0</v>
      </c>
      <c r="N69" s="4"/>
      <c r="P69" s="4"/>
    </row>
    <row r="70" spans="1:17" x14ac:dyDescent="0.35">
      <c r="A70" s="217"/>
      <c r="B70" s="218"/>
      <c r="C70" s="21" t="str">
        <f>'Door - Step 2'!C95</f>
        <v xml:space="preserve">Wind Chains </v>
      </c>
      <c r="D70" s="121">
        <f>'Quotation - Door 4'!D95</f>
        <v>0</v>
      </c>
      <c r="E70" s="71">
        <f>IF($D70=0,0,(INDEX('Cost Sheet'!$N:$N,MATCH('Quotation - Door 4'!$D95,'Cost Sheet'!$C:$C,0))))</f>
        <v>0</v>
      </c>
      <c r="F70" s="20"/>
      <c r="G70" s="19" t="s">
        <v>133</v>
      </c>
      <c r="H70" s="71">
        <f>+IF($D70=0,0,INDEX('Accessories Install - Labour'!$E:$E,MATCH($D70,'Accessories Install - Labour'!$C:$C,0)))</f>
        <v>0</v>
      </c>
      <c r="I70" s="71">
        <f t="shared" si="14"/>
        <v>0</v>
      </c>
      <c r="J70" s="71">
        <f>IF($D70=0,0,(INDEX('Cost Sheet'!$S:$S,MATCH('Quotation - Door 2'!$D95,'Cost Sheet'!$C:$C,0))))</f>
        <v>0</v>
      </c>
      <c r="K70" s="71">
        <f>+IF($D70=0,0,INDEX('Accessories Install - Labour'!$F:$F,MATCH($D70,'Accessories Install - Labour'!$C:$C,0)))</f>
        <v>0</v>
      </c>
      <c r="L70" s="71">
        <f t="shared" si="13"/>
        <v>0</v>
      </c>
      <c r="N70" s="4"/>
      <c r="P70" s="4"/>
    </row>
    <row r="71" spans="1:17" x14ac:dyDescent="0.35">
      <c r="A71" s="217"/>
      <c r="B71" s="218"/>
      <c r="C71" s="147" t="str">
        <f>'Door - Step 2'!C106</f>
        <v>Heat Trace - Location &amp; Ft. req.</v>
      </c>
      <c r="D71" s="121">
        <f>'Quotation - Door 4'!D105</f>
        <v>0</v>
      </c>
      <c r="E71" s="71">
        <f>+AVERAGE('Cost Sheet'!$N$102:$N$112)</f>
        <v>0.17090909090909087</v>
      </c>
      <c r="F71" s="20"/>
      <c r="G71" s="19" t="s">
        <v>133</v>
      </c>
      <c r="H71" s="71">
        <f>+IF($D71=0,0,((D71*'Accessories Install - Labour'!$E$43)))</f>
        <v>0</v>
      </c>
      <c r="I71" s="71">
        <f>+(E71*D71)+H71</f>
        <v>0</v>
      </c>
      <c r="J71" s="71">
        <f>+AVERAGE('Cost Sheet'!$V$102:$V$112)</f>
        <v>0.17090909090909087</v>
      </c>
      <c r="K71" s="71">
        <f>+IF($D71=0,0,((D71*'Accessories Install - Labour'!$F$43)))</f>
        <v>0</v>
      </c>
      <c r="L71" s="71">
        <f>_xlfn.IFNA(IF(D71=0,0,((J71*D71)+K71)),0)</f>
        <v>0</v>
      </c>
      <c r="N71" s="4"/>
      <c r="P71" s="4"/>
    </row>
    <row r="72" spans="1:17" x14ac:dyDescent="0.35">
      <c r="A72" s="217"/>
      <c r="B72" s="218"/>
      <c r="C72" s="21" t="str">
        <f>'Door - Step 2'!C107</f>
        <v>Electrical Wire - Ft. required</v>
      </c>
      <c r="D72" s="121">
        <f>'Quotation - Door 4'!D106</f>
        <v>0</v>
      </c>
      <c r="E72" s="71">
        <f>+AVERAGE('Cost Sheet'!$M$131:$M$132)/L6</f>
        <v>0.72237597688396882</v>
      </c>
      <c r="F72" s="20"/>
      <c r="G72" s="19" t="s">
        <v>133</v>
      </c>
      <c r="H72" s="71">
        <f>+IF($D72=0,0,((D72*'Accessories Install - Labour'!$E$46)))</f>
        <v>0</v>
      </c>
      <c r="I72" s="71">
        <f>(E72*D72)+H72</f>
        <v>0</v>
      </c>
      <c r="J72" s="71">
        <f>+AVERAGE('Cost Sheet'!$V$131:$V$132)/L6</f>
        <v>0.72237597688396882</v>
      </c>
      <c r="K72" s="71">
        <f>+IF($D72=0,0,((D72*'Accessories Install - Labour'!$F$46)))</f>
        <v>0</v>
      </c>
      <c r="L72" s="71">
        <f>_xlfn.IFNA(IF(D72=0,0,((J72*D72)+K72)),0)</f>
        <v>0</v>
      </c>
      <c r="O72" s="3"/>
      <c r="P72" s="105"/>
      <c r="Q72" s="3"/>
    </row>
    <row r="73" spans="1:17" ht="21" x14ac:dyDescent="0.35">
      <c r="I73" s="224" t="e">
        <f>SUM(I13:I72)*$D$10</f>
        <v>#N/A</v>
      </c>
      <c r="L73" s="224" t="e">
        <f>SUM(L13:L72)*D10</f>
        <v>#N/A</v>
      </c>
      <c r="O73" s="3"/>
      <c r="P73" s="105"/>
      <c r="Q73" s="3"/>
    </row>
    <row r="74" spans="1:17" x14ac:dyDescent="0.35">
      <c r="D74" s="4"/>
      <c r="H74" s="4"/>
      <c r="K74" s="4"/>
      <c r="L74" s="4"/>
      <c r="O74" s="3"/>
      <c r="P74" s="105"/>
      <c r="Q74" s="3"/>
    </row>
    <row r="75" spans="1:17" x14ac:dyDescent="0.35">
      <c r="D75" s="4"/>
      <c r="H75" s="4"/>
      <c r="K75" s="4"/>
      <c r="L75" s="4"/>
      <c r="O75" s="3"/>
      <c r="P75" s="105"/>
      <c r="Q75" s="3"/>
    </row>
  </sheetData>
  <mergeCells count="18">
    <mergeCell ref="E18:E20"/>
    <mergeCell ref="F18:F20"/>
    <mergeCell ref="G18:G20"/>
    <mergeCell ref="H18:H20"/>
    <mergeCell ref="I18:I20"/>
    <mergeCell ref="K1:L1"/>
    <mergeCell ref="A2:B10"/>
    <mergeCell ref="O2:R2"/>
    <mergeCell ref="K3:L3"/>
    <mergeCell ref="E11:I11"/>
    <mergeCell ref="J11:L11"/>
    <mergeCell ref="AB26:AE26"/>
    <mergeCell ref="AB15:AG15"/>
    <mergeCell ref="AB16:AE16"/>
    <mergeCell ref="AF16:AG16"/>
    <mergeCell ref="J18:J20"/>
    <mergeCell ref="K18:K20"/>
    <mergeCell ref="L18:L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5BD1F7-C084-4782-9F2E-D642E9769CA1}">
          <x14:formula1>
            <xm:f>Controller!$A$13:$A$21</xm:f>
          </x14:formula1>
          <xm:sqref>D2:D10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DE98E-DC68-4E53-9290-2F652408E1D6}">
  <sheetPr codeName="Sheet24">
    <tabColor rgb="FFFF0000"/>
  </sheetPr>
  <dimension ref="A1:AG75"/>
  <sheetViews>
    <sheetView zoomScale="55" zoomScaleNormal="55" workbookViewId="0">
      <selection activeCell="H220" sqref="H220"/>
    </sheetView>
  </sheetViews>
  <sheetFormatPr defaultColWidth="8.58203125" defaultRowHeight="15.5" x14ac:dyDescent="0.35"/>
  <cols>
    <col min="1" max="2" width="19.83203125" style="4" customWidth="1"/>
    <col min="3" max="3" width="33.25" style="4" bestFit="1" customWidth="1"/>
    <col min="4" max="4" width="45.58203125" style="3" bestFit="1" customWidth="1"/>
    <col min="5" max="5" width="24" style="4" bestFit="1" customWidth="1"/>
    <col min="6" max="6" width="22.83203125" style="4" bestFit="1" customWidth="1"/>
    <col min="7" max="7" width="27.08203125" style="4" bestFit="1" customWidth="1"/>
    <col min="8" max="8" width="17.5" style="188" bestFit="1" customWidth="1"/>
    <col min="9" max="9" width="24.25" style="4" bestFit="1" customWidth="1"/>
    <col min="10" max="10" width="18.83203125" style="4" bestFit="1" customWidth="1"/>
    <col min="11" max="11" width="17.5" style="188" bestFit="1" customWidth="1"/>
    <col min="12" max="12" width="24" style="3" bestFit="1" customWidth="1"/>
    <col min="13" max="13" width="19.08203125" style="3" customWidth="1"/>
    <col min="14" max="14" width="27.08203125" style="16" customWidth="1"/>
    <col min="15" max="15" width="24" style="4" bestFit="1" customWidth="1"/>
    <col min="16" max="16" width="20.58203125" style="15" customWidth="1"/>
    <col min="17" max="17" width="15.75" style="4" customWidth="1"/>
    <col min="18" max="18" width="15.5" style="4" bestFit="1" customWidth="1"/>
    <col min="19" max="19" width="16.33203125" style="4" customWidth="1"/>
    <col min="20" max="20" width="17.58203125" style="4" customWidth="1"/>
    <col min="21" max="21" width="21" style="4" bestFit="1" customWidth="1"/>
    <col min="22" max="22" width="14.25" style="4" bestFit="1" customWidth="1"/>
    <col min="23" max="23" width="21.5" style="4" bestFit="1" customWidth="1"/>
    <col min="24" max="24" width="10.83203125" style="4" bestFit="1" customWidth="1"/>
    <col min="25" max="25" width="16.25" style="4" bestFit="1" customWidth="1"/>
    <col min="26" max="27" width="8.58203125" style="4"/>
    <col min="28" max="33" width="17.58203125" style="4" customWidth="1"/>
    <col min="34" max="16384" width="8.58203125" style="4"/>
  </cols>
  <sheetData>
    <row r="1" spans="1:33" x14ac:dyDescent="0.35">
      <c r="K1" s="934" t="s">
        <v>278</v>
      </c>
      <c r="L1" s="934"/>
      <c r="M1" s="19" t="s">
        <v>279</v>
      </c>
      <c r="N1" s="28" t="s">
        <v>280</v>
      </c>
    </row>
    <row r="2" spans="1:33" x14ac:dyDescent="0.35">
      <c r="A2" s="908" t="str">
        <f>'Door - Step 2'!A30</f>
        <v>DOOR TYPE DETAILS</v>
      </c>
      <c r="B2" s="942"/>
      <c r="C2" s="31" t="str">
        <f>'Door - Step 2'!C30</f>
        <v>Door Type</v>
      </c>
      <c r="D2" s="46">
        <f>'Quotation - Door 4'!$D30</f>
        <v>0</v>
      </c>
      <c r="K2" s="71" t="s">
        <v>281</v>
      </c>
      <c r="L2" s="19">
        <v>8.3330000000000001E-2</v>
      </c>
      <c r="M2" s="175"/>
      <c r="N2" s="173">
        <f>+M2*L2</f>
        <v>0</v>
      </c>
      <c r="O2" s="752" t="s">
        <v>282</v>
      </c>
      <c r="P2" s="931"/>
      <c r="Q2" s="931"/>
      <c r="R2" s="931"/>
      <c r="U2" s="162" t="s">
        <v>283</v>
      </c>
      <c r="W2" s="162" t="s">
        <v>284</v>
      </c>
      <c r="Y2" s="162" t="s">
        <v>285</v>
      </c>
      <c r="AB2" s="162" t="s">
        <v>286</v>
      </c>
    </row>
    <row r="3" spans="1:33" x14ac:dyDescent="0.35">
      <c r="A3" s="909"/>
      <c r="B3" s="943"/>
      <c r="C3" s="31" t="str">
        <f>'Door - Step 2'!C31</f>
        <v xml:space="preserve">Cooler / Freezer </v>
      </c>
      <c r="D3" s="46">
        <f>'Quotation - Door 4'!$D31</f>
        <v>0</v>
      </c>
      <c r="K3" s="935"/>
      <c r="L3" s="936"/>
      <c r="M3" s="19" t="s">
        <v>290</v>
      </c>
      <c r="N3" s="28" t="s">
        <v>291</v>
      </c>
      <c r="O3" s="151" t="s">
        <v>292</v>
      </c>
      <c r="P3" s="19">
        <v>2.5</v>
      </c>
      <c r="Q3" s="15"/>
      <c r="U3" s="4" t="s">
        <v>293</v>
      </c>
      <c r="W3" s="4" t="s">
        <v>294</v>
      </c>
      <c r="Y3" s="4" t="s">
        <v>295</v>
      </c>
      <c r="Z3" s="194">
        <f>18*'Calculation Sheet - BOM '!$L$2</f>
        <v>1.4999400000000001</v>
      </c>
      <c r="AB3" s="4" t="s">
        <v>57</v>
      </c>
    </row>
    <row r="4" spans="1:33" x14ac:dyDescent="0.35">
      <c r="A4" s="909"/>
      <c r="B4" s="943"/>
      <c r="C4" s="31" t="str">
        <f>'Door - Step 2'!C32</f>
        <v>Frame Structure</v>
      </c>
      <c r="D4" s="46">
        <f>'Quotation - Door 4'!$D32</f>
        <v>0</v>
      </c>
      <c r="K4" s="71" t="s">
        <v>299</v>
      </c>
      <c r="L4" s="19">
        <f>+L2*L2</f>
        <v>6.9438889000000004E-3</v>
      </c>
      <c r="M4" s="175"/>
      <c r="N4" s="174">
        <f>+L4*M4</f>
        <v>0</v>
      </c>
      <c r="O4" s="151" t="s">
        <v>300</v>
      </c>
      <c r="P4" s="71">
        <v>2.65</v>
      </c>
      <c r="Q4" s="15"/>
      <c r="U4" s="4" t="s">
        <v>301</v>
      </c>
      <c r="W4" s="4" t="s">
        <v>302</v>
      </c>
      <c r="Y4" s="4" t="s">
        <v>303</v>
      </c>
      <c r="Z4" s="194">
        <f>24*'Calculation Sheet - BOM '!$L$2</f>
        <v>1.9999199999999999</v>
      </c>
      <c r="AB4" s="4" t="s">
        <v>79</v>
      </c>
    </row>
    <row r="5" spans="1:33" x14ac:dyDescent="0.35">
      <c r="A5" s="909"/>
      <c r="B5" s="943"/>
      <c r="C5" s="31" t="str">
        <f>'Door - Step 2'!C33</f>
        <v>Motorized/Manual</v>
      </c>
      <c r="D5" s="46">
        <f>'Quotation - Door 4'!$D33</f>
        <v>0</v>
      </c>
      <c r="M5" s="3" t="s">
        <v>307</v>
      </c>
      <c r="N5" s="16" t="s">
        <v>280</v>
      </c>
      <c r="O5" s="46" t="s">
        <v>308</v>
      </c>
      <c r="P5" s="71">
        <f>+P4*'Cost Sheet'!Z1</f>
        <v>3.8424999999999998</v>
      </c>
      <c r="Q5" s="15"/>
      <c r="W5" s="4" t="s">
        <v>309</v>
      </c>
      <c r="Y5" s="4" t="s">
        <v>310</v>
      </c>
      <c r="Z5" s="194">
        <f>36*'Calculation Sheet - BOM '!$L$2</f>
        <v>2.9998800000000001</v>
      </c>
    </row>
    <row r="6" spans="1:33" ht="31" x14ac:dyDescent="0.35">
      <c r="A6" s="909"/>
      <c r="B6" s="943"/>
      <c r="C6" s="46" t="str">
        <f>'Door - Step 2'!C34</f>
        <v>Width (Inches)</v>
      </c>
      <c r="D6" s="46">
        <f>'Quotation - Door 4'!$D34</f>
        <v>0</v>
      </c>
      <c r="K6" s="188" t="s">
        <v>311</v>
      </c>
      <c r="L6" s="3">
        <v>3.28084</v>
      </c>
      <c r="M6" s="3">
        <v>1</v>
      </c>
      <c r="N6" s="16">
        <f>+L6*M6</f>
        <v>3.28084</v>
      </c>
      <c r="O6" s="118" t="s">
        <v>312</v>
      </c>
      <c r="P6" s="118" t="s">
        <v>313</v>
      </c>
      <c r="Q6" s="118" t="s">
        <v>314</v>
      </c>
      <c r="R6" s="118" t="s">
        <v>315</v>
      </c>
      <c r="S6" s="118" t="s">
        <v>316</v>
      </c>
      <c r="T6" s="118" t="s">
        <v>317</v>
      </c>
      <c r="W6" s="4" t="s">
        <v>93</v>
      </c>
      <c r="Y6" s="4" t="s">
        <v>318</v>
      </c>
      <c r="Z6" s="194">
        <f>48*'Calculation Sheet - BOM '!$L$2</f>
        <v>3.9998399999999998</v>
      </c>
    </row>
    <row r="7" spans="1:33" x14ac:dyDescent="0.35">
      <c r="A7" s="909"/>
      <c r="B7" s="943"/>
      <c r="C7" s="46" t="str">
        <f>'Door - Step 2'!C35</f>
        <v>Height (inches)</v>
      </c>
      <c r="D7" s="46">
        <f>'Quotation - Door 4'!$D35</f>
        <v>0</v>
      </c>
      <c r="O7" s="30">
        <v>0.60499999999999998</v>
      </c>
      <c r="P7" s="19">
        <v>3</v>
      </c>
      <c r="Q7" s="124">
        <f>O7*$P$5</f>
        <v>2.3247125</v>
      </c>
      <c r="R7" s="163">
        <f>+Q7/144</f>
        <v>1.6143836805555555E-2</v>
      </c>
      <c r="S7" s="164">
        <v>0</v>
      </c>
      <c r="T7" s="163">
        <f>+R7/(1-S7)</f>
        <v>1.6143836805555555E-2</v>
      </c>
      <c r="W7" s="4" t="s">
        <v>319</v>
      </c>
    </row>
    <row r="8" spans="1:33" x14ac:dyDescent="0.35">
      <c r="A8" s="909"/>
      <c r="B8" s="943"/>
      <c r="C8" s="46" t="str">
        <f>'Door - Step 2'!C36</f>
        <v>Depth (Inches)</v>
      </c>
      <c r="D8" s="46">
        <f>'Quotation - Door 4'!$D36</f>
        <v>0</v>
      </c>
      <c r="O8" s="30">
        <v>0.81</v>
      </c>
      <c r="P8" s="19">
        <v>4</v>
      </c>
      <c r="Q8" s="124">
        <f>O8*$P$5</f>
        <v>3.112425</v>
      </c>
      <c r="R8" s="163">
        <f>+Q8/144</f>
        <v>2.16140625E-2</v>
      </c>
      <c r="S8" s="164">
        <v>0</v>
      </c>
      <c r="T8" s="163">
        <f t="shared" ref="T8:T11" si="0">+R8/(1-S8)</f>
        <v>2.16140625E-2</v>
      </c>
      <c r="Y8" s="162" t="s">
        <v>330</v>
      </c>
    </row>
    <row r="9" spans="1:33" x14ac:dyDescent="0.35">
      <c r="A9" s="909"/>
      <c r="B9" s="943"/>
      <c r="C9" s="21" t="s">
        <v>67</v>
      </c>
      <c r="D9" s="46">
        <f>'Quotation - Door 4'!$D37</f>
        <v>0</v>
      </c>
      <c r="O9" s="30">
        <v>1.0062500000000001</v>
      </c>
      <c r="P9" s="19">
        <v>5</v>
      </c>
      <c r="Q9" s="124">
        <f>O9*$P$5</f>
        <v>3.8665156250000003</v>
      </c>
      <c r="R9" s="163">
        <f>+Q9/144</f>
        <v>2.6850802951388891E-2</v>
      </c>
      <c r="S9" s="164">
        <v>0</v>
      </c>
      <c r="T9" s="163">
        <f t="shared" si="0"/>
        <v>2.6850802951388891E-2</v>
      </c>
      <c r="W9" s="162" t="s">
        <v>197</v>
      </c>
      <c r="Y9" s="4" t="s">
        <v>86</v>
      </c>
    </row>
    <row r="10" spans="1:33" x14ac:dyDescent="0.35">
      <c r="A10" s="909"/>
      <c r="B10" s="943"/>
      <c r="C10" s="78" t="str">
        <f>'Door - Step 2'!C38</f>
        <v>QUANTITY (COUNT)</v>
      </c>
      <c r="D10" s="46">
        <f>'Quotation - Door 4'!$D38</f>
        <v>0</v>
      </c>
      <c r="O10" s="30">
        <v>1.2075</v>
      </c>
      <c r="P10" s="19">
        <v>6</v>
      </c>
      <c r="Q10" s="124">
        <f>O10*$P$5</f>
        <v>4.6398187499999999</v>
      </c>
      <c r="R10" s="163">
        <f>+Q10/144</f>
        <v>3.2220963541666668E-2</v>
      </c>
      <c r="S10" s="164">
        <v>0</v>
      </c>
      <c r="T10" s="163">
        <f t="shared" si="0"/>
        <v>3.2220963541666668E-2</v>
      </c>
      <c r="W10" s="4" t="s">
        <v>85</v>
      </c>
      <c r="Y10" s="4" t="s">
        <v>53</v>
      </c>
    </row>
    <row r="11" spans="1:33" ht="31" x14ac:dyDescent="0.35">
      <c r="D11" s="105"/>
      <c r="E11" s="931" t="s">
        <v>332</v>
      </c>
      <c r="F11" s="931"/>
      <c r="G11" s="931"/>
      <c r="H11" s="931"/>
      <c r="I11" s="931"/>
      <c r="J11" s="931" t="s">
        <v>265</v>
      </c>
      <c r="K11" s="931"/>
      <c r="L11" s="931"/>
      <c r="N11" s="169" t="s">
        <v>333</v>
      </c>
      <c r="O11" s="30">
        <f>+P11*O7/P7</f>
        <v>0.30249999999999999</v>
      </c>
      <c r="P11" s="170">
        <v>1.5</v>
      </c>
      <c r="Q11" s="124">
        <f>O11*$P$5</f>
        <v>1.16235625</v>
      </c>
      <c r="R11" s="163">
        <f>+Q11/144</f>
        <v>8.0719184027777773E-3</v>
      </c>
      <c r="S11" s="164">
        <v>0</v>
      </c>
      <c r="T11" s="163">
        <f t="shared" si="0"/>
        <v>8.0719184027777773E-3</v>
      </c>
      <c r="W11" s="4" t="s">
        <v>48</v>
      </c>
    </row>
    <row r="12" spans="1:33" ht="43.5" x14ac:dyDescent="0.35">
      <c r="A12" s="543" t="str">
        <f>'Door - Step 2'!A41</f>
        <v>DOOR AND OPTIONS SPECS</v>
      </c>
      <c r="B12" s="77" t="str">
        <f>'Door - Step 2'!B41</f>
        <v>Feature</v>
      </c>
      <c r="C12" s="77" t="str">
        <f>'Door - Step 2'!C41</f>
        <v>Door Panel and Frame</v>
      </c>
      <c r="D12" s="150">
        <f>'Quotation - Door 4'!D41</f>
        <v>0</v>
      </c>
      <c r="E12" s="160" t="s">
        <v>321</v>
      </c>
      <c r="F12" s="160" t="s">
        <v>334</v>
      </c>
      <c r="G12" s="160" t="s">
        <v>322</v>
      </c>
      <c r="H12" s="220" t="s">
        <v>335</v>
      </c>
      <c r="I12" s="160" t="s">
        <v>336</v>
      </c>
      <c r="J12" s="160" t="s">
        <v>337</v>
      </c>
      <c r="K12" s="220" t="s">
        <v>338</v>
      </c>
      <c r="L12" s="160" t="s">
        <v>339</v>
      </c>
      <c r="N12" s="172" t="s">
        <v>340</v>
      </c>
      <c r="O12" s="3">
        <v>5.75</v>
      </c>
      <c r="W12" s="4" t="s">
        <v>486</v>
      </c>
    </row>
    <row r="13" spans="1:33" ht="62" x14ac:dyDescent="0.35">
      <c r="A13" s="544"/>
      <c r="B13" s="21" t="str">
        <f>'Door - Step 2'!B42</f>
        <v>Main</v>
      </c>
      <c r="C13" s="21" t="str">
        <f>'Quotation - Door 4'!C42</f>
        <v>Door Panel</v>
      </c>
      <c r="D13" s="121">
        <f>'Quotation - Door 4'!D42</f>
        <v>0</v>
      </c>
      <c r="E13" s="71">
        <f>_xlfn.IFNA(INDEX('Cost Sheet'!$N:$N,MATCH($D13,'Cost Sheet'!$C:$C,0)),0)</f>
        <v>0</v>
      </c>
      <c r="F13" s="30">
        <f>+((($D$6*$D$7)*2)+(($D$6+$D$7)*$D$8*2))*('Calculation Sheet - BOM '!$L$2*'Calculation Sheet - BOM '!$L$2)</f>
        <v>0</v>
      </c>
      <c r="G13" s="49" t="s">
        <v>341</v>
      </c>
      <c r="H13" s="71">
        <f>('Cost Sheet'!$N$26*5*4)+((($D$6+$D$7)*2*$D$8)*('Calculation Sheet - BOM '!$L$2*'Calculation Sheet - BOM '!$L$2)*'Cost Sheet'!$N$27)+((($D$6+$D$7)*2)*'Calculation Sheet - BOM '!$L$2*'Cost Sheet'!$N$67)+((($D$6+$D$7)*2)*'Calculation Sheet - BOM '!$L$2*'Cost Sheet'!$N$68)</f>
        <v>15</v>
      </c>
      <c r="I13" s="71">
        <f>+(E13*F13)+H13</f>
        <v>15</v>
      </c>
      <c r="J13" s="71">
        <f>_xlfn.IFNA(INDEX('Cost Sheet'!$V:$V,MATCH($D13,'Cost Sheet'!$C:$C,0)),0)</f>
        <v>0</v>
      </c>
      <c r="K13" s="71">
        <f>('Cost Sheet'!$V$26*5*4)+((($D$6+$D$7)*2*$D$8)*('Calculation Sheet - BOM '!$L$2*'Calculation Sheet - BOM '!$L$2)*'Cost Sheet'!$V$27)+((($D$6+$D$7)*2)*'Calculation Sheet - BOM '!$L$2*'Cost Sheet'!$V$67)+((($D$6+$D$7)*2)*'Calculation Sheet - BOM '!$L$2*'Cost Sheet'!$V$68)</f>
        <v>15</v>
      </c>
      <c r="L13" s="71">
        <f>+(J13*F13)+K13</f>
        <v>15</v>
      </c>
      <c r="O13" s="3"/>
      <c r="P13" s="105"/>
      <c r="Q13" s="3"/>
    </row>
    <row r="14" spans="1:33" ht="43.5" x14ac:dyDescent="0.35">
      <c r="A14" s="544"/>
      <c r="B14" s="21" t="str">
        <f>'Door - Step 2'!B43</f>
        <v>Main</v>
      </c>
      <c r="C14" s="21" t="str">
        <f>'Quotation - Door 4'!C43</f>
        <v>Face Frame</v>
      </c>
      <c r="D14" s="121">
        <f>'Quotation - Door 4'!D43</f>
        <v>0</v>
      </c>
      <c r="E14" s="71">
        <f>_xlfn.IFNA(INDEX(O$14:O$24,MATCH($D14,$N$14:$N$24,0)),0)</f>
        <v>0</v>
      </c>
      <c r="F14" s="30">
        <f>_xlfn.IFNA(INDEX($Q$14:$Q$24,MATCH($D14,$N$14:$N$24,0)),0)</f>
        <v>0</v>
      </c>
      <c r="G14" s="49"/>
      <c r="H14" s="71"/>
      <c r="I14" s="71">
        <f>_xlfn.IFNA(INDEX(T14:T24,MATCH($D14,$N$14:$N$24,0)),0)</f>
        <v>0</v>
      </c>
      <c r="J14" s="71">
        <f>_xlfn.IFNA(INDEX($U$14:$U$24,MATCH($D14,$N$14:$N$24,0)),0)</f>
        <v>0</v>
      </c>
      <c r="K14" s="71"/>
      <c r="L14" s="71">
        <f>_xlfn.IFNA(INDEX($X$14:$X$24,MATCH($D14,$N$14:$N$24,0)),0)</f>
        <v>0</v>
      </c>
      <c r="N14" s="119" t="s">
        <v>343</v>
      </c>
      <c r="O14" s="160" t="s">
        <v>321</v>
      </c>
      <c r="P14" s="160" t="s">
        <v>322</v>
      </c>
      <c r="Q14" s="160" t="s">
        <v>323</v>
      </c>
      <c r="R14" s="160" t="s">
        <v>324</v>
      </c>
      <c r="S14" s="160" t="s">
        <v>134</v>
      </c>
      <c r="T14" s="160" t="s">
        <v>325</v>
      </c>
      <c r="U14" s="160" t="s">
        <v>326</v>
      </c>
      <c r="V14" s="160" t="s">
        <v>327</v>
      </c>
      <c r="W14" s="160" t="s">
        <v>328</v>
      </c>
      <c r="X14" s="160" t="s">
        <v>329</v>
      </c>
    </row>
    <row r="15" spans="1:33" x14ac:dyDescent="0.35">
      <c r="A15" s="544"/>
      <c r="B15" s="21" t="str">
        <f>'Door - Step 2'!B44</f>
        <v>Option</v>
      </c>
      <c r="C15" s="21" t="str">
        <f>'Quotation - Door 4'!C44</f>
        <v>Inside Jamb</v>
      </c>
      <c r="D15" s="121">
        <f>'Quotation - Door 4'!D44</f>
        <v>0</v>
      </c>
      <c r="E15" s="71">
        <f>_xlfn.IFNA(INDEX(O$26:O$36,MATCH($D15,$N$26:$N$36,0)),0)</f>
        <v>0</v>
      </c>
      <c r="F15" s="30">
        <f>_xlfn.IFNA(INDEX($Q$26:$Q$36,MATCH($D15,$N$26:$N$36,0)),0)</f>
        <v>0</v>
      </c>
      <c r="G15" s="49"/>
      <c r="H15" s="71"/>
      <c r="I15" s="71">
        <f>_xlfn.IFNA(INDEX(T26:T36,MATCH($D15,$N$26:$N$36,0)),0)</f>
        <v>0</v>
      </c>
      <c r="J15" s="71">
        <f>_xlfn.IFNA(INDEX($U$26:$U$36,MATCH($D15,$N$26:$N$36,0)),0)</f>
        <v>0</v>
      </c>
      <c r="K15" s="71"/>
      <c r="L15" s="71">
        <f>_xlfn.IFNA(INDEX($X$26:$X$36,MATCH($D15,$N$26:$N$36,0)),0)</f>
        <v>0</v>
      </c>
      <c r="N15" s="28" t="s">
        <v>344</v>
      </c>
      <c r="O15" s="71">
        <f>+IF($D$3="Freezer",'Cost Sheet'!$N$22,'Cost Sheet'!$N$21)</f>
        <v>11.36</v>
      </c>
      <c r="P15" s="171" t="s">
        <v>345</v>
      </c>
      <c r="Q15" s="30">
        <f>((($D$6*2)+(($D$7+($O$12*2))*2))*'Calculation Sheet - BOM '!$L$2)</f>
        <v>1.91659</v>
      </c>
      <c r="R15" s="71">
        <f>+Q15*O15</f>
        <v>21.772462399999998</v>
      </c>
      <c r="S15" s="71" cm="1">
        <f t="array" ref="S15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5" s="71">
        <f t="shared" ref="T15:T24" si="1">+R15+S15</f>
        <v>21.772462399999998</v>
      </c>
      <c r="U15" s="71">
        <f>+IF($D$3="Freezer",'Cost Sheet'!$V$22,'Cost Sheet'!$V$21)</f>
        <v>11.36</v>
      </c>
      <c r="V15" s="71">
        <f>+U15*Q15</f>
        <v>21.772462399999998</v>
      </c>
      <c r="W15" s="71" cm="1">
        <f t="array" ref="W15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5" s="71">
        <f t="shared" ref="X15:X24" si="2">+V15+W15</f>
        <v>21.772462399999998</v>
      </c>
      <c r="AB15" s="750" t="s">
        <v>180</v>
      </c>
      <c r="AC15" s="751"/>
      <c r="AD15" s="751"/>
      <c r="AE15" s="751"/>
      <c r="AF15" s="751"/>
      <c r="AG15" s="752"/>
    </row>
    <row r="16" spans="1:33" ht="31" x14ac:dyDescent="0.35">
      <c r="A16" s="544"/>
      <c r="B16" s="21" t="str">
        <f>'Door - Step 2'!B45</f>
        <v>Option</v>
      </c>
      <c r="C16" s="21" t="str">
        <f>'Quotation - Door 4'!C45</f>
        <v>Back Frame</v>
      </c>
      <c r="D16" s="121">
        <f>'Quotation - Door 4'!D45</f>
        <v>0</v>
      </c>
      <c r="E16" s="71">
        <f>_xlfn.IFNA(INDEX(O$38:O$58,MATCH($D16,$N$38:$N$58,0)),0)</f>
        <v>0</v>
      </c>
      <c r="F16" s="30">
        <f>_xlfn.IFNA(INDEX($Q$38:$Q$58,MATCH($D16,$N$38:$N$58,0)),0)</f>
        <v>0</v>
      </c>
      <c r="G16" s="49"/>
      <c r="H16" s="71"/>
      <c r="I16" s="71">
        <f>_xlfn.IFNA(INDEX(T38:T58,MATCH($D16,$N$38:$N$58,0)),0)</f>
        <v>0</v>
      </c>
      <c r="J16" s="71">
        <f>_xlfn.IFNA(INDEX($U$38:$U$58,MATCH($D16,$N$38:$N$58,0)),0)</f>
        <v>0</v>
      </c>
      <c r="K16" s="71"/>
      <c r="L16" s="71">
        <f>_xlfn.IFNA(INDEX($X$38:$X$58,MATCH($D16,$N$38:$N$58,0)),0)</f>
        <v>0</v>
      </c>
      <c r="N16" s="28" t="s">
        <v>346</v>
      </c>
      <c r="O16" s="71">
        <f>+$O$15+'Cost Sheet'!$N$10</f>
        <v>12.956203623813632</v>
      </c>
      <c r="P16" s="49" t="s">
        <v>347</v>
      </c>
      <c r="Q16" s="30">
        <f>((($D$6*2)+(($D$7+($O$12*2))*2))*'Calculation Sheet - BOM '!$L$2)</f>
        <v>1.91659</v>
      </c>
      <c r="R16" s="71">
        <f>($O$15*$Q$15)+('Cost Sheet'!$N$10*2*$Q$19)</f>
        <v>27.635824670910267</v>
      </c>
      <c r="S16" s="71" cm="1">
        <f t="array" ref="S16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6" s="71">
        <f t="shared" si="1"/>
        <v>27.635824670910267</v>
      </c>
      <c r="U16" s="71">
        <f>+$U$15+'Cost Sheet'!$V$10</f>
        <v>12.956203623813632</v>
      </c>
      <c r="V16" s="71">
        <f>($U$15*$Q$15)+('Cost Sheet'!$P$10*2*$Q$19)</f>
        <v>27.635824670910267</v>
      </c>
      <c r="W16" s="71" cm="1">
        <f t="array" ref="W16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6" s="71">
        <f t="shared" si="2"/>
        <v>27.635824670910267</v>
      </c>
      <c r="AB16" s="751" t="s">
        <v>482</v>
      </c>
      <c r="AC16" s="751"/>
      <c r="AD16" s="751"/>
      <c r="AE16" s="752"/>
      <c r="AF16" s="932" t="s">
        <v>389</v>
      </c>
      <c r="AG16" s="933"/>
    </row>
    <row r="17" spans="1:33" ht="46.5" x14ac:dyDescent="0.35">
      <c r="A17" s="544"/>
      <c r="B17" s="21" t="str">
        <f>'Door - Step 2'!B46</f>
        <v>Option</v>
      </c>
      <c r="C17" s="21" t="str">
        <f>'Quotation - Door 4'!C46</f>
        <v>Freezer Door</v>
      </c>
      <c r="D17" s="121">
        <f>'Quotation - Door 4'!D46</f>
        <v>0</v>
      </c>
      <c r="E17" s="19"/>
      <c r="F17" s="20"/>
      <c r="G17" s="20"/>
      <c r="H17" s="71"/>
      <c r="I17" s="71">
        <f>IF($D17=0,0,'Cost Sheet'!$N$28)</f>
        <v>0</v>
      </c>
      <c r="J17" s="20"/>
      <c r="K17" s="71"/>
      <c r="L17" s="71">
        <f>IF($D17=0,0,'Cost Sheet'!$V$28)</f>
        <v>0</v>
      </c>
      <c r="N17" s="28" t="s">
        <v>348</v>
      </c>
      <c r="O17" s="71">
        <f>+$O$15+'Cost Sheet'!$N$3</f>
        <v>12.542357301704966</v>
      </c>
      <c r="P17" s="49" t="s">
        <v>349</v>
      </c>
      <c r="Q17" s="30">
        <f>((($D$6*2)+(($D$7+($O$12*2))*2))*'Calculation Sheet - BOM '!$L$2)</f>
        <v>1.91659</v>
      </c>
      <c r="R17" s="71">
        <f>($O$15*$Q$15)+('Cost Sheet'!$N$3*2*$Q$19)</f>
        <v>26.115635846122682</v>
      </c>
      <c r="S17" s="71" cm="1">
        <f t="array" ref="S17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7" s="71">
        <f t="shared" si="1"/>
        <v>26.115635846122682</v>
      </c>
      <c r="U17" s="71">
        <f>+$U$15+'Cost Sheet'!$V$3</f>
        <v>12.542357301704966</v>
      </c>
      <c r="V17" s="71">
        <f>($U$15*$Q$15)+('Cost Sheet'!$P$3*2*$Q$19)</f>
        <v>26.115635846122682</v>
      </c>
      <c r="W17" s="71" cm="1">
        <f t="array" ref="W17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7" s="71">
        <f t="shared" si="2"/>
        <v>26.115635846122682</v>
      </c>
      <c r="AB17" s="46" t="s">
        <v>483</v>
      </c>
      <c r="AC17" s="19">
        <v>20</v>
      </c>
      <c r="AD17" s="19">
        <v>30</v>
      </c>
      <c r="AE17" s="19">
        <v>8</v>
      </c>
      <c r="AF17" s="165" t="s">
        <v>484</v>
      </c>
      <c r="AG17" s="165" t="s">
        <v>388</v>
      </c>
    </row>
    <row r="18" spans="1:33" ht="46.5" x14ac:dyDescent="0.35">
      <c r="A18" s="544"/>
      <c r="B18" s="21" t="str">
        <f>'Door - Step 2'!B47</f>
        <v>Option</v>
      </c>
      <c r="C18" s="21" t="str">
        <f>'Quotation - Door 4'!C47</f>
        <v>Kick Plate Material</v>
      </c>
      <c r="D18" s="121">
        <f>'Quotation - Door 4'!D47</f>
        <v>0</v>
      </c>
      <c r="E18" s="940">
        <f>_xlfn.IFNA((INDEX('Cost Sheet'!$N:$N,MATCH('Quotation - Door 4'!$D$47,'Cost Sheet'!$C:$C,0))*(($D$6*'Calculation Sheet - BOM '!$L$2)*(INDEX('Calculation Sheet - BOM '!$Z$3:$Z$6,MATCH('Quotation - Door 4'!$D$48,'Calculation Sheet - BOM '!$Y$3:$Y$6,0))))),0)</f>
        <v>0</v>
      </c>
      <c r="F18" s="950"/>
      <c r="G18" s="950" t="s">
        <v>133</v>
      </c>
      <c r="H18" s="944">
        <f>+IF(D19=0,0,INDEX('Accessories Install - Labour'!$E:$E,MATCH(D19,'Accessories Install - Labour'!$C:$C,0)))</f>
        <v>0</v>
      </c>
      <c r="I18" s="940">
        <f>+E18+H18</f>
        <v>0</v>
      </c>
      <c r="J18" s="940">
        <f>_xlfn.IFNA((INDEX('Cost Sheet'!$V:$V,MATCH('Quotation - Door 4'!$D$47,'Cost Sheet'!$C:$C,0))*(($D$6*'Calculation Sheet - BOM '!$L$2)*(INDEX('Calculation Sheet - BOM '!$Z$3:$Z$6,MATCH('Quotation - Door 4'!$D$48,'Calculation Sheet - BOM '!$Y$3:$Y$6,0))))),0)</f>
        <v>0</v>
      </c>
      <c r="K18" s="944">
        <f>+IF(D19=0,0,INDEX('Accessories Install - Labour'!$F:$F,MATCH(D19,'Accessories Install - Labour'!$C:$C,0)))</f>
        <v>0</v>
      </c>
      <c r="L18" s="940">
        <f>+J18+K18</f>
        <v>0</v>
      </c>
      <c r="N18" s="28" t="s">
        <v>350</v>
      </c>
      <c r="O18" s="71">
        <f>+$O$15+'Cost Sheet'!$N$5</f>
        <v>12.476670784943579</v>
      </c>
      <c r="P18" s="49" t="s">
        <v>349</v>
      </c>
      <c r="Q18" s="30">
        <f>((($D$6*2)+(($D$7+($O$12*2))*2))*'Calculation Sheet - BOM '!$L$2)</f>
        <v>1.91659</v>
      </c>
      <c r="R18" s="71">
        <f>($O$15*$Q$15)+('Cost Sheet'!$N$5*2*$Q$19)</f>
        <v>25.874348432449199</v>
      </c>
      <c r="S18" s="71" cm="1">
        <f t="array" ref="S18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8" s="71">
        <f t="shared" si="1"/>
        <v>25.874348432449199</v>
      </c>
      <c r="U18" s="71">
        <f>+$U$15+'Cost Sheet'!$V$5</f>
        <v>12.476670784943579</v>
      </c>
      <c r="V18" s="71">
        <f>($U$15*$Q$15)+('Cost Sheet'!$P$5*2*$Q$19)</f>
        <v>25.874348432449199</v>
      </c>
      <c r="W18" s="71" cm="1">
        <f t="array" ref="W18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8" s="71">
        <f t="shared" si="2"/>
        <v>25.874348432449199</v>
      </c>
      <c r="AB18" s="46"/>
      <c r="AC18" s="19"/>
      <c r="AD18" s="19"/>
      <c r="AE18" s="19"/>
      <c r="AF18" s="167"/>
      <c r="AG18" s="167"/>
    </row>
    <row r="19" spans="1:33" ht="46.5" x14ac:dyDescent="0.35">
      <c r="A19" s="544"/>
      <c r="B19" s="21" t="str">
        <f>'Door - Step 2'!B48</f>
        <v>Option</v>
      </c>
      <c r="C19" s="21" t="str">
        <f>'Quotation - Door 4'!C48</f>
        <v>Kick Plate Size</v>
      </c>
      <c r="D19" s="121">
        <f>'Quotation - Door 4'!D48</f>
        <v>0</v>
      </c>
      <c r="E19" s="940"/>
      <c r="F19" s="951"/>
      <c r="G19" s="951"/>
      <c r="H19" s="945"/>
      <c r="I19" s="940"/>
      <c r="J19" s="940"/>
      <c r="K19" s="945"/>
      <c r="L19" s="940"/>
      <c r="N19" s="28" t="s">
        <v>351</v>
      </c>
      <c r="O19" s="71">
        <f>+'Cost Sheet'!$N$27+'Cost Sheet'!$N$10</f>
        <v>2.7368286238136323</v>
      </c>
      <c r="P19" s="49" t="s">
        <v>352</v>
      </c>
      <c r="Q19" s="30">
        <f>SUM((($O$12*($D$7+(2*$O$12)))),($O$12*($D$6+(2*$O$12))))*2*$L$4</f>
        <v>1.8366586140500001</v>
      </c>
      <c r="R19" s="71">
        <f>+O19*Q19*2</f>
        <v>10.05323973421183</v>
      </c>
      <c r="S19" s="71" cm="1">
        <f t="array" ref="S19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9" s="71">
        <f t="shared" si="1"/>
        <v>10.05323973421183</v>
      </c>
      <c r="U19" s="71">
        <f>+'Cost Sheet'!$V$27+'Cost Sheet'!$V$10</f>
        <v>2.7368286238136323</v>
      </c>
      <c r="V19" s="71">
        <f>+Q19*U19*2</f>
        <v>10.05323973421183</v>
      </c>
      <c r="W19" s="71" cm="1">
        <f t="array" ref="W19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9" s="71">
        <f t="shared" si="2"/>
        <v>10.05323973421183</v>
      </c>
      <c r="AB19" s="46"/>
      <c r="AC19" s="19"/>
      <c r="AD19" s="19"/>
      <c r="AE19" s="19"/>
      <c r="AF19" s="167"/>
      <c r="AG19" s="167"/>
    </row>
    <row r="20" spans="1:33" ht="46.5" x14ac:dyDescent="0.35">
      <c r="A20" s="544"/>
      <c r="B20" s="21" t="str">
        <f>'Door - Step 2'!B49</f>
        <v>Option</v>
      </c>
      <c r="C20" s="21" t="str">
        <f>'Quotation - Door 4'!C49</f>
        <v>Kick Plate Location</v>
      </c>
      <c r="D20" s="121">
        <f>'Quotation - Door 4'!D49</f>
        <v>0</v>
      </c>
      <c r="E20" s="940"/>
      <c r="F20" s="952"/>
      <c r="G20" s="952"/>
      <c r="H20" s="946"/>
      <c r="I20" s="940"/>
      <c r="J20" s="940"/>
      <c r="K20" s="946"/>
      <c r="L20" s="940"/>
      <c r="N20" s="28" t="s">
        <v>353</v>
      </c>
      <c r="O20" s="71">
        <f>+'Cost Sheet'!$N$27+'Cost Sheet'!$N$3</f>
        <v>2.3229823017049664</v>
      </c>
      <c r="P20" s="49" t="s">
        <v>352</v>
      </c>
      <c r="Q20" s="30">
        <f>SUM((($O$12*($D$7+(2*$O$12)))),($O$12*($D$6+(2*$O$12))))*2*$L$4</f>
        <v>1.8366586140500001</v>
      </c>
      <c r="R20" s="71">
        <f>+O20*Q20*2</f>
        <v>8.5330509094242455</v>
      </c>
      <c r="S20" s="71" cm="1">
        <f t="array" ref="S20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0" s="71">
        <f t="shared" si="1"/>
        <v>8.5330509094242455</v>
      </c>
      <c r="U20" s="71">
        <f>+'Cost Sheet'!$V$27+'Cost Sheet'!$V$3</f>
        <v>2.3229823017049664</v>
      </c>
      <c r="V20" s="71">
        <f>+Q20*U20*2</f>
        <v>8.5330509094242455</v>
      </c>
      <c r="W20" s="71" cm="1">
        <f t="array" ref="W20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0" s="71">
        <f t="shared" si="2"/>
        <v>8.5330509094242455</v>
      </c>
      <c r="AB20" s="46"/>
      <c r="AC20" s="19"/>
      <c r="AD20" s="19"/>
      <c r="AE20" s="19"/>
      <c r="AF20" s="167"/>
      <c r="AG20" s="167"/>
    </row>
    <row r="21" spans="1:33" ht="46.5" x14ac:dyDescent="0.35">
      <c r="A21" s="544"/>
      <c r="B21" s="21" t="str">
        <f>'Door - Step 2'!B50</f>
        <v>Option</v>
      </c>
      <c r="C21" s="21" t="str">
        <f>'Quotation - Door 4'!C50</f>
        <v>ViewPort Window Size</v>
      </c>
      <c r="D21" s="121">
        <f>'Quotation - Door 4'!D50</f>
        <v>0</v>
      </c>
      <c r="E21" s="71">
        <f>IF($D21=0,0,(INDEX('Cost Sheet'!$N:$N,MATCH('Quotation - Door 4'!$D50,'Cost Sheet'!$C:$C,0))))</f>
        <v>0</v>
      </c>
      <c r="F21" s="20"/>
      <c r="G21" s="121" t="s">
        <v>354</v>
      </c>
      <c r="H21" s="71">
        <f>+IF(D21=0,0,INDEX('Accessories Install - Labour'!$E:$E,MATCH($D21,'Accessories Install - Labour'!$C:$C,0)))+IF(D21=0,0,('Cost Sheet'!$N$65*40*'Calculation Sheet - BOM '!$L$2))</f>
        <v>0</v>
      </c>
      <c r="I21" s="71">
        <f>+E21+H21</f>
        <v>0</v>
      </c>
      <c r="J21" s="71">
        <f>IF($D21=0,0,(INDEX('Cost Sheet'!$V:$V,MATCH('Quotation - Door 4'!$D50,'Cost Sheet'!$C:$C,0))))</f>
        <v>0</v>
      </c>
      <c r="K21" s="71">
        <f>+IF(D21=0,0,INDEX('Accessories Install - Labour'!$F:$F,MATCH($D21,'Accessories Install - Labour'!$C:$C,0)))+IF(D21=0,0,('Cost Sheet'!$S$65*40*'Calculation Sheet - BOM '!$L$2))</f>
        <v>0</v>
      </c>
      <c r="L21" s="71">
        <f>+J21+K21</f>
        <v>0</v>
      </c>
      <c r="N21" s="28" t="s">
        <v>355</v>
      </c>
      <c r="O21" s="71">
        <f>+'Cost Sheet'!$N$27+'Cost Sheet'!$N$5</f>
        <v>2.2572957849435795</v>
      </c>
      <c r="P21" s="49" t="s">
        <v>352</v>
      </c>
      <c r="Q21" s="30">
        <f>SUM((($O$12*($D$7+(2*$O$12)))),($O$12*($D$6+(2*$O$12))))*2*$L$4</f>
        <v>1.8366586140500001</v>
      </c>
      <c r="R21" s="71">
        <f>+O21*Q21*2</f>
        <v>8.2917634957507644</v>
      </c>
      <c r="S21" s="71" cm="1">
        <f t="array" ref="S21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1" s="71">
        <f t="shared" si="1"/>
        <v>8.2917634957507644</v>
      </c>
      <c r="U21" s="71">
        <f>+'Cost Sheet'!$V$27+'Cost Sheet'!$V$5</f>
        <v>2.2572957849435795</v>
      </c>
      <c r="V21" s="71">
        <f>+Q21*U21*2</f>
        <v>8.2917634957507644</v>
      </c>
      <c r="W21" s="71" cm="1">
        <f t="array" ref="W21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1" s="71">
        <f t="shared" si="2"/>
        <v>8.2917634957507644</v>
      </c>
      <c r="AB21" s="46"/>
      <c r="AC21" s="19"/>
      <c r="AD21" s="19"/>
      <c r="AE21" s="19"/>
      <c r="AF21" s="167"/>
      <c r="AG21" s="167"/>
    </row>
    <row r="22" spans="1:33" ht="31" x14ac:dyDescent="0.35">
      <c r="A22" s="544"/>
      <c r="B22" s="21" t="str">
        <f>'Door - Step 2'!B51</f>
        <v>Option</v>
      </c>
      <c r="C22" s="21" t="str">
        <f>'Quotation - Door 4'!C51</f>
        <v>ViewPort Window Type</v>
      </c>
      <c r="D22" s="121">
        <f>'Quotation - Door 4'!D51</f>
        <v>0</v>
      </c>
      <c r="E22" s="19" t="str">
        <f>+IF($D22="Insulated",(5*'Cost Sheet'!$N$65),IF($D22="Heated",(5*3*'Cost Sheet'!$N$102),""))</f>
        <v/>
      </c>
      <c r="F22" s="20"/>
      <c r="G22" s="19" t="s">
        <v>133</v>
      </c>
      <c r="H22" s="71">
        <f>+IF(D22=0,0,IF(D22="Insulated",INDEX('Accessories Install - Labour'!$E:$E,MATCH(CONCATENATE(D22,D21),'Accessories Install - Labour'!$C:$C,0)),IF(D22="Heated",INDEX('Accessories Install - Labour'!$E:$E,MATCH(CONCATENATE(D22,D21),'Accessories Install - Labour'!$C:$C,0)),IF(D22="Other","Cost Required - Purchasing"))))</f>
        <v>0</v>
      </c>
      <c r="I22" s="71">
        <f>IFERROR((IF($D22="Insulated",(5*'Cost Sheet'!$N$65),IF($D22="Heated",(5*3*'Cost Sheet'!$N$102),""))+H22),0)</f>
        <v>0</v>
      </c>
      <c r="J22" s="20"/>
      <c r="K22" s="71">
        <f>+IF(D22=0,0,IF(D22="Insulated",INDEX('Accessories Install - Labour'!$F:$F,MATCH(CONCATENATE(D22,D21),'Accessories Install - Labour'!$C:$C,0)),IF(D22="Heated",INDEX('Accessories Install - Labour'!$F:$F,MATCH(CONCATENATE(D22,D21),'Accessories Install - Labour'!$C:$C,0)),IF(D22="Other","Cost Required - Purchasing"))))</f>
        <v>0</v>
      </c>
      <c r="L22" s="71">
        <f>IFERROR((IF($D22="Insulated",(5*'Cost Sheet'!$V$65),IF($D22="Heated",(5*3*'Cost Sheet'!$V$102),""))+K22),0)</f>
        <v>0</v>
      </c>
      <c r="N22" s="28" t="s">
        <v>356</v>
      </c>
      <c r="O22" s="71">
        <f>+'Cost Sheet'!$N$24+'Cost Sheet'!$N$10</f>
        <v>6.0253702904802982</v>
      </c>
      <c r="P22" s="49" t="s">
        <v>347</v>
      </c>
      <c r="Q22" s="30">
        <f>((($D$6*2)+(($D$7+($O$12*2))*2))*'Calculation Sheet - BOM '!$L$2)</f>
        <v>1.91659</v>
      </c>
      <c r="R22" s="71">
        <f>('Cost Sheet'!$N$24*$Q22)+('Cost Sheet'!$N$10*$Q$21)</f>
        <v>11.420577677121798</v>
      </c>
      <c r="S22" s="71" cm="1">
        <f t="array" ref="S22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2" s="71">
        <f t="shared" si="1"/>
        <v>11.420577677121798</v>
      </c>
      <c r="U22" s="71">
        <f>+'Cost Sheet'!$V$24+'Cost Sheet'!$V$10</f>
        <v>6.0253702904802982</v>
      </c>
      <c r="V22" s="71">
        <f>('Cost Sheet'!$P$24*$Q22)+('Cost Sheet'!$P$10*$Q$21)</f>
        <v>11.420577677121798</v>
      </c>
      <c r="W22" s="71" cm="1">
        <f t="array" ref="W22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2" s="71">
        <f t="shared" si="2"/>
        <v>11.420577677121798</v>
      </c>
      <c r="AB22" s="46"/>
      <c r="AC22" s="19"/>
      <c r="AD22" s="19"/>
      <c r="AE22" s="19"/>
      <c r="AF22" s="167"/>
      <c r="AG22" s="167"/>
    </row>
    <row r="23" spans="1:33" ht="46.5" x14ac:dyDescent="0.35">
      <c r="A23" s="544"/>
      <c r="B23" s="21" t="str">
        <f>'Door - Step 2'!B52</f>
        <v>Not Required</v>
      </c>
      <c r="C23" s="21" t="str">
        <f>'Quotation - Door 4'!C52</f>
        <v>Motion Sensor</v>
      </c>
      <c r="D23" s="121">
        <f>'Quotation - Door 4'!D52</f>
        <v>0</v>
      </c>
      <c r="E23" s="71">
        <f>IF($D23=0,0,(INDEX('Cost Sheet'!$N:$N,MATCH('Quotation - Door 4'!$D52,'Cost Sheet'!$C:$C,0))))</f>
        <v>0</v>
      </c>
      <c r="F23" s="20"/>
      <c r="G23" s="19" t="s">
        <v>133</v>
      </c>
      <c r="H23" s="71"/>
      <c r="I23" s="71">
        <f>IF($D23=0,0,(INDEX('Cost Sheet'!$N:$N,MATCH('Quotation - Door 4'!$D52,'Cost Sheet'!$C:$C,0))))</f>
        <v>0</v>
      </c>
      <c r="J23" s="20"/>
      <c r="K23" s="71"/>
      <c r="L23" s="71">
        <f>IF($D23=0,0,(INDEX('Cost Sheet'!$V:$V,MATCH('Quotation - Door 2'!$D52,'Cost Sheet'!$C:$C,0))))</f>
        <v>0</v>
      </c>
      <c r="N23" s="28" t="s">
        <v>55</v>
      </c>
      <c r="O23" s="71">
        <f>+'Cost Sheet'!$N$24+'Cost Sheet'!$N$3</f>
        <v>5.6115239683716327</v>
      </c>
      <c r="P23" s="49" t="s">
        <v>349</v>
      </c>
      <c r="Q23" s="30">
        <f>((($D$6*2)+(($D$7+($O$12*2))*2))*'Calculation Sheet - BOM '!$L$2)</f>
        <v>1.91659</v>
      </c>
      <c r="R23" s="71">
        <f>('Cost Sheet'!$N$24*$Q23)+('Cost Sheet'!$N$3*$Q$21)</f>
        <v>10.660483264728008</v>
      </c>
      <c r="S23" s="71" cm="1">
        <f t="array" ref="S23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3" s="71">
        <f t="shared" si="1"/>
        <v>10.660483264728008</v>
      </c>
      <c r="U23" s="71">
        <f>+'Cost Sheet'!$V$24+'Cost Sheet'!$V$3</f>
        <v>5.6115239683716327</v>
      </c>
      <c r="V23" s="71">
        <f>('Cost Sheet'!$P$24*$Q23)+('Cost Sheet'!$P$3*$Q$21)</f>
        <v>10.660483264728008</v>
      </c>
      <c r="W23" s="71" cm="1">
        <f t="array" ref="W23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3" s="71">
        <f t="shared" si="2"/>
        <v>10.660483264728008</v>
      </c>
      <c r="AB23" s="46"/>
      <c r="AC23" s="19"/>
      <c r="AD23" s="19"/>
      <c r="AE23" s="19"/>
      <c r="AF23" s="167"/>
      <c r="AG23" s="167"/>
    </row>
    <row r="24" spans="1:33" ht="46.5" x14ac:dyDescent="0.35">
      <c r="A24" s="544"/>
      <c r="B24" s="21" t="str">
        <f>'Door - Step 2'!B53</f>
        <v>Not Required</v>
      </c>
      <c r="C24" s="21" t="str">
        <f>'Quotation - Door 4'!C53</f>
        <v>Additional Heater Location</v>
      </c>
      <c r="D24" s="121">
        <f>'Quotation - Door 4'!D53</f>
        <v>0</v>
      </c>
      <c r="E24" s="71">
        <f>IF($D24=0,0,(E71*4*((($D$6+$D$7)*2)*$L$2)))</f>
        <v>0</v>
      </c>
      <c r="F24" s="20"/>
      <c r="G24" s="20"/>
      <c r="H24" s="71"/>
      <c r="I24" s="71">
        <f>IF($D24=0,0,(I71*4*((($D$6+$D$7)*2)*$L$2)))</f>
        <v>0</v>
      </c>
      <c r="J24" s="20"/>
      <c r="K24" s="71"/>
      <c r="L24" s="71">
        <f>IF($D24=0,0,(L71*4*((($D$6+$D$7)*2)*$L$2)))</f>
        <v>0</v>
      </c>
      <c r="N24" s="28" t="s">
        <v>357</v>
      </c>
      <c r="O24" s="71">
        <f>+'Cost Sheet'!$N$24+'Cost Sheet'!$N$5</f>
        <v>5.5458374516102458</v>
      </c>
      <c r="P24" s="49" t="s">
        <v>349</v>
      </c>
      <c r="Q24" s="30">
        <f>((($D$6*2)+(($D$7+($O$12*2))*2))*'Calculation Sheet - BOM '!$L$2)</f>
        <v>1.91659</v>
      </c>
      <c r="R24" s="71">
        <f>('Cost Sheet'!$N$24*$Q24)+('Cost Sheet'!$N$5*$Q$21)</f>
        <v>10.539839557891266</v>
      </c>
      <c r="S24" s="71" cm="1">
        <f t="array" ref="S24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4" s="71">
        <f t="shared" si="1"/>
        <v>10.539839557891266</v>
      </c>
      <c r="U24" s="71">
        <f>+'Cost Sheet'!$V$24+'Cost Sheet'!$V$5</f>
        <v>5.5458374516102458</v>
      </c>
      <c r="V24" s="71">
        <f>('Cost Sheet'!$P$24*$Q24)+('Cost Sheet'!$P$5*$Q$21)</f>
        <v>10.539839557891266</v>
      </c>
      <c r="W24" s="71" cm="1">
        <f t="array" ref="W24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4" s="71">
        <f t="shared" si="2"/>
        <v>10.539839557891266</v>
      </c>
      <c r="AB24" s="46" t="s">
        <v>378</v>
      </c>
      <c r="AC24" s="19" t="s">
        <v>381</v>
      </c>
      <c r="AD24" s="19" t="s">
        <v>382</v>
      </c>
      <c r="AE24" s="19" t="s">
        <v>383</v>
      </c>
    </row>
    <row r="25" spans="1:33" x14ac:dyDescent="0.35">
      <c r="A25" s="544"/>
      <c r="B25" s="21" t="str">
        <f>'Door - Step 2'!B54</f>
        <v/>
      </c>
      <c r="C25" s="21" t="str">
        <f ca="1">'Quotation - Door 4'!C54</f>
        <v/>
      </c>
      <c r="D25" s="121">
        <f>'Quotation - Door 4'!D54</f>
        <v>0</v>
      </c>
      <c r="E25" s="71">
        <f>IF($D25=0,0,(INDEX('Cost Sheet'!$N:$N,MATCH('Quotation - Door 4'!$D54,'Cost Sheet'!$C:$C,0))))*2</f>
        <v>0</v>
      </c>
      <c r="F25" s="20"/>
      <c r="G25" s="19" t="s">
        <v>133</v>
      </c>
      <c r="H25" s="71">
        <f>+'Accessories Install - Labour'!$E$15*2</f>
        <v>26</v>
      </c>
      <c r="I25" s="71">
        <f>IF($D25=0,0,(INDEX('Cost Sheet'!$N:$N,MATCH('Quotation - Door 4'!$D54,'Cost Sheet'!$C:$C,0))))+H25</f>
        <v>26</v>
      </c>
      <c r="J25" s="71">
        <f>IF($D25=0,0,(INDEX('Cost Sheet'!$V:$V,MATCH('Quotation - Door 4'!$D54,'Cost Sheet'!$C:$C,0))))*2</f>
        <v>0</v>
      </c>
      <c r="K25" s="71">
        <f>+'Accessories Install - Labour'!$F$15*2</f>
        <v>26</v>
      </c>
      <c r="L25" s="71">
        <f>+K25+J25</f>
        <v>26</v>
      </c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AB25" s="46" t="s">
        <v>386</v>
      </c>
      <c r="AC25" s="19">
        <f>+AC17*12</f>
        <v>240</v>
      </c>
      <c r="AD25" s="19">
        <f>+AD17*12</f>
        <v>360</v>
      </c>
      <c r="AE25" s="19">
        <f>+AE17*12</f>
        <v>96</v>
      </c>
      <c r="AF25" s="19">
        <f>+((AC25*AE25)*2)+((AD25*AE25)*2)</f>
        <v>115200</v>
      </c>
      <c r="AG25" s="3">
        <f>+AF25/144</f>
        <v>800</v>
      </c>
    </row>
    <row r="26" spans="1:33" ht="43.5" x14ac:dyDescent="0.35">
      <c r="A26" s="544"/>
      <c r="B26" s="21" t="str">
        <f>'Door - Step 2'!B55</f>
        <v/>
      </c>
      <c r="C26" s="21">
        <f>'Quotation - Door 4'!C55</f>
        <v>0</v>
      </c>
      <c r="D26" s="121">
        <f>'Quotation - Door 4'!D55</f>
        <v>0</v>
      </c>
      <c r="E26" s="71">
        <f>IF($D26=0,0,(INDEX('Cost Sheet'!$N:$N,MATCH('Quotation - Door 4'!$D55,'Cost Sheet'!$C:$C,0))))</f>
        <v>0</v>
      </c>
      <c r="F26" s="20"/>
      <c r="G26" s="19" t="s">
        <v>133</v>
      </c>
      <c r="H26" s="71">
        <f>+'Accessories Install - Labour'!$E$17</f>
        <v>21.666666666666668</v>
      </c>
      <c r="I26" s="71">
        <f>+E26+H26</f>
        <v>21.666666666666668</v>
      </c>
      <c r="J26" s="71">
        <f>IF($D26=0,0,(INDEX('Cost Sheet'!$V:$V,MATCH('Quotation - Door 4'!$D55,'Cost Sheet'!$C:$C,0))))*2</f>
        <v>0</v>
      </c>
      <c r="K26" s="71">
        <f>+'Accessories Install - Labour'!$F$17</f>
        <v>21.666666666666668</v>
      </c>
      <c r="L26" s="71">
        <f>+J26+K26</f>
        <v>21.666666666666668</v>
      </c>
      <c r="N26" s="119" t="s">
        <v>358</v>
      </c>
      <c r="O26" s="160" t="s">
        <v>321</v>
      </c>
      <c r="P26" s="160" t="s">
        <v>322</v>
      </c>
      <c r="Q26" s="160" t="s">
        <v>323</v>
      </c>
      <c r="R26" s="160" t="s">
        <v>324</v>
      </c>
      <c r="S26" s="160" t="s">
        <v>134</v>
      </c>
      <c r="T26" s="160" t="s">
        <v>325</v>
      </c>
      <c r="U26" s="160" t="s">
        <v>326</v>
      </c>
      <c r="V26" s="160" t="s">
        <v>327</v>
      </c>
      <c r="W26" s="160" t="s">
        <v>328</v>
      </c>
      <c r="X26" s="160" t="s">
        <v>329</v>
      </c>
      <c r="AB26" s="751" t="s">
        <v>485</v>
      </c>
      <c r="AC26" s="751"/>
      <c r="AD26" s="751"/>
      <c r="AE26" s="751"/>
    </row>
    <row r="27" spans="1:33" ht="31" x14ac:dyDescent="0.35">
      <c r="A27" s="544"/>
      <c r="B27" s="21" t="str">
        <f>'Door - Step 2'!B56</f>
        <v/>
      </c>
      <c r="C27" s="21">
        <f>'Quotation - Door 4'!C56</f>
        <v>0</v>
      </c>
      <c r="D27" s="121">
        <f>'Quotation - Door 4'!D56</f>
        <v>0</v>
      </c>
      <c r="E27" s="71">
        <f>IF($D27=0,0,(INDEX('Cost Sheet'!$N:$N,MATCH('Quotation - Door 4'!$D56,'Cost Sheet'!$C:$C,0))))</f>
        <v>0</v>
      </c>
      <c r="F27" s="20"/>
      <c r="G27" s="19" t="s">
        <v>133</v>
      </c>
      <c r="H27" s="71">
        <f>+IF($D27=0,0,INDEX('Accessories Install - Labour'!$E:$E,MATCH($D27,'Accessories Install - Labour'!$C:$C,0)))</f>
        <v>0</v>
      </c>
      <c r="I27" s="71">
        <f>+E27+H27</f>
        <v>0</v>
      </c>
      <c r="J27" s="71">
        <f>IF($D27=0,0,(INDEX('Cost Sheet'!$V:$V,MATCH('Quotation - Door 4'!$D56,'Cost Sheet'!$C:$C,0))))*2</f>
        <v>0</v>
      </c>
      <c r="K27" s="71">
        <f>+IF($D27=0,0,INDEX('Accessories Install - Labour'!$F:$F,MATCH($D27,'Accessories Install - Labour'!$C:$C,0)))</f>
        <v>0</v>
      </c>
      <c r="L27" s="71">
        <f>+J27+K27</f>
        <v>0</v>
      </c>
      <c r="N27" s="28" t="s">
        <v>344</v>
      </c>
      <c r="O27" s="71">
        <f>+'Cost Sheet'!$N$15</f>
        <v>3.8724791666666665</v>
      </c>
      <c r="P27" s="49" t="s">
        <v>359</v>
      </c>
      <c r="Q27" s="30">
        <f>+(($D$7*1)*$L$4)*2</f>
        <v>0</v>
      </c>
      <c r="R27" s="71">
        <f>+Q27*O27</f>
        <v>0</v>
      </c>
      <c r="S27" s="71">
        <f>+S15*0.75</f>
        <v>0</v>
      </c>
      <c r="T27" s="71">
        <f t="shared" ref="T27:T36" si="3">+R27+S27</f>
        <v>0</v>
      </c>
      <c r="U27" s="71">
        <f>+IF($D$3="Freezer",'Cost Sheet'!$V$22,'Cost Sheet'!$V$21)</f>
        <v>11.36</v>
      </c>
      <c r="V27" s="71">
        <f>+U27*Q27</f>
        <v>0</v>
      </c>
      <c r="W27" s="71">
        <f>+W15*0.75</f>
        <v>0</v>
      </c>
      <c r="X27" s="71">
        <f t="shared" ref="X27:X36" si="4">+V27+W27</f>
        <v>0</v>
      </c>
      <c r="AB27" s="144"/>
      <c r="AC27" s="144"/>
      <c r="AD27" s="144"/>
      <c r="AE27" s="144"/>
    </row>
    <row r="28" spans="1:33" ht="46.5" x14ac:dyDescent="0.35">
      <c r="A28" s="544"/>
      <c r="B28" s="21" t="str">
        <f>'Door - Step 2'!B57</f>
        <v/>
      </c>
      <c r="C28" s="21">
        <f>'Quotation - Door 4'!C57</f>
        <v>0</v>
      </c>
      <c r="D28" s="121">
        <f>'Quotation - Door 4'!D57</f>
        <v>0</v>
      </c>
      <c r="E28" s="71">
        <f>IF($D28=0,0,(INDEX('Cost Sheet'!$N:$N,MATCH('Quotation - Door 4'!$D57,'Cost Sheet'!$C:$C,0))))</f>
        <v>0</v>
      </c>
      <c r="F28" s="20"/>
      <c r="G28" s="19" t="s">
        <v>133</v>
      </c>
      <c r="H28" s="71">
        <f>+IF($D28=0,0,INDEX('Accessories Install - Labour'!$E:$E,MATCH($D28,'Accessories Install - Labour'!$C:$C,0)))</f>
        <v>0</v>
      </c>
      <c r="I28" s="71">
        <f>+E28+H28</f>
        <v>0</v>
      </c>
      <c r="J28" s="71">
        <f>IF($D28=0,0,(INDEX('Cost Sheet'!$V:$V,MATCH('Quotation - Door 4'!$D57,'Cost Sheet'!$C:$C,0))))*2</f>
        <v>0</v>
      </c>
      <c r="K28" s="71">
        <f>+IF($D28=0,0,INDEX('Accessories Install - Labour'!$F:$F,MATCH($D28,'Accessories Install - Labour'!$C:$C,0)))</f>
        <v>0</v>
      </c>
      <c r="L28" s="71">
        <f>+J28+K28</f>
        <v>0</v>
      </c>
      <c r="N28" s="28" t="s">
        <v>346</v>
      </c>
      <c r="O28" s="71">
        <f>+$O$27+'Cost Sheet'!$N$10</f>
        <v>5.4686827904802993</v>
      </c>
      <c r="P28" s="49" t="s">
        <v>360</v>
      </c>
      <c r="Q28" s="30">
        <f>+(($D$7*1)*$L$4)*2</f>
        <v>0</v>
      </c>
      <c r="R28" s="71">
        <f>($O$27*$Q$27)+('Cost Sheet'!$N$10*2*$Q$31)</f>
        <v>0</v>
      </c>
      <c r="S28" s="71">
        <f>+S16*0.75</f>
        <v>0</v>
      </c>
      <c r="T28" s="71">
        <f t="shared" si="3"/>
        <v>0</v>
      </c>
      <c r="U28" s="71">
        <f>+$U$15+'Cost Sheet'!$V$10</f>
        <v>12.956203623813632</v>
      </c>
      <c r="V28" s="71">
        <f>($U$27*$Q$27)+('Cost Sheet'!$P$10*2*$Q$31)</f>
        <v>0</v>
      </c>
      <c r="W28" s="71">
        <f>+W16*0.75</f>
        <v>0</v>
      </c>
      <c r="X28" s="71">
        <f t="shared" si="4"/>
        <v>0</v>
      </c>
      <c r="AB28" s="144"/>
      <c r="AC28" s="144"/>
      <c r="AD28" s="144"/>
      <c r="AE28" s="144"/>
    </row>
    <row r="29" spans="1:33" ht="62" x14ac:dyDescent="0.35">
      <c r="A29" s="544"/>
      <c r="B29" s="21" t="str">
        <f>'Door - Step 2'!B58</f>
        <v/>
      </c>
      <c r="C29" s="21">
        <f>'Quotation - Door 4'!C58</f>
        <v>0</v>
      </c>
      <c r="D29" s="121">
        <f>'Quotation - Door 4'!D58</f>
        <v>0</v>
      </c>
      <c r="E29" s="71">
        <f>IF($D29=0,0,(INDEX('Cost Sheet'!$N:$N,MATCH('Quotation - Door 4'!$D58,'Cost Sheet'!$C:$C,0))))</f>
        <v>0</v>
      </c>
      <c r="G29" s="19" t="s">
        <v>133</v>
      </c>
      <c r="H29" s="71">
        <f>+IF($D29=0,0,INDEX('Accessories Install - Labour'!$E:$E,MATCH($D29,'Accessories Install - Labour'!$C:$C,0)))</f>
        <v>0</v>
      </c>
      <c r="I29" s="71">
        <f>IFERROR(E29+H29,E29)</f>
        <v>0</v>
      </c>
      <c r="J29" s="71">
        <f>IF($D29=0,0,(INDEX('Cost Sheet'!$V:$V,MATCH('Quotation - Door 4'!$D58,'Cost Sheet'!$C:$C,0))))*2</f>
        <v>0</v>
      </c>
      <c r="K29" s="71">
        <f>+IF($D29=0,0,INDEX('Accessories Install - Labour'!$F:$F,MATCH($D29,'Accessories Install - Labour'!$C:$C,0)))</f>
        <v>0</v>
      </c>
      <c r="L29" s="71">
        <f>IFERROR(J29+K29,I29)</f>
        <v>0</v>
      </c>
      <c r="N29" s="28" t="s">
        <v>348</v>
      </c>
      <c r="O29" s="71">
        <f>+$O$27+'Cost Sheet'!$N$3</f>
        <v>5.0548364683716329</v>
      </c>
      <c r="P29" s="49" t="s">
        <v>361</v>
      </c>
      <c r="Q29" s="30">
        <f>+(($D$7*1)*$L$4)*2</f>
        <v>0</v>
      </c>
      <c r="R29" s="71">
        <f>($O$27*$Q$27)+('Cost Sheet'!$N$3*2*$Q$31)</f>
        <v>0</v>
      </c>
      <c r="S29" s="71">
        <f>+S17*0.75</f>
        <v>0</v>
      </c>
      <c r="T29" s="71">
        <f t="shared" si="3"/>
        <v>0</v>
      </c>
      <c r="U29" s="71">
        <f>+$U$15+'Cost Sheet'!$V$3</f>
        <v>12.542357301704966</v>
      </c>
      <c r="V29" s="71">
        <f>($U$27*$Q$27)+('Cost Sheet'!$P$3*2*$Q$31)</f>
        <v>0</v>
      </c>
      <c r="W29" s="71">
        <f>+W17*0.75</f>
        <v>0</v>
      </c>
      <c r="X29" s="71">
        <f t="shared" si="4"/>
        <v>0</v>
      </c>
      <c r="AB29" s="144"/>
      <c r="AC29" s="144"/>
      <c r="AD29" s="144"/>
      <c r="AE29" s="144"/>
    </row>
    <row r="30" spans="1:33" ht="62" x14ac:dyDescent="0.35">
      <c r="A30" s="544"/>
      <c r="B30" s="21" t="str">
        <f>'Door - Step 2'!B59</f>
        <v/>
      </c>
      <c r="C30" s="21">
        <f>'Quotation - Door 4'!C59</f>
        <v>0</v>
      </c>
      <c r="D30" s="121">
        <f>'Quotation - Door 4'!D59</f>
        <v>0</v>
      </c>
      <c r="E30" s="71">
        <f>IF($D30=0,0,(INDEX('Cost Sheet'!$N:$N,MATCH('Quotation - Door 4'!$D59,'Cost Sheet'!$C:$C,0))))</f>
        <v>0</v>
      </c>
      <c r="G30" s="19" t="s">
        <v>133</v>
      </c>
      <c r="H30" s="71">
        <f>+IF($D30=0,0,INDEX('Accessories Install - Labour'!$E:$E,MATCH($D30,'Accessories Install - Labour'!$C:$C,0)))</f>
        <v>0</v>
      </c>
      <c r="I30" s="71">
        <f>+E30+H30</f>
        <v>0</v>
      </c>
      <c r="J30" s="71">
        <f>IF($D30=0,0,(INDEX('Cost Sheet'!$V:$V,MATCH('Quotation - Door 4'!$D59,'Cost Sheet'!$C:$C,0))))*2</f>
        <v>0</v>
      </c>
      <c r="K30" s="71">
        <f>+IF($D30=0,0,INDEX('Accessories Install - Labour'!$F:$F,MATCH($D30,'Accessories Install - Labour'!$C:$C,0)))</f>
        <v>0</v>
      </c>
      <c r="L30" s="71">
        <f>+J30+K30</f>
        <v>0</v>
      </c>
      <c r="N30" s="28" t="s">
        <v>350</v>
      </c>
      <c r="O30" s="71">
        <f>+$O$27+'Cost Sheet'!$N$5</f>
        <v>4.989149951610246</v>
      </c>
      <c r="P30" s="49" t="s">
        <v>361</v>
      </c>
      <c r="Q30" s="30">
        <f>+(($D$7*1)*$L$4)*2</f>
        <v>0</v>
      </c>
      <c r="R30" s="71">
        <f>($O$27*$Q$27)+('Cost Sheet'!$N$5*2*$Q$31)</f>
        <v>0</v>
      </c>
      <c r="S30" s="71">
        <f>+S18*0.75</f>
        <v>0</v>
      </c>
      <c r="T30" s="71">
        <f t="shared" si="3"/>
        <v>0</v>
      </c>
      <c r="U30" s="71">
        <f>+$U$15+'Cost Sheet'!$V$5</f>
        <v>12.476670784943579</v>
      </c>
      <c r="V30" s="71">
        <f>($U$27*$Q$27)+('Cost Sheet'!$P$5*2*$Q$31)</f>
        <v>0</v>
      </c>
      <c r="W30" s="71">
        <f>+W18*0.75</f>
        <v>0</v>
      </c>
      <c r="X30" s="71">
        <f t="shared" si="4"/>
        <v>0</v>
      </c>
      <c r="AB30" s="46" t="s">
        <v>386</v>
      </c>
      <c r="AC30" s="19" t="e">
        <f>+#REF!*12</f>
        <v>#REF!</v>
      </c>
      <c r="AD30" s="19" t="e">
        <f>+#REF!*12</f>
        <v>#REF!</v>
      </c>
      <c r="AE30" s="19" t="e">
        <f>+#REF!*12</f>
        <v>#REF!</v>
      </c>
      <c r="AF30" s="19" t="e">
        <f>+((AC30*AE30)*2)+((AD30*AE30)*2)</f>
        <v>#REF!</v>
      </c>
      <c r="AG30" s="3" t="e">
        <f>+AF30/144</f>
        <v>#REF!</v>
      </c>
    </row>
    <row r="31" spans="1:33" ht="46.5" x14ac:dyDescent="0.35">
      <c r="A31" s="544"/>
      <c r="N31" s="28" t="s">
        <v>351</v>
      </c>
      <c r="O31" s="71">
        <f>+'Cost Sheet'!$N$27+'Cost Sheet'!$N$10</f>
        <v>2.7368286238136323</v>
      </c>
      <c r="P31" s="49" t="s">
        <v>362</v>
      </c>
      <c r="Q31" s="30">
        <f>+(($D$7*$D$9)*$L$4)*2</f>
        <v>0</v>
      </c>
      <c r="R31" s="71">
        <f>+O31*Q31*2</f>
        <v>0</v>
      </c>
      <c r="S31" s="71">
        <f t="shared" ref="S31:S36" si="5">+S19*0.4</f>
        <v>0</v>
      </c>
      <c r="T31" s="71">
        <f t="shared" si="3"/>
        <v>0</v>
      </c>
      <c r="U31" s="71">
        <f>+'Cost Sheet'!$V$27+'Cost Sheet'!$V$10</f>
        <v>2.7368286238136323</v>
      </c>
      <c r="V31" s="71">
        <f>+Q31*U31*2</f>
        <v>0</v>
      </c>
      <c r="W31" s="71">
        <f t="shared" ref="W31:W36" si="6">+W19*0.4</f>
        <v>0</v>
      </c>
      <c r="X31" s="71">
        <f t="shared" si="4"/>
        <v>0</v>
      </c>
    </row>
    <row r="32" spans="1:33" ht="46.5" x14ac:dyDescent="0.35">
      <c r="A32" s="544"/>
      <c r="B32" s="21" t="str">
        <f>'Door - Step 2'!B61</f>
        <v>Labor</v>
      </c>
      <c r="C32" s="21" t="str">
        <f>'Quotation - Door 4'!C61</f>
        <v>Labor Expense</v>
      </c>
      <c r="D32" s="121">
        <f>'Quotation - Door 4'!D61</f>
        <v>0</v>
      </c>
      <c r="E32" s="20"/>
      <c r="F32" s="20"/>
      <c r="G32" s="20"/>
      <c r="H32" s="71"/>
      <c r="I32" s="71" cm="1">
        <f t="array" ref="I32">_xlfn.IFNA(IF(OR('Quotation - Door 4'!$D$30=Controller!$A$13, 'Quotation - Door 4'!$D$30=Controller!$A$14, 'Quotation - Door 4'!$D$30=Controller!$A$15),
INDEX('Door and Panel Labor Exp. '!$A$23:$I$40,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'!$A$1:$I$1, 0)
),
INDEX('Door and Panel Labor Exp. '!$A$5:$I$16,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'!$A$1:$I$1, 0)
)),0)</f>
        <v>0</v>
      </c>
      <c r="J32" s="20"/>
      <c r="K32" s="71"/>
      <c r="L32" s="71" cm="1">
        <f t="array" ref="L32">_xlfn.IFNA(IF(OR('Quotation - Door 4'!$D$30=Controller!$A$13, 'Quotation - Door 4'!$D$30=Controller!$A$14, 'Quotation - Door 4'!$D$30=Controller!$A$15),
INDEX('Door and Panel Labor Exp. '!$A$76:$I$86,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'!$A$1:$I$1, 0)
),
INDEX('Door and Panel Labor Exp. '!$A$66:$I$75,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'!$B$75:$B$76 - 'Quotation - Door 4'!$D$34), 1))), 0)),
 MATCH('Quotation - Door 4'!$D$31, 'Door and Panel Labor Exp. '!$A$1:$I$1, 0)
)),0)</f>
        <v>0</v>
      </c>
      <c r="N32" s="28" t="s">
        <v>353</v>
      </c>
      <c r="O32" s="71">
        <f>+'Cost Sheet'!$N$27+'Cost Sheet'!$N$3</f>
        <v>2.3229823017049664</v>
      </c>
      <c r="P32" s="49" t="s">
        <v>362</v>
      </c>
      <c r="Q32" s="30">
        <f>+(($D$7*$D$9)*$L$4)*2</f>
        <v>0</v>
      </c>
      <c r="R32" s="71">
        <f>+O32*Q32*2</f>
        <v>0</v>
      </c>
      <c r="S32" s="71">
        <f t="shared" si="5"/>
        <v>0</v>
      </c>
      <c r="T32" s="71">
        <f t="shared" si="3"/>
        <v>0</v>
      </c>
      <c r="U32" s="71">
        <f>+'Cost Sheet'!$V$27+'Cost Sheet'!$V$3</f>
        <v>2.3229823017049664</v>
      </c>
      <c r="V32" s="71">
        <f>+Q32*U32*2</f>
        <v>0</v>
      </c>
      <c r="W32" s="71">
        <f t="shared" si="6"/>
        <v>0</v>
      </c>
      <c r="X32" s="71">
        <f t="shared" si="4"/>
        <v>0</v>
      </c>
    </row>
    <row r="33" spans="1:24" ht="46.5" x14ac:dyDescent="0.35">
      <c r="A33" s="544"/>
      <c r="B33" s="21" t="str">
        <f>'Door - Step 2'!B62</f>
        <v xml:space="preserve">Material </v>
      </c>
      <c r="C33" s="21" t="str">
        <f>'Quotation - Door 4'!C62</f>
        <v xml:space="preserve">Foam Expense </v>
      </c>
      <c r="D33" s="121">
        <f>'Quotation - Door 4'!D62</f>
        <v>0</v>
      </c>
      <c r="E33" s="20"/>
      <c r="F33" s="30"/>
      <c r="G33" s="20"/>
      <c r="H33" s="71"/>
      <c r="I33" s="71">
        <f>_xlfn.IFNA('Quotation - Door 4'!$D$34*'Quotation - Door 4'!$D$35*(INDEX('Calculation Sheet - BOM '!$R$6:$R$10,MATCH('Quotation - Door 4'!$D$36,'Calculation Sheet - BOM '!$P$6:$P$10,0))),0)</f>
        <v>0</v>
      </c>
      <c r="J33" s="20"/>
      <c r="K33" s="71"/>
      <c r="L33" s="71">
        <f>_xlfn.IFNA('Quotation - Door 4'!$D$34*'Quotation - Door 4'!$D$35*(INDEX('Calculation Sheet - BOM '!$T$6:$T$10,MATCH('Quotation - Door 4'!$D$36,'Calculation Sheet - BOM '!$P$6:$P$10,0))),0)</f>
        <v>0</v>
      </c>
      <c r="N33" s="28" t="s">
        <v>355</v>
      </c>
      <c r="O33" s="71">
        <f>+'Cost Sheet'!$N$27+'Cost Sheet'!$N$5</f>
        <v>2.2572957849435795</v>
      </c>
      <c r="P33" s="49" t="s">
        <v>362</v>
      </c>
      <c r="Q33" s="30">
        <f>+(($D$7*$D$9)*$L$4)*2</f>
        <v>0</v>
      </c>
      <c r="R33" s="71">
        <f>+O33*Q33*2</f>
        <v>0</v>
      </c>
      <c r="S33" s="71">
        <f t="shared" si="5"/>
        <v>0</v>
      </c>
      <c r="T33" s="71">
        <f t="shared" si="3"/>
        <v>0</v>
      </c>
      <c r="U33" s="71">
        <f>+'Cost Sheet'!$V$27+'Cost Sheet'!$V$5</f>
        <v>2.2572957849435795</v>
      </c>
      <c r="V33" s="71">
        <f>+Q33*U33*2</f>
        <v>0</v>
      </c>
      <c r="W33" s="71">
        <f t="shared" si="6"/>
        <v>0</v>
      </c>
      <c r="X33" s="71">
        <f t="shared" si="4"/>
        <v>0</v>
      </c>
    </row>
    <row r="34" spans="1:24" ht="31" x14ac:dyDescent="0.35">
      <c r="A34" s="544"/>
      <c r="B34" s="21" t="str">
        <f>'Door - Step 2'!B63</f>
        <v xml:space="preserve">Material </v>
      </c>
      <c r="C34" s="21" t="str">
        <f>'Quotation - Door 4'!C63</f>
        <v>Bottom Sweep</v>
      </c>
      <c r="D34" s="121" t="str">
        <f>'Quotation - Door 4'!D63</f>
        <v/>
      </c>
      <c r="E34" s="71">
        <f>+'Cost Sheet'!$N$72</f>
        <v>0.94</v>
      </c>
      <c r="F34" s="30">
        <f>+D6*L2*2</f>
        <v>0</v>
      </c>
      <c r="G34" s="19" t="s">
        <v>133</v>
      </c>
      <c r="H34" s="71">
        <f>+IF($D34=0,0,'Accessories Install - Labour'!$E$28)</f>
        <v>13</v>
      </c>
      <c r="I34" s="71">
        <f>(E34*F34)+H34</f>
        <v>13</v>
      </c>
      <c r="J34" s="71">
        <f>+'Cost Sheet'!$V$72</f>
        <v>0.94</v>
      </c>
      <c r="K34" s="71">
        <f>+IF($D34=0,0,'Accessories Install - Labour'!$F$28)</f>
        <v>13</v>
      </c>
      <c r="L34" s="71">
        <f>(F34*J34)+K34</f>
        <v>13</v>
      </c>
      <c r="N34" s="28" t="s">
        <v>356</v>
      </c>
      <c r="O34" s="71">
        <f>+'Cost Sheet'!$N$24+'Cost Sheet'!$N$10</f>
        <v>6.0253702904802982</v>
      </c>
      <c r="P34" s="49" t="s">
        <v>347</v>
      </c>
      <c r="Q34" s="30">
        <f t="shared" ref="Q34:Q36" si="7">+($D$7*2*$L$2)</f>
        <v>0</v>
      </c>
      <c r="R34" s="71">
        <f>('Cost Sheet'!$N$24*$Q34)+('Cost Sheet'!$N$10*$Q$33)</f>
        <v>0</v>
      </c>
      <c r="S34" s="71">
        <f t="shared" si="5"/>
        <v>0</v>
      </c>
      <c r="T34" s="71">
        <f t="shared" si="3"/>
        <v>0</v>
      </c>
      <c r="U34" s="71">
        <f>+'Cost Sheet'!$V$24+'Cost Sheet'!$V$10</f>
        <v>6.0253702904802982</v>
      </c>
      <c r="V34" s="71">
        <f>('Cost Sheet'!$P$24*$Q34)+('Cost Sheet'!$P$10*$Q$33)</f>
        <v>0</v>
      </c>
      <c r="W34" s="71">
        <f t="shared" si="6"/>
        <v>0</v>
      </c>
      <c r="X34" s="71">
        <f t="shared" si="4"/>
        <v>0</v>
      </c>
    </row>
    <row r="35" spans="1:24" ht="46.5" x14ac:dyDescent="0.35">
      <c r="A35" s="544"/>
      <c r="B35" s="21" t="str">
        <f>'Door - Step 2'!B64</f>
        <v xml:space="preserve">Material </v>
      </c>
      <c r="C35" s="21" t="str">
        <f>'Quotation - Door 4'!C64</f>
        <v>Weather Strip</v>
      </c>
      <c r="D35" s="121" t="str">
        <f>'Quotation - Door 4'!D64</f>
        <v/>
      </c>
      <c r="E35" s="71">
        <f>_xlfn.IFNA(INDEX('Cost Sheet'!$N$73:$N$75,MATCH($D$8,'Cost Sheet'!$D$73:$D$75,0)),0)</f>
        <v>0</v>
      </c>
      <c r="F35" s="30">
        <f>+D6*L2</f>
        <v>0</v>
      </c>
      <c r="G35" s="19" t="s">
        <v>133</v>
      </c>
      <c r="H35" s="71">
        <f>+IF($D35=0,0,'Accessories Install - Labour'!$E$32)</f>
        <v>39</v>
      </c>
      <c r="I35" s="71">
        <f>_xlfn.IFNA(E35*F35,0)+H35</f>
        <v>39</v>
      </c>
      <c r="J35" s="71">
        <f>_xlfn.IFNA((INDEX('Cost Sheet'!$V$73:$V$75,MATCH($D8,'Cost Sheet'!$D$73:$D$75,0))*F35),0)</f>
        <v>0</v>
      </c>
      <c r="K35" s="71">
        <f>+IF($D35=0,0,'Accessories Install - Labour'!$F$32)</f>
        <v>39</v>
      </c>
      <c r="L35" s="71">
        <f>_xlfn.IFNA(F35*J35,0)+K35</f>
        <v>39</v>
      </c>
      <c r="N35" s="28" t="s">
        <v>55</v>
      </c>
      <c r="O35" s="71">
        <f>+'Cost Sheet'!$N$24+'Cost Sheet'!$N$3</f>
        <v>5.6115239683716327</v>
      </c>
      <c r="P35" s="49" t="s">
        <v>349</v>
      </c>
      <c r="Q35" s="30">
        <f t="shared" si="7"/>
        <v>0</v>
      </c>
      <c r="R35" s="71">
        <f>('Cost Sheet'!$N$24*$Q35)+('Cost Sheet'!$N$3*$Q$33)</f>
        <v>0</v>
      </c>
      <c r="S35" s="71">
        <f t="shared" si="5"/>
        <v>0</v>
      </c>
      <c r="T35" s="71">
        <f t="shared" si="3"/>
        <v>0</v>
      </c>
      <c r="U35" s="71">
        <f>+'Cost Sheet'!$V$24+'Cost Sheet'!$V$3</f>
        <v>5.6115239683716327</v>
      </c>
      <c r="V35" s="71">
        <f>('Cost Sheet'!$P$24*$Q35)+('Cost Sheet'!$P$3*$Q$33)</f>
        <v>0</v>
      </c>
      <c r="W35" s="71">
        <f t="shared" si="6"/>
        <v>0</v>
      </c>
      <c r="X35" s="71">
        <f t="shared" si="4"/>
        <v>0</v>
      </c>
    </row>
    <row r="36" spans="1:24" ht="46.5" x14ac:dyDescent="0.35">
      <c r="A36" s="544"/>
      <c r="B36" s="21" t="str">
        <f>'Door - Step 2'!B65</f>
        <v xml:space="preserve">Material </v>
      </c>
      <c r="C36" s="21" t="str">
        <f>'Quotation - Door 4'!C65</f>
        <v>Gasket</v>
      </c>
      <c r="D36" s="121">
        <f>'Quotation - Door 4'!D65</f>
        <v>0</v>
      </c>
      <c r="E36" s="71">
        <f>+IF(OR('Quotation - Door 4'!$D$30=Controller!$A$13, 'Quotation - Door 4'!$D$30=Controller!$A$14, 'Quotation - Door 4'!$D$30=Controller!$A$15),SUM('Cost Sheet'!$N$69:$N$70),SUM('Cost Sheet'!$N$67:$N$68))</f>
        <v>1.79</v>
      </c>
      <c r="F36" s="30">
        <f>+((D6+D7)*2)*L2</f>
        <v>0</v>
      </c>
      <c r="G36" s="19" t="s">
        <v>133</v>
      </c>
      <c r="H36" s="71">
        <f>+IF($D36=0,0,'Accessories Install - Labour'!$E$25)</f>
        <v>0</v>
      </c>
      <c r="I36" s="71">
        <f>(F36*E36)+H36</f>
        <v>0</v>
      </c>
      <c r="J36" s="71">
        <f>+IF(OR('Quotation - Door 4'!$D$30=Controller!$A$13, 'Quotation - Door 4'!$D$30=Controller!$A$14, 'Quotation - Door 4'!$D$30=Controller!$A$16),SUM('Cost Sheet'!$V$69:$V$70),SUM('Cost Sheet'!$V$67:$V$68))</f>
        <v>1.79</v>
      </c>
      <c r="K36" s="71">
        <f>+IF($D36=0,0,'Accessories Install - Labour'!$F$25)</f>
        <v>0</v>
      </c>
      <c r="L36" s="71">
        <f>(J36*F36)+K36</f>
        <v>0</v>
      </c>
      <c r="N36" s="28" t="s">
        <v>357</v>
      </c>
      <c r="O36" s="71">
        <f>+'Cost Sheet'!$N$24+'Cost Sheet'!$N$5</f>
        <v>5.5458374516102458</v>
      </c>
      <c r="P36" s="49" t="s">
        <v>349</v>
      </c>
      <c r="Q36" s="30">
        <f t="shared" si="7"/>
        <v>0</v>
      </c>
      <c r="R36" s="71">
        <f>('Cost Sheet'!$N$24*$Q36)+('Cost Sheet'!$N$5*$Q$33)</f>
        <v>0</v>
      </c>
      <c r="S36" s="71">
        <f t="shared" si="5"/>
        <v>0</v>
      </c>
      <c r="T36" s="71">
        <f t="shared" si="3"/>
        <v>0</v>
      </c>
      <c r="U36" s="71">
        <f>+'Cost Sheet'!$V$24+'Cost Sheet'!$V$5</f>
        <v>5.5458374516102458</v>
      </c>
      <c r="V36" s="71">
        <f>('Cost Sheet'!$P$24*$Q36)+('Cost Sheet'!$P$5*$Q$33)</f>
        <v>0</v>
      </c>
      <c r="W36" s="71">
        <f t="shared" si="6"/>
        <v>0</v>
      </c>
      <c r="X36" s="71">
        <f t="shared" si="4"/>
        <v>0</v>
      </c>
    </row>
    <row r="37" spans="1:24" x14ac:dyDescent="0.35">
      <c r="A37" s="544"/>
      <c r="B37" s="21" t="str">
        <f>'Door - Step 2'!B66</f>
        <v xml:space="preserve">Material </v>
      </c>
      <c r="C37" s="21" t="str">
        <f>'Quotation - Door 4'!C66</f>
        <v xml:space="preserve">Additional Gasket </v>
      </c>
      <c r="D37" s="121" t="str">
        <f>'Quotation - Door 4'!D66</f>
        <v>Not Required</v>
      </c>
      <c r="E37" s="71" t="e">
        <f>IF($D37=0,0,(INDEX('Cost Sheet'!$N:$N,MATCH('Quotation - Door 4'!$D66,'Cost Sheet'!$C:$C,0))))</f>
        <v>#N/A</v>
      </c>
      <c r="F37" s="30">
        <f>+((D6+D7)*2)*L2</f>
        <v>0</v>
      </c>
      <c r="G37" s="19" t="s">
        <v>133</v>
      </c>
      <c r="H37" s="71">
        <f>+IF($D37=0,0,'Accessories Install - Labour'!$E$26)</f>
        <v>21.666666666666668</v>
      </c>
      <c r="I37" s="71" t="e">
        <f>(F37*E37)+H37</f>
        <v>#N/A</v>
      </c>
      <c r="J37" s="71" t="e">
        <f>IF($D37=0,0,(INDEX('Cost Sheet'!$V:$V,MATCH('Quotation - Door 4'!$D66,'Cost Sheet'!$C:$C,0))))</f>
        <v>#N/A</v>
      </c>
      <c r="K37" s="71">
        <f>+IF($D37=0,0,'Accessories Install - Labour'!$F$26)</f>
        <v>21.666666666666668</v>
      </c>
      <c r="L37" s="71" t="e">
        <f>(J37*F37)+K37</f>
        <v>#N/A</v>
      </c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</row>
    <row r="38" spans="1:24" ht="43.5" x14ac:dyDescent="0.35">
      <c r="A38" s="544"/>
      <c r="N38" s="119" t="s">
        <v>363</v>
      </c>
      <c r="O38" s="160" t="s">
        <v>321</v>
      </c>
      <c r="P38" s="160" t="s">
        <v>322</v>
      </c>
      <c r="Q38" s="160" t="s">
        <v>323</v>
      </c>
      <c r="R38" s="160" t="s">
        <v>324</v>
      </c>
      <c r="S38" s="160" t="s">
        <v>134</v>
      </c>
      <c r="T38" s="160" t="s">
        <v>325</v>
      </c>
      <c r="U38" s="160" t="s">
        <v>326</v>
      </c>
      <c r="V38" s="160" t="s">
        <v>327</v>
      </c>
      <c r="W38" s="160" t="s">
        <v>328</v>
      </c>
      <c r="X38" s="160" t="s">
        <v>329</v>
      </c>
    </row>
    <row r="39" spans="1:24" ht="31" x14ac:dyDescent="0.35">
      <c r="A39" s="544"/>
      <c r="N39" s="28" t="s">
        <v>344</v>
      </c>
      <c r="O39" s="71">
        <f>+'Cost Sheet'!$N$15</f>
        <v>3.8724791666666665</v>
      </c>
      <c r="P39" s="49" t="s">
        <v>364</v>
      </c>
      <c r="Q39" s="30">
        <f>SUM((($O$12*($D$7+(2*$O$12)))),($O$12*($D$6+(2*$O$12))))*2*$L$4</f>
        <v>1.8366586140500001</v>
      </c>
      <c r="R39" s="71">
        <f>+Q39*O39</f>
        <v>7.1124222191874988</v>
      </c>
      <c r="S39" s="71" cm="1">
        <f t="array" ref="S39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39" s="71">
        <f t="shared" ref="T39:T46" si="8">+R39+S39</f>
        <v>7.1124222191874988</v>
      </c>
      <c r="U39" s="71">
        <f>+IF($D$3="Freezer",'Cost Sheet'!$V$22,'Cost Sheet'!$V$21)</f>
        <v>11.36</v>
      </c>
      <c r="V39" s="71">
        <f>+U39*Q39</f>
        <v>20.864441855608</v>
      </c>
      <c r="W39" s="71" cm="1">
        <f t="array" ref="W39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39" s="71">
        <f t="shared" ref="X39:X46" si="9">+V39+W39</f>
        <v>20.864441855608</v>
      </c>
    </row>
    <row r="40" spans="1:24" ht="46.5" x14ac:dyDescent="0.35">
      <c r="A40" s="544"/>
      <c r="N40" s="28" t="s">
        <v>346</v>
      </c>
      <c r="O40" s="71">
        <f>+$O$39+'Cost Sheet'!$N$10</f>
        <v>5.4686827904802993</v>
      </c>
      <c r="P40" s="49" t="s">
        <v>365</v>
      </c>
      <c r="Q40" s="30">
        <f t="shared" ref="Q40:Q42" si="10">SUM((($O$12*($D$7+(2*$O$12)))),($O$12*($D$6+(2*$O$12))))*2*$L$4</f>
        <v>1.8366586140500001</v>
      </c>
      <c r="R40" s="71">
        <f>($O$15*$Q$15)+('Cost Sheet'!$N$10*2*$Q$19)</f>
        <v>27.635824670910267</v>
      </c>
      <c r="S40" s="71" cm="1">
        <f t="array" ref="S40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0" s="71">
        <f t="shared" si="8"/>
        <v>27.635824670910267</v>
      </c>
      <c r="U40" s="71">
        <f>+$U$15+'Cost Sheet'!$V$10</f>
        <v>12.956203623813632</v>
      </c>
      <c r="V40" s="71">
        <f>($U$15*$Q$15)+('Cost Sheet'!$P$10*2*$Q$19)</f>
        <v>27.635824670910267</v>
      </c>
      <c r="W40" s="71" cm="1">
        <f t="array" ref="W40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0" s="71">
        <f t="shared" si="9"/>
        <v>27.635824670910267</v>
      </c>
    </row>
    <row r="41" spans="1:24" ht="62" x14ac:dyDescent="0.35">
      <c r="A41" s="544"/>
      <c r="B41" s="226" t="s">
        <v>366</v>
      </c>
      <c r="D41" s="150" t="s">
        <v>82</v>
      </c>
      <c r="E41" s="160" t="s">
        <v>321</v>
      </c>
      <c r="F41" s="160" t="s">
        <v>334</v>
      </c>
      <c r="G41" s="160" t="s">
        <v>322</v>
      </c>
      <c r="H41" s="220" t="s">
        <v>335</v>
      </c>
      <c r="I41" s="160" t="s">
        <v>336</v>
      </c>
      <c r="J41" s="160" t="s">
        <v>337</v>
      </c>
      <c r="K41" s="220" t="s">
        <v>338</v>
      </c>
      <c r="L41" s="160" t="s">
        <v>339</v>
      </c>
      <c r="N41" s="28" t="s">
        <v>348</v>
      </c>
      <c r="O41" s="71">
        <f>+$O$39+'Cost Sheet'!$N$3</f>
        <v>5.0548364683716329</v>
      </c>
      <c r="P41" s="49" t="s">
        <v>367</v>
      </c>
      <c r="Q41" s="30">
        <f t="shared" si="10"/>
        <v>1.8366586140500001</v>
      </c>
      <c r="R41" s="71">
        <f>($O$15*$Q$15)+('Cost Sheet'!$N$3*2*$Q$19)</f>
        <v>26.115635846122682</v>
      </c>
      <c r="S41" s="71" cm="1">
        <f t="array" ref="S41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1" s="71">
        <f t="shared" si="8"/>
        <v>26.115635846122682</v>
      </c>
      <c r="U41" s="71">
        <f>+$U$15+'Cost Sheet'!$V$3</f>
        <v>12.542357301704966</v>
      </c>
      <c r="V41" s="71">
        <f>($U$15*$Q$15)+('Cost Sheet'!$P$3*2*$Q$19)</f>
        <v>26.115635846122682</v>
      </c>
      <c r="W41" s="71" cm="1">
        <f t="array" ref="W41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1" s="71">
        <f t="shared" si="9"/>
        <v>26.115635846122682</v>
      </c>
    </row>
    <row r="42" spans="1:24" ht="62" x14ac:dyDescent="0.35">
      <c r="A42" s="544"/>
      <c r="B42" s="227"/>
      <c r="C42" s="21" t="str">
        <f>'Door - Step 2'!C69</f>
        <v xml:space="preserve">Sliding Door Parts </v>
      </c>
      <c r="D42" s="121" t="str">
        <f>+IF($D$2="Polyfoam Overlap Doors - Swing door","","SS Tube")</f>
        <v>SS Tube</v>
      </c>
      <c r="E42" s="71">
        <f>IF($D42=0,0,(INDEX('Cost Sheet'!$N:$N,MATCH('Quotation - Door 4'!$D69,'Cost Sheet'!$C:$C,0))))</f>
        <v>12</v>
      </c>
      <c r="F42" s="19">
        <f>+IF(D6=0,0,((D6*2)+17))</f>
        <v>0</v>
      </c>
      <c r="G42" s="19" t="s">
        <v>133</v>
      </c>
      <c r="H42" s="71">
        <f>+IF($D$6=0,0,INDEX('Accessories Install - Labour'!$E:$E,MATCH($D42,'Accessories Install - Labour'!$C:$C,0)))</f>
        <v>0</v>
      </c>
      <c r="I42" s="71">
        <f>_xlfn.IFNA(IF(D42=0,0,(E42*F42*L2))+H42,0)</f>
        <v>0</v>
      </c>
      <c r="J42" s="71">
        <f>IF($D$6=0,0,(INDEX('Cost Sheet'!$V:$V,MATCH('Quotation - Door 4'!$D69,'Cost Sheet'!$C:$C,0))))</f>
        <v>0</v>
      </c>
      <c r="K42" s="71">
        <f>+IF($D$6=0,0,INDEX('Accessories Install - Labour'!$F:$F,MATCH($D42,'Accessories Install - Labour'!$C:$C,0)))</f>
        <v>0</v>
      </c>
      <c r="L42" s="71">
        <f>_xlfn.IFNA(IF(D42=0,0,(J42*F42*$L$2))+K42,0)</f>
        <v>0</v>
      </c>
      <c r="N42" s="28" t="s">
        <v>350</v>
      </c>
      <c r="O42" s="71">
        <f>+$O$39+'Cost Sheet'!$N$5</f>
        <v>4.989149951610246</v>
      </c>
      <c r="P42" s="49" t="s">
        <v>367</v>
      </c>
      <c r="Q42" s="30">
        <f t="shared" si="10"/>
        <v>1.8366586140500001</v>
      </c>
      <c r="R42" s="71">
        <f>($O$15*$Q$15)+('Cost Sheet'!$N$5*2*$Q$19)</f>
        <v>25.874348432449199</v>
      </c>
      <c r="S42" s="71" cm="1">
        <f t="array" ref="S42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2" s="71">
        <f t="shared" si="8"/>
        <v>25.874348432449199</v>
      </c>
      <c r="U42" s="71">
        <f>+$U$15+'Cost Sheet'!$V$5</f>
        <v>12.476670784943579</v>
      </c>
      <c r="V42" s="71">
        <f>($U$15*$Q$15)+('Cost Sheet'!$P$5*2*$Q$19)</f>
        <v>25.874348432449199</v>
      </c>
      <c r="W42" s="71" cm="1">
        <f t="array" ref="W42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2" s="71">
        <f t="shared" si="9"/>
        <v>25.874348432449199</v>
      </c>
    </row>
    <row r="43" spans="1:24" ht="46.5" x14ac:dyDescent="0.35">
      <c r="A43" s="544"/>
      <c r="B43" s="227"/>
      <c r="C43" s="21" t="str">
        <f>'Door - Step 2'!C70</f>
        <v xml:space="preserve">Sliding Door Parts </v>
      </c>
      <c r="D43" s="121" t="str">
        <f>'Quotation - Door 4'!D70</f>
        <v>Main Roller</v>
      </c>
      <c r="E43" s="71">
        <f>IF($D43=0,0,(INDEX('Cost Sheet'!$N:$N,MATCH('Quotation - Door 4'!$D70,'Cost Sheet'!$C:$C,0))))</f>
        <v>168</v>
      </c>
      <c r="F43" s="20"/>
      <c r="G43" s="19" t="s">
        <v>133</v>
      </c>
      <c r="H43" s="71">
        <f>+IF($D$6=0,0,INDEX('Accessories Install - Labour'!$E:$E,MATCH($D43,'Accessories Install - Labour'!$C:$C,0)))</f>
        <v>0</v>
      </c>
      <c r="I43" s="71">
        <f>_xlfn.IFNA(IF(D6=0,0,(E43+H43)),0)</f>
        <v>0</v>
      </c>
      <c r="J43" s="71">
        <f>IF($D$6=0,0,(INDEX('Cost Sheet'!$V:$V,MATCH('Quotation - Door 4'!$D70,'Cost Sheet'!$C:$C,0))))</f>
        <v>0</v>
      </c>
      <c r="K43" s="71">
        <f>+IF($D$6=0,0,INDEX('Accessories Install - Labour'!$F:$F,MATCH($D43,'Accessories Install - Labour'!$C:$C,0)))</f>
        <v>0</v>
      </c>
      <c r="L43" s="71">
        <f>_xlfn.IFNA(IF(D43=0,0,(J43+K43)),0)</f>
        <v>0</v>
      </c>
      <c r="N43" s="28" t="s">
        <v>351</v>
      </c>
      <c r="O43" s="71">
        <f>+'Cost Sheet'!$N$27+'Cost Sheet'!$N$10</f>
        <v>2.7368286238136323</v>
      </c>
      <c r="P43" s="49" t="s">
        <v>352</v>
      </c>
      <c r="Q43" s="30">
        <f>SUM((($O$12*($D$7+(2*$O$12)))),($O$12*($D$6+(2*$O$12))))*2*$L$4</f>
        <v>1.8366586140500001</v>
      </c>
      <c r="R43" s="71">
        <f>+O43*Q43*2</f>
        <v>10.05323973421183</v>
      </c>
      <c r="S43" s="71" cm="1">
        <f t="array" ref="S43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3" s="71">
        <f t="shared" si="8"/>
        <v>10.05323973421183</v>
      </c>
      <c r="U43" s="71">
        <f>+'Cost Sheet'!$V$27+'Cost Sheet'!$V$10</f>
        <v>2.7368286238136323</v>
      </c>
      <c r="V43" s="71">
        <f>+Q43*U43*2</f>
        <v>10.05323973421183</v>
      </c>
      <c r="W43" s="71" cm="1">
        <f t="array" ref="W43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3" s="71">
        <f t="shared" si="9"/>
        <v>10.05323973421183</v>
      </c>
    </row>
    <row r="44" spans="1:24" ht="46.5" x14ac:dyDescent="0.35">
      <c r="A44" s="544"/>
      <c r="B44" s="227"/>
      <c r="C44" s="21" t="str">
        <f>'Door - Step 2'!C71</f>
        <v xml:space="preserve">Sliding Door Parts </v>
      </c>
      <c r="D44" s="121" t="str">
        <f>'Quotation - Door 4'!D71</f>
        <v>Bottom Stay Roller</v>
      </c>
      <c r="E44" s="71">
        <f>IF($D44=0,0,(INDEX('Cost Sheet'!$N:$N,MATCH('Quotation - Door 4'!$D71,'Cost Sheet'!$C:$C,0))))</f>
        <v>27</v>
      </c>
      <c r="F44" s="20"/>
      <c r="G44" s="19" t="s">
        <v>133</v>
      </c>
      <c r="H44" s="71">
        <f>+IF($D$6=0,0,INDEX('Accessories Install - Labour'!$E:$E,MATCH($D44,'Accessories Install - Labour'!$C:$C,0)))</f>
        <v>0</v>
      </c>
      <c r="I44" s="71">
        <f>_xlfn.IFNA(IF(D6=0,0,(E44+H44)),0)</f>
        <v>0</v>
      </c>
      <c r="J44" s="71">
        <f>IF($D$6=0,0,(INDEX('Cost Sheet'!$V:$V,MATCH('Quotation - Door 4'!$D71,'Cost Sheet'!$C:$C,0))))</f>
        <v>0</v>
      </c>
      <c r="K44" s="71">
        <f>+IF($D$6=0,0,INDEX('Accessories Install - Labour'!$F:$F,MATCH($D44,'Accessories Install - Labour'!$C:$C,0)))</f>
        <v>0</v>
      </c>
      <c r="L44" s="71">
        <f>_xlfn.IFNA(IF(D44=0,0,(J44+K44)),0)</f>
        <v>0</v>
      </c>
      <c r="N44" s="28" t="s">
        <v>353</v>
      </c>
      <c r="O44" s="71">
        <f>+'Cost Sheet'!$N$27+'Cost Sheet'!$N$3</f>
        <v>2.3229823017049664</v>
      </c>
      <c r="P44" s="49" t="s">
        <v>352</v>
      </c>
      <c r="Q44" s="30">
        <f>SUM((($O$12*($D$7+(2*$O$12)))),($O$12*($D$6+(2*$O$12))))*2*$L$4</f>
        <v>1.8366586140500001</v>
      </c>
      <c r="R44" s="71">
        <f>+O44*Q44*2</f>
        <v>8.5330509094242455</v>
      </c>
      <c r="S44" s="71" cm="1">
        <f t="array" ref="S44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4" s="71">
        <f t="shared" si="8"/>
        <v>8.5330509094242455</v>
      </c>
      <c r="U44" s="71">
        <f>+'Cost Sheet'!$V$27+'Cost Sheet'!$V$3</f>
        <v>2.3229823017049664</v>
      </c>
      <c r="V44" s="71">
        <f>+Q44*U44*2</f>
        <v>8.5330509094242455</v>
      </c>
      <c r="W44" s="71" cm="1">
        <f t="array" ref="W44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4" s="71">
        <f t="shared" si="9"/>
        <v>8.5330509094242455</v>
      </c>
    </row>
    <row r="45" spans="1:24" ht="46.5" x14ac:dyDescent="0.35">
      <c r="A45" s="544"/>
      <c r="B45" s="227"/>
      <c r="C45" s="21" t="str">
        <f>'Door - Step 2'!C72</f>
        <v xml:space="preserve">Sliding Door Parts </v>
      </c>
      <c r="D45" s="121" t="str">
        <f>'Quotation - Door 4'!D72</f>
        <v>Aluminum Frame bracket</v>
      </c>
      <c r="E45" s="71">
        <f>IF($D45=0,0,(INDEX('Cost Sheet'!$N:$N,MATCH('Quotation - Door 4'!$D72,'Cost Sheet'!$C:$C,0))))</f>
        <v>19.93</v>
      </c>
      <c r="F45" s="19">
        <f>ROUNDUP(($F$42/30),0)</f>
        <v>0</v>
      </c>
      <c r="G45" s="19" t="s">
        <v>133</v>
      </c>
      <c r="H45" s="71">
        <f>+IF($D$6=0,0,INDEX('Accessories Install - Labour'!$E:$E,MATCH($D45,'Accessories Install - Labour'!$C:$C,0)))</f>
        <v>0</v>
      </c>
      <c r="I45" s="71">
        <f>_xlfn.IFNA(IF(D6=0,0,((E45*$F$45)+H45)),0)</f>
        <v>0</v>
      </c>
      <c r="J45" s="71">
        <f>IF($D$6=0,0,(INDEX('Cost Sheet'!$V:$V,MATCH('Quotation - Door 4'!$D72,'Cost Sheet'!$C:$C,0))))</f>
        <v>0</v>
      </c>
      <c r="K45" s="71">
        <f>+IF($D$6=0,0,INDEX('Accessories Install - Labour'!$F:$F,MATCH($D45,'Accessories Install - Labour'!$C:$C,0)))</f>
        <v>0</v>
      </c>
      <c r="L45" s="71">
        <f>_xlfn.IFNA(IF(D45=0,0,((J45*F45)+K45)),0)</f>
        <v>0</v>
      </c>
      <c r="N45" s="28" t="s">
        <v>355</v>
      </c>
      <c r="O45" s="71">
        <f>+'Cost Sheet'!$N$27+'Cost Sheet'!$N$5</f>
        <v>2.2572957849435795</v>
      </c>
      <c r="P45" s="49" t="s">
        <v>352</v>
      </c>
      <c r="Q45" s="30">
        <f>SUM((($O$12*($D$7+(2*$O$12)))),($O$12*($D$6+(2*$O$12))))*2*$L$4</f>
        <v>1.8366586140500001</v>
      </c>
      <c r="R45" s="71">
        <f>+O45*Q45*2</f>
        <v>8.2917634957507644</v>
      </c>
      <c r="S45" s="71" cm="1">
        <f t="array" ref="S45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5" s="71">
        <f t="shared" si="8"/>
        <v>8.2917634957507644</v>
      </c>
      <c r="U45" s="71">
        <f>+'Cost Sheet'!$V$27+'Cost Sheet'!$V$5</f>
        <v>2.2572957849435795</v>
      </c>
      <c r="V45" s="71">
        <f>+Q45*U45*2</f>
        <v>8.2917634957507644</v>
      </c>
      <c r="W45" s="71" cm="1">
        <f t="array" ref="W45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5" s="71">
        <f t="shared" si="9"/>
        <v>8.2917634957507644</v>
      </c>
    </row>
    <row r="46" spans="1:24" ht="31" x14ac:dyDescent="0.35">
      <c r="A46" s="207"/>
      <c r="B46" s="227"/>
      <c r="C46" s="21" t="str">
        <f>'Door - Step 2'!C73</f>
        <v xml:space="preserve">Sliding Door Parts </v>
      </c>
      <c r="D46" s="121" t="b">
        <f>'Quotation - Door 4'!D73</f>
        <v>0</v>
      </c>
      <c r="E46" s="71">
        <f>_xlfn.IFNA(IF($D46=0,0,(INDEX('Cost Sheet'!$N:$N,MATCH('Quotation - Door 4'!$D73,'Cost Sheet'!$C:$C,0)))),0)</f>
        <v>0</v>
      </c>
      <c r="F46" s="20"/>
      <c r="G46" s="19" t="s">
        <v>133</v>
      </c>
      <c r="H46" s="71" t="e">
        <f>+IF($D46=0,0,INDEX('Accessories Install - Labour'!$E:$E,MATCH($D46,'Accessories Install - Labour'!$C:$C,0)))</f>
        <v>#N/A</v>
      </c>
      <c r="I46" s="71">
        <f>_xlfn.IFNA(IF(D46=0,0,(E46+H46)),0)</f>
        <v>0</v>
      </c>
      <c r="J46" s="71" t="e">
        <f>IF($D46=0,0,(INDEX('Cost Sheet'!$V:$V,MATCH('Quotation - Door 4'!$D73,'Cost Sheet'!$C:$C,0))))</f>
        <v>#N/A</v>
      </c>
      <c r="K46" s="71" t="e">
        <f>+IF($D46=0,0,INDEX('Accessories Install - Labour'!$F:$F,MATCH($D46,'Accessories Install - Labour'!$C:$C,0)))</f>
        <v>#N/A</v>
      </c>
      <c r="L46" s="71">
        <f>_xlfn.IFNA(IF(D46=0,0,(J46+K46)),0)</f>
        <v>0</v>
      </c>
      <c r="N46" s="28" t="s">
        <v>356</v>
      </c>
      <c r="O46" s="71">
        <f>+'Cost Sheet'!$N$24+'Cost Sheet'!$N$10</f>
        <v>6.0253702904802982</v>
      </c>
      <c r="P46" s="49" t="s">
        <v>347</v>
      </c>
      <c r="Q46" s="30">
        <f>((($D$6*2)+(($D$7+($O$12*2))*2))*'Calculation Sheet - BOM '!$L$2)</f>
        <v>1.91659</v>
      </c>
      <c r="R46" s="71">
        <f>('Cost Sheet'!$N$24*$Q46)+('Cost Sheet'!$N$10*$Q$21)</f>
        <v>11.420577677121798</v>
      </c>
      <c r="S46" s="71" cm="1">
        <f t="array" ref="S46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6" s="71">
        <f t="shared" si="8"/>
        <v>11.420577677121798</v>
      </c>
      <c r="U46" s="71">
        <f>+'Cost Sheet'!$V$24+'Cost Sheet'!$V$10</f>
        <v>6.0253702904802982</v>
      </c>
      <c r="V46" s="71">
        <f>('Cost Sheet'!$P$24*$Q46)+('Cost Sheet'!$P$10*$Q$21)</f>
        <v>11.420577677121798</v>
      </c>
      <c r="W46" s="71" cm="1">
        <f t="array" ref="W46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6" s="71">
        <f t="shared" si="9"/>
        <v>11.420577677121798</v>
      </c>
    </row>
    <row r="47" spans="1:24" ht="46.5" x14ac:dyDescent="0.35">
      <c r="A47" s="207"/>
      <c r="B47" s="227"/>
      <c r="C47" s="21" t="str">
        <f>'Door - Step 2'!C74</f>
        <v xml:space="preserve">Sliding Door Parts </v>
      </c>
      <c r="D47" s="121" t="b">
        <f>'Quotation - Door 4'!D74</f>
        <v>0</v>
      </c>
      <c r="E47" s="71">
        <f>_xlfn.IFNA(IF($D47=0,0,(INDEX('Cost Sheet'!$N:$N,MATCH('Quotation - Door 4'!$D74,'Cost Sheet'!$C:$C,0)))),0)</f>
        <v>0</v>
      </c>
      <c r="F47" s="20"/>
      <c r="G47" s="19" t="s">
        <v>133</v>
      </c>
      <c r="H47" s="71" t="e">
        <f>+IF($D47=0,0,INDEX('Accessories Install - Labour'!$E:$E,MATCH($D47,'Accessories Install - Labour'!$C:$C,0)))</f>
        <v>#N/A</v>
      </c>
      <c r="I47" s="71">
        <f t="shared" ref="I47:I53" si="11">_xlfn.IFNA(IF(D47=0,0,(E47+H47)),0)</f>
        <v>0</v>
      </c>
      <c r="J47" s="71" t="e">
        <f>IF($D47=0,0,(INDEX('Cost Sheet'!$V:$V,MATCH('Quotation - Door 4'!$D74,'Cost Sheet'!$C:$C,0))))</f>
        <v>#N/A</v>
      </c>
      <c r="K47" s="71" t="e">
        <f>+IF($D47=0,0,INDEX('Accessories Install - Labour'!$F:$F,MATCH($D47,'Accessories Install - Labour'!$C:$C,0)))</f>
        <v>#N/A</v>
      </c>
      <c r="L47" s="71">
        <f t="shared" ref="L47:L53" si="12">_xlfn.IFNA(IF(G47=0,0,(H47+K47)),0)</f>
        <v>0</v>
      </c>
      <c r="N47" s="28" t="s">
        <v>55</v>
      </c>
      <c r="O47" s="71">
        <f>+'Cost Sheet'!$N$24+'Cost Sheet'!$N$3</f>
        <v>5.6115239683716327</v>
      </c>
      <c r="P47" s="49" t="s">
        <v>349</v>
      </c>
      <c r="Q47" s="30">
        <f>((($D$6*2)+(($D$7+($O$12*2))*2))*'Calculation Sheet - BOM '!$L$2)</f>
        <v>1.91659</v>
      </c>
      <c r="R47" s="71">
        <f>('Cost Sheet'!$N$24*$Q47)+('Cost Sheet'!$N$3*$Q$21)</f>
        <v>10.660483264728008</v>
      </c>
      <c r="S47" s="71" cm="1">
        <f t="array" ref="S47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7" s="71">
        <f>+R47+S47</f>
        <v>10.660483264728008</v>
      </c>
      <c r="U47" s="71">
        <f>+'Cost Sheet'!$V$24+'Cost Sheet'!$V$3</f>
        <v>5.6115239683716327</v>
      </c>
      <c r="V47" s="71">
        <f>('Cost Sheet'!$P$24*$Q47)+('Cost Sheet'!$P$3*$Q$21)</f>
        <v>10.660483264728008</v>
      </c>
      <c r="W47" s="71" cm="1">
        <f t="array" ref="W47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7" s="71">
        <f>+V47+W47</f>
        <v>10.660483264728008</v>
      </c>
    </row>
    <row r="48" spans="1:24" ht="46.5" x14ac:dyDescent="0.35">
      <c r="B48" s="227"/>
      <c r="C48" s="21" t="str">
        <f>'Door - Step 2'!C75</f>
        <v>Sliding Door Parts</v>
      </c>
      <c r="D48" s="121" t="b">
        <f>'Quotation - Door 4'!D75</f>
        <v>0</v>
      </c>
      <c r="E48" s="71">
        <f>_xlfn.IFNA(IF($D48=0,0,(INDEX('Cost Sheet'!$N:$N,MATCH('Quotation - Door 4'!$D75,'Cost Sheet'!$C:$C,0)))),0)</f>
        <v>0</v>
      </c>
      <c r="F48" s="20"/>
      <c r="G48" s="19" t="s">
        <v>133</v>
      </c>
      <c r="H48" s="71" t="e">
        <f>+IF($D48=0,0,INDEX('Accessories Install - Labour'!$E:$E,MATCH($D48,'Accessories Install - Labour'!$C:$C,0)))</f>
        <v>#N/A</v>
      </c>
      <c r="I48" s="71">
        <f t="shared" si="11"/>
        <v>0</v>
      </c>
      <c r="J48" s="71" t="e">
        <f>IF($D48=0,0,(INDEX('Cost Sheet'!$V:$V,MATCH('Quotation - Door 4'!$D75,'Cost Sheet'!$C:$C,0))))</f>
        <v>#N/A</v>
      </c>
      <c r="K48" s="71" t="e">
        <f>+IF($D48=0,0,INDEX('Accessories Install - Labour'!$F:$F,MATCH($D48,'Accessories Install - Labour'!$C:$C,0)))</f>
        <v>#N/A</v>
      </c>
      <c r="L48" s="71">
        <f t="shared" si="12"/>
        <v>0</v>
      </c>
      <c r="N48" s="28" t="s">
        <v>357</v>
      </c>
      <c r="O48" s="71">
        <f>+'Cost Sheet'!$N$24+'Cost Sheet'!$N$5</f>
        <v>5.5458374516102458</v>
      </c>
      <c r="P48" s="49" t="s">
        <v>349</v>
      </c>
      <c r="Q48" s="30">
        <f>((($D$6*2)+(($D$7+($O$12*2))*2))*'Calculation Sheet - BOM '!$L$2)</f>
        <v>1.91659</v>
      </c>
      <c r="R48" s="71">
        <f>('Cost Sheet'!$N$24*$Q48)+('Cost Sheet'!$N$5*$Q$21)</f>
        <v>10.539839557891266</v>
      </c>
      <c r="S48" s="71" cm="1">
        <f t="array" ref="S48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8" s="71">
        <f>+R48+S48</f>
        <v>10.539839557891266</v>
      </c>
      <c r="U48" s="71">
        <f>+'Cost Sheet'!$V$24+'Cost Sheet'!$V$5</f>
        <v>5.5458374516102458</v>
      </c>
      <c r="V48" s="71">
        <f>('Cost Sheet'!$P$24*$Q48)+('Cost Sheet'!$P$5*$Q$21)</f>
        <v>10.539839557891266</v>
      </c>
      <c r="W48" s="71" cm="1">
        <f t="array" ref="W48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8" s="71">
        <f>+V48+W48</f>
        <v>10.539839557891266</v>
      </c>
    </row>
    <row r="49" spans="1:16" x14ac:dyDescent="0.35">
      <c r="B49" s="227"/>
      <c r="C49" s="21" t="str">
        <f>'Door - Step 2'!C76</f>
        <v>Sliding Door Parts</v>
      </c>
      <c r="D49" s="121" t="b">
        <f>'Quotation - Door 4'!D76</f>
        <v>0</v>
      </c>
      <c r="E49" s="71">
        <f>_xlfn.IFNA(IF($D49=0,0,(INDEX('Cost Sheet'!$N:$N,MATCH('Quotation - Door 4'!$D76,'Cost Sheet'!$C:$C,0)))),0)</f>
        <v>0</v>
      </c>
      <c r="F49" s="20"/>
      <c r="G49" s="19" t="s">
        <v>133</v>
      </c>
      <c r="H49" s="71" t="e">
        <f>+IF($D49=0,0,INDEX('Accessories Install - Labour'!$E:$E,MATCH($D49,'Accessories Install - Labour'!$C:$C,0)))</f>
        <v>#N/A</v>
      </c>
      <c r="I49" s="71">
        <f t="shared" si="11"/>
        <v>0</v>
      </c>
      <c r="J49" s="71" t="e">
        <f>IF($D49=0,0,(INDEX('Cost Sheet'!$V:$V,MATCH('Quotation - Door 4'!$D76,'Cost Sheet'!$C:$C,0))))</f>
        <v>#N/A</v>
      </c>
      <c r="K49" s="71" t="e">
        <f>+IF($D49=0,0,INDEX('Accessories Install - Labour'!$F:$F,MATCH($D49,'Accessories Install - Labour'!$C:$C,0)))</f>
        <v>#N/A</v>
      </c>
      <c r="L49" s="71">
        <f t="shared" si="12"/>
        <v>0</v>
      </c>
      <c r="N49" s="4"/>
      <c r="P49" s="4"/>
    </row>
    <row r="50" spans="1:16" x14ac:dyDescent="0.35">
      <c r="B50" s="227"/>
      <c r="C50" s="21" t="str">
        <f>'Door - Step 2'!C77</f>
        <v>Sliding Door Parts</v>
      </c>
      <c r="D50" s="121">
        <f>'Quotation - Door 4'!D77</f>
        <v>0</v>
      </c>
      <c r="E50" s="71">
        <f>_xlfn.IFNA(IF($D50=0,0,(INDEX('Cost Sheet'!$N:$N,MATCH('Quotation - Door 4'!$D77,'Cost Sheet'!$C:$C,0)))),0)</f>
        <v>0</v>
      </c>
      <c r="F50" s="20"/>
      <c r="G50" s="19" t="s">
        <v>133</v>
      </c>
      <c r="H50" s="71">
        <f>+IF($D50=0,0,INDEX('Accessories Install - Labour'!$E:$E,MATCH($D50,'Accessories Install - Labour'!$C:$C,0)))</f>
        <v>0</v>
      </c>
      <c r="I50" s="71">
        <f t="shared" si="11"/>
        <v>0</v>
      </c>
      <c r="J50" s="71">
        <f>IF($D50=0,0,(INDEX('Cost Sheet'!$V:$V,MATCH('Quotation - Door 4'!$D77,'Cost Sheet'!$C:$C,0))))</f>
        <v>0</v>
      </c>
      <c r="K50" s="71">
        <f>+IF($D50=0,0,INDEX('Accessories Install - Labour'!$F:$F,MATCH($D50,'Accessories Install - Labour'!$C:$C,0)))</f>
        <v>0</v>
      </c>
      <c r="L50" s="71">
        <f t="shared" si="12"/>
        <v>0</v>
      </c>
      <c r="N50" s="4"/>
      <c r="P50" s="4"/>
    </row>
    <row r="51" spans="1:16" x14ac:dyDescent="0.35">
      <c r="B51" s="228"/>
      <c r="C51" s="21" t="str">
        <f>'Door - Step 2'!C78</f>
        <v>Sliding Door Parts</v>
      </c>
      <c r="D51" s="121">
        <f>'Quotation - Door 4'!D78</f>
        <v>0</v>
      </c>
      <c r="E51" s="71">
        <f>_xlfn.IFNA(IF($D51=0,0,(INDEX('Cost Sheet'!$N:$N,MATCH('Quotation - Door 4'!$D78,'Cost Sheet'!$C:$C,0)))),0)</f>
        <v>0</v>
      </c>
      <c r="F51" s="20"/>
      <c r="G51" s="19" t="s">
        <v>133</v>
      </c>
      <c r="H51" s="71">
        <f>+IF($D51=0,0,INDEX('Accessories Install - Labour'!$E:$E,MATCH($D51,'Accessories Install - Labour'!$C:$C,0)))</f>
        <v>0</v>
      </c>
      <c r="I51" s="71">
        <f t="shared" si="11"/>
        <v>0</v>
      </c>
      <c r="J51" s="71">
        <f>IF($D51=0,0,(INDEX('Cost Sheet'!$V:$V,MATCH('Quotation - Door 4'!$D78,'Cost Sheet'!$C:$C,0))))</f>
        <v>0</v>
      </c>
      <c r="K51" s="71">
        <f>+IF($D51=0,0,INDEX('Accessories Install - Labour'!$F:$F,MATCH($D51,'Accessories Install - Labour'!$C:$C,0)))</f>
        <v>0</v>
      </c>
      <c r="L51" s="71">
        <f t="shared" si="12"/>
        <v>0</v>
      </c>
      <c r="N51" s="4"/>
      <c r="P51" s="4"/>
    </row>
    <row r="52" spans="1:16" x14ac:dyDescent="0.35">
      <c r="B52" s="225"/>
      <c r="C52" s="21" t="str">
        <f>'Door - Step 2'!C79</f>
        <v>Sliding Door Parts</v>
      </c>
      <c r="D52" s="121">
        <f>'Quotation - Door 4'!D79</f>
        <v>0</v>
      </c>
      <c r="E52" s="71">
        <f>_xlfn.IFNA(IF($D52=0,0,(INDEX('Cost Sheet'!$N:$N,MATCH('Quotation - Door 4'!$D79,'Cost Sheet'!$C:$C,0)))),0)</f>
        <v>0</v>
      </c>
      <c r="F52" s="20"/>
      <c r="G52" s="19" t="s">
        <v>133</v>
      </c>
      <c r="H52" s="71">
        <f>+IF($D52=0,0,INDEX('Accessories Install - Labour'!$E:$E,MATCH($D52,'Accessories Install - Labour'!$C:$C,0)))</f>
        <v>0</v>
      </c>
      <c r="I52" s="71">
        <f t="shared" si="11"/>
        <v>0</v>
      </c>
      <c r="J52" s="71">
        <f>IF($D52=0,0,(INDEX('Cost Sheet'!$V:$V,MATCH('Quotation - Door 4'!$D79,'Cost Sheet'!$C:$C,0))))</f>
        <v>0</v>
      </c>
      <c r="K52" s="71">
        <f>+IF($D52=0,0,INDEX('Accessories Install - Labour'!$F:$F,MATCH($D52,'Accessories Install - Labour'!$C:$C,0)))</f>
        <v>0</v>
      </c>
      <c r="L52" s="71">
        <f t="shared" si="12"/>
        <v>0</v>
      </c>
      <c r="N52" s="4"/>
      <c r="P52" s="4"/>
    </row>
    <row r="53" spans="1:16" x14ac:dyDescent="0.35">
      <c r="B53" s="225"/>
      <c r="C53" s="21" t="str">
        <f>'Door - Step 2'!C80</f>
        <v>Sliding Door Parts</v>
      </c>
      <c r="D53" s="121">
        <f>'Quotation - Door 4'!D80</f>
        <v>0</v>
      </c>
      <c r="E53" s="71">
        <f>_xlfn.IFNA(IF($D53=0,0,(INDEX('Cost Sheet'!$N:$N,MATCH('Quotation - Door 2'!$D80,'Cost Sheet'!$C:$C,0)))),0)</f>
        <v>0</v>
      </c>
      <c r="F53" s="20"/>
      <c r="G53" s="19" t="s">
        <v>133</v>
      </c>
      <c r="H53" s="71">
        <f>+IF($D53=0,0,INDEX('Accessories Install - Labour'!$E:$E,MATCH($D53,'Accessories Install - Labour'!$C:$C,0)))</f>
        <v>0</v>
      </c>
      <c r="I53" s="71">
        <f t="shared" si="11"/>
        <v>0</v>
      </c>
      <c r="J53" s="71">
        <f>IF($D53=0,0,(INDEX('Cost Sheet'!$V:$V,MATCH('Quotation - Door 4'!$D80,'Cost Sheet'!$C:$C,0))))</f>
        <v>0</v>
      </c>
      <c r="K53" s="71">
        <f>+IF($D53=0,0,INDEX('Accessories Install - Labour'!$F:$F,MATCH($D53,'Accessories Install - Labour'!$C:$C,0)))</f>
        <v>0</v>
      </c>
      <c r="L53" s="71">
        <f t="shared" si="12"/>
        <v>0</v>
      </c>
      <c r="N53" s="4"/>
      <c r="P53" s="4"/>
    </row>
    <row r="54" spans="1:16" x14ac:dyDescent="0.35">
      <c r="D54" s="4"/>
      <c r="H54" s="4"/>
      <c r="K54" s="4"/>
      <c r="L54" s="4"/>
      <c r="N54" s="4"/>
      <c r="P54" s="4"/>
    </row>
    <row r="55" spans="1:16" x14ac:dyDescent="0.35">
      <c r="D55" s="4"/>
      <c r="H55" s="4"/>
      <c r="K55" s="4"/>
      <c r="L55" s="4"/>
      <c r="N55" s="4"/>
      <c r="P55" s="4"/>
    </row>
    <row r="56" spans="1:16" x14ac:dyDescent="0.35">
      <c r="D56" s="4"/>
      <c r="H56" s="4"/>
      <c r="K56" s="4"/>
      <c r="L56" s="4"/>
      <c r="N56" s="4"/>
      <c r="P56" s="4"/>
    </row>
    <row r="57" spans="1:16" ht="43.5" x14ac:dyDescent="0.35">
      <c r="D57" s="150" t="s">
        <v>82</v>
      </c>
      <c r="E57" s="160" t="s">
        <v>321</v>
      </c>
      <c r="F57" s="160" t="s">
        <v>334</v>
      </c>
      <c r="G57" s="160" t="s">
        <v>322</v>
      </c>
      <c r="H57" s="220" t="s">
        <v>335</v>
      </c>
      <c r="I57" s="160" t="s">
        <v>336</v>
      </c>
      <c r="J57" s="160" t="s">
        <v>337</v>
      </c>
      <c r="K57" s="220" t="s">
        <v>338</v>
      </c>
      <c r="L57" s="160" t="s">
        <v>339</v>
      </c>
      <c r="N57" s="4"/>
      <c r="P57" s="4"/>
    </row>
    <row r="58" spans="1:16" ht="31" x14ac:dyDescent="0.35">
      <c r="A58" s="215" t="str">
        <f>'Door - Step 2'!A82</f>
        <v xml:space="preserve">ADDITIONAL OPTIONS  &amp; ADD ON - PARTS </v>
      </c>
      <c r="B58" s="216"/>
      <c r="C58" s="27" t="str">
        <f>'Door - Step 2'!C82</f>
        <v xml:space="preserve">Category </v>
      </c>
      <c r="D58" s="27">
        <f>'Quotation - Door 2'!D82</f>
        <v>0</v>
      </c>
      <c r="E58" s="20"/>
      <c r="F58" s="20"/>
      <c r="G58" s="20"/>
      <c r="H58" s="71"/>
      <c r="I58" s="20"/>
      <c r="J58" s="20"/>
      <c r="K58" s="71"/>
      <c r="L58" s="19"/>
      <c r="N58" s="4"/>
      <c r="P58" s="4"/>
    </row>
    <row r="59" spans="1:16" x14ac:dyDescent="0.35">
      <c r="A59" s="217"/>
      <c r="B59" s="218"/>
      <c r="C59" s="21" t="str">
        <f>'Door - Step 2'!C83</f>
        <v>Hinge</v>
      </c>
      <c r="D59" s="121" t="str">
        <f>'Quotation - Door 4'!D83</f>
        <v>Not Required</v>
      </c>
      <c r="E59" s="71" t="e">
        <f>IF($D59=0,0,(INDEX('Cost Sheet'!$N:$N,MATCH('Quotation - Door 4'!$D83,'Cost Sheet'!$C:$C,0))))</f>
        <v>#N/A</v>
      </c>
      <c r="F59" s="20"/>
      <c r="G59" s="19" t="s">
        <v>133</v>
      </c>
      <c r="H59" s="71">
        <f>+'Accessories Install - Labour'!$E$17</f>
        <v>21.666666666666668</v>
      </c>
      <c r="I59" s="71" t="e">
        <f>+E59+H59</f>
        <v>#N/A</v>
      </c>
      <c r="J59" s="71" t="e">
        <f>IF($D59=0,0,(INDEX('Cost Sheet'!$V:$V,MATCH('Quotation - Door 4'!$D83,'Cost Sheet'!$C:$C,0))))</f>
        <v>#N/A</v>
      </c>
      <c r="K59" s="71">
        <f>+'Accessories Install - Labour'!$F$15</f>
        <v>13</v>
      </c>
      <c r="L59" s="71" t="e">
        <f t="shared" ref="L59:L70" si="13">+J59+K59</f>
        <v>#N/A</v>
      </c>
      <c r="N59" s="4"/>
      <c r="P59" s="4"/>
    </row>
    <row r="60" spans="1:16" x14ac:dyDescent="0.35">
      <c r="A60" s="217"/>
      <c r="B60" s="218"/>
      <c r="C60" s="168" t="str">
        <f>'Door - Step 2'!C84</f>
        <v>Additional Hinge 1</v>
      </c>
      <c r="D60" s="121">
        <f>'Quotation - Door 4'!D84</f>
        <v>0</v>
      </c>
      <c r="E60" s="71">
        <f>IF($D60=0,0,(INDEX('Cost Sheet'!$N:$N,MATCH('Quotation - Door 4'!$D84,'Cost Sheet'!$C:$C,0))))</f>
        <v>0</v>
      </c>
      <c r="F60" s="20"/>
      <c r="G60" s="19" t="s">
        <v>133</v>
      </c>
      <c r="H60" s="71">
        <f>+'Accessories Install - Labour'!$E$17</f>
        <v>21.666666666666668</v>
      </c>
      <c r="I60" s="71">
        <f t="shared" ref="I60:I70" si="14">+E60+H60</f>
        <v>21.666666666666668</v>
      </c>
      <c r="J60" s="71">
        <f>IF($D60=0,0,(INDEX('Cost Sheet'!$V:$V,MATCH('Quotation - Door 4'!$D84,'Cost Sheet'!$C:$C,0))))</f>
        <v>0</v>
      </c>
      <c r="K60" s="71">
        <f>+'Accessories Install - Labour'!$F$15</f>
        <v>13</v>
      </c>
      <c r="L60" s="71">
        <f t="shared" si="13"/>
        <v>13</v>
      </c>
      <c r="N60" s="4"/>
      <c r="P60" s="4"/>
    </row>
    <row r="61" spans="1:16" x14ac:dyDescent="0.35">
      <c r="A61" s="217"/>
      <c r="B61" s="218"/>
      <c r="C61" s="168" t="str">
        <f>'Door - Step 2'!C85</f>
        <v>Additional Hinge 2</v>
      </c>
      <c r="D61" s="121">
        <f>'Quotation - Door 4'!D85</f>
        <v>0</v>
      </c>
      <c r="E61" s="71">
        <f>IF($D61=0,0,(INDEX('Cost Sheet'!$N:$N,MATCH('Quotation - Door 4'!$D85,'Cost Sheet'!$C:$C,0))))</f>
        <v>0</v>
      </c>
      <c r="F61" s="20"/>
      <c r="G61" s="19" t="s">
        <v>133</v>
      </c>
      <c r="H61" s="71">
        <f>+'Accessories Install - Labour'!$E$17</f>
        <v>21.666666666666668</v>
      </c>
      <c r="I61" s="71">
        <f t="shared" si="14"/>
        <v>21.666666666666668</v>
      </c>
      <c r="J61" s="71">
        <f>IF($D61=0,0,(INDEX('Cost Sheet'!$V:$V,MATCH('Quotation - Door 4'!$D85,'Cost Sheet'!$C:$C,0))))</f>
        <v>0</v>
      </c>
      <c r="K61" s="71">
        <f>+'Accessories Install - Labour'!$F$15</f>
        <v>13</v>
      </c>
      <c r="L61" s="71">
        <f t="shared" si="13"/>
        <v>13</v>
      </c>
      <c r="N61" s="4"/>
      <c r="P61" s="4"/>
    </row>
    <row r="62" spans="1:16" x14ac:dyDescent="0.35">
      <c r="A62" s="217"/>
      <c r="B62" s="218"/>
      <c r="C62" s="168" t="str">
        <f>'Door - Step 2'!C86</f>
        <v>Additional Hinge 3</v>
      </c>
      <c r="D62" s="121">
        <f>'Quotation - Door 4'!D86</f>
        <v>0</v>
      </c>
      <c r="E62" s="71">
        <f>IF($D62=0,0,(INDEX('Cost Sheet'!$N:$N,MATCH('Quotation - Door 4'!$D86,'Cost Sheet'!$C:$C,0))))</f>
        <v>0</v>
      </c>
      <c r="F62" s="20"/>
      <c r="G62" s="19" t="s">
        <v>133</v>
      </c>
      <c r="H62" s="71">
        <f>+'Accessories Install - Labour'!$E$17</f>
        <v>21.666666666666668</v>
      </c>
      <c r="I62" s="71">
        <f t="shared" si="14"/>
        <v>21.666666666666668</v>
      </c>
      <c r="J62" s="71">
        <f>IF($D62=0,0,(INDEX('Cost Sheet'!$V:$V,MATCH('Quotation - Door 4'!$D86,'Cost Sheet'!$C:$C,0))))</f>
        <v>0</v>
      </c>
      <c r="K62" s="71">
        <f>+'Accessories Install - Labour'!$F$15</f>
        <v>13</v>
      </c>
      <c r="L62" s="71">
        <f t="shared" si="13"/>
        <v>13</v>
      </c>
      <c r="N62" s="4"/>
      <c r="P62" s="4"/>
    </row>
    <row r="63" spans="1:16" x14ac:dyDescent="0.35">
      <c r="A63" s="217"/>
      <c r="B63" s="218"/>
      <c r="C63" s="21" t="str">
        <f>'Door - Step 2'!C87</f>
        <v>Latch</v>
      </c>
      <c r="D63" s="121" t="str">
        <f>'Quotation - Door 4'!D87</f>
        <v>Not Required</v>
      </c>
      <c r="E63" s="71" t="e">
        <f>IF($D63=0,0,(INDEX('Cost Sheet'!$N:$N,MATCH('Quotation - Door 4'!$D87,'Cost Sheet'!$C:$C,0))))</f>
        <v>#N/A</v>
      </c>
      <c r="F63" s="20"/>
      <c r="G63" s="19" t="s">
        <v>133</v>
      </c>
      <c r="H63" s="71">
        <f>+'Accessories Install - Labour'!$E$17</f>
        <v>21.666666666666668</v>
      </c>
      <c r="I63" s="71" t="e">
        <f t="shared" si="14"/>
        <v>#N/A</v>
      </c>
      <c r="J63" s="71" t="e">
        <f>IF($D63=0,0,(INDEX('Cost Sheet'!$V:$V,MATCH('Quotation - Door 4'!$D87,'Cost Sheet'!$C:$C,0))))</f>
        <v>#N/A</v>
      </c>
      <c r="K63" s="71">
        <f>+'Accessories Install - Labour'!$F$17</f>
        <v>21.666666666666668</v>
      </c>
      <c r="L63" s="71" t="e">
        <f t="shared" si="13"/>
        <v>#N/A</v>
      </c>
      <c r="N63" s="4"/>
      <c r="P63" s="4"/>
    </row>
    <row r="64" spans="1:16" x14ac:dyDescent="0.35">
      <c r="A64" s="217"/>
      <c r="B64" s="218"/>
      <c r="C64" s="168" t="str">
        <f>'Door - Step 2'!C88</f>
        <v>Additional Latch 1</v>
      </c>
      <c r="D64" s="121">
        <f>'Quotation - Door 4'!D88</f>
        <v>0</v>
      </c>
      <c r="E64" s="71">
        <f>IF($D64=0,0,(INDEX('Cost Sheet'!$N:$N,MATCH('Quotation - Door 4'!$D88,'Cost Sheet'!$C:$C,0))))</f>
        <v>0</v>
      </c>
      <c r="F64" s="20"/>
      <c r="G64" s="19" t="s">
        <v>133</v>
      </c>
      <c r="H64" s="71">
        <f>+'Accessories Install - Labour'!$E$17</f>
        <v>21.666666666666668</v>
      </c>
      <c r="I64" s="71">
        <f t="shared" si="14"/>
        <v>21.666666666666668</v>
      </c>
      <c r="J64" s="71">
        <f>IF($D64=0,0,(INDEX('Cost Sheet'!$V:$V,MATCH('Quotation - Door 4'!$D88,'Cost Sheet'!$C:$C,0))))</f>
        <v>0</v>
      </c>
      <c r="K64" s="71">
        <f>+'Accessories Install - Labour'!$F$17</f>
        <v>21.666666666666668</v>
      </c>
      <c r="L64" s="71">
        <f t="shared" si="13"/>
        <v>21.666666666666668</v>
      </c>
      <c r="N64" s="4"/>
      <c r="P64" s="4"/>
    </row>
    <row r="65" spans="1:17" x14ac:dyDescent="0.35">
      <c r="A65" s="217"/>
      <c r="B65" s="218"/>
      <c r="C65" s="168" t="str">
        <f>'Door - Step 2'!C89</f>
        <v>Additional Latch 2</v>
      </c>
      <c r="D65" s="121">
        <f>'Quotation - Door 4'!D89</f>
        <v>0</v>
      </c>
      <c r="E65" s="71">
        <f>IF($D65=0,0,(INDEX('Cost Sheet'!$N:$N,MATCH('Quotation - Door 4'!$D89,'Cost Sheet'!$C:$C,0))))</f>
        <v>0</v>
      </c>
      <c r="F65" s="20"/>
      <c r="G65" s="19" t="s">
        <v>133</v>
      </c>
      <c r="H65" s="71">
        <f>+'Accessories Install - Labour'!$E$17</f>
        <v>21.666666666666668</v>
      </c>
      <c r="I65" s="71">
        <f t="shared" si="14"/>
        <v>21.666666666666668</v>
      </c>
      <c r="J65" s="71">
        <f>IF($D65=0,0,(INDEX('Cost Sheet'!$V:$V,MATCH('Quotation - Door 4'!$D89,'Cost Sheet'!$C:$C,0))))</f>
        <v>0</v>
      </c>
      <c r="K65" s="71">
        <f>+'Accessories Install - Labour'!$F$17</f>
        <v>21.666666666666668</v>
      </c>
      <c r="L65" s="71">
        <f t="shared" si="13"/>
        <v>21.666666666666668</v>
      </c>
      <c r="N65" s="4"/>
      <c r="P65" s="4"/>
    </row>
    <row r="66" spans="1:17" x14ac:dyDescent="0.35">
      <c r="A66" s="217"/>
      <c r="B66" s="218"/>
      <c r="C66" s="21" t="str">
        <f>'Door - Step 2'!C90</f>
        <v xml:space="preserve">Interior Release </v>
      </c>
      <c r="D66" s="121">
        <f>'Quotation - Door 4'!D90</f>
        <v>0</v>
      </c>
      <c r="E66" s="71">
        <f>IF($D66=0,0,(INDEX('Cost Sheet'!$N:$N,MATCH('Quotation - Door 4'!$D90,'Cost Sheet'!$C:$C,0))))</f>
        <v>0</v>
      </c>
      <c r="F66" s="20"/>
      <c r="G66" s="19" t="s">
        <v>133</v>
      </c>
      <c r="H66" s="71">
        <f>+IF($D66=0,0,INDEX('Accessories Install - Labour'!$E:$E,MATCH($D66,'Accessories Install - Labour'!$C:$C,0)))</f>
        <v>0</v>
      </c>
      <c r="I66" s="71">
        <f t="shared" si="14"/>
        <v>0</v>
      </c>
      <c r="J66" s="71">
        <f>IF($D66=0,0,(INDEX('Cost Sheet'!$S:$S,MATCH('Quotation - Door 2'!$D90,'Cost Sheet'!$C:$C,0))))</f>
        <v>0</v>
      </c>
      <c r="K66" s="71">
        <f>+IF($D66=0,0,INDEX('Accessories Install - Labour'!$F:$F,MATCH($D66,'Accessories Install - Labour'!$C:$C,0)))</f>
        <v>0</v>
      </c>
      <c r="L66" s="71">
        <f t="shared" si="13"/>
        <v>0</v>
      </c>
      <c r="N66" s="4"/>
      <c r="P66" s="4"/>
    </row>
    <row r="67" spans="1:17" x14ac:dyDescent="0.35">
      <c r="A67" s="217"/>
      <c r="B67" s="218"/>
      <c r="C67" s="21" t="str">
        <f>'Door - Step 2'!C91</f>
        <v>Hook</v>
      </c>
      <c r="D67" s="121">
        <f>'Quotation - Door 4'!D91</f>
        <v>0</v>
      </c>
      <c r="E67" s="71">
        <f>IF($D67=0,0,(INDEX('Cost Sheet'!$N:$N,MATCH('Quotation - Door 4'!$D91,'Cost Sheet'!$C:$C,0))))</f>
        <v>0</v>
      </c>
      <c r="F67" s="20"/>
      <c r="G67" s="19" t="s">
        <v>133</v>
      </c>
      <c r="H67" s="71">
        <f>+IF($D67=0,0,INDEX('Accessories Install - Labour'!$E:$E,MATCH($D67,'Accessories Install - Labour'!$C:$C,0)))</f>
        <v>0</v>
      </c>
      <c r="I67" s="71">
        <f t="shared" si="14"/>
        <v>0</v>
      </c>
      <c r="J67" s="71">
        <f>IF($D67=0,0,(INDEX('Cost Sheet'!$S:$S,MATCH('Quotation - Door 2'!$D91,'Cost Sheet'!$C:$C,0))))</f>
        <v>0</v>
      </c>
      <c r="K67" s="71">
        <f>+IF($D67=0,0,INDEX('Accessories Install - Labour'!$F:$F,MATCH($D67,'Accessories Install - Labour'!$C:$C,0)))</f>
        <v>0</v>
      </c>
      <c r="L67" s="71">
        <f t="shared" si="13"/>
        <v>0</v>
      </c>
      <c r="N67" s="4"/>
      <c r="P67" s="4"/>
    </row>
    <row r="68" spans="1:17" x14ac:dyDescent="0.35">
      <c r="A68" s="217"/>
      <c r="B68" s="218"/>
      <c r="C68" s="21" t="str">
        <f>'Door - Step 2'!C92</f>
        <v xml:space="preserve">Door Closer </v>
      </c>
      <c r="D68" s="121" t="str">
        <f>'Quotation - Door 4'!D92</f>
        <v>Not Required</v>
      </c>
      <c r="E68" s="71" t="e">
        <f>IF($D68=0,0,(INDEX('Cost Sheet'!$N:$N,MATCH('Quotation - Door 4'!$D92,'Cost Sheet'!$C:$C,0))))</f>
        <v>#N/A</v>
      </c>
      <c r="F68" s="20"/>
      <c r="G68" s="19" t="s">
        <v>133</v>
      </c>
      <c r="H68" s="71" t="e">
        <f>+IF($D68=0,0,INDEX('Accessories Install - Labour'!$E:$E,MATCH($D68,'Accessories Install - Labour'!$C:$C,0)))</f>
        <v>#N/A</v>
      </c>
      <c r="I68" s="71" t="e">
        <f t="shared" si="14"/>
        <v>#N/A</v>
      </c>
      <c r="J68" s="71">
        <f>IF($D68=0,0,(INDEX('Cost Sheet'!$S:$S,MATCH('Quotation - Door 2'!$D92,'Cost Sheet'!$C:$C,0))))</f>
        <v>24</v>
      </c>
      <c r="K68" s="71" t="e">
        <f>+IF($D68=0,0,INDEX('Accessories Install - Labour'!$F:$F,MATCH($D68,'Accessories Install - Labour'!$C:$C,0)))</f>
        <v>#N/A</v>
      </c>
      <c r="L68" s="71" t="e">
        <f t="shared" si="13"/>
        <v>#N/A</v>
      </c>
      <c r="N68" s="4"/>
      <c r="P68" s="4"/>
    </row>
    <row r="69" spans="1:17" x14ac:dyDescent="0.35">
      <c r="A69" s="217"/>
      <c r="B69" s="218"/>
      <c r="C69" s="21" t="str">
        <f>'Door - Step 2'!C93</f>
        <v>Strike</v>
      </c>
      <c r="D69" s="121">
        <f>'Quotation - Door 4'!D93</f>
        <v>0</v>
      </c>
      <c r="E69" s="71">
        <f>IF($D69=0,0,(INDEX('Cost Sheet'!$N:$N,MATCH('Quotation - Door 4'!$D93,'Cost Sheet'!$C:$C,0))))</f>
        <v>0</v>
      </c>
      <c r="F69" s="20"/>
      <c r="G69" s="19" t="s">
        <v>133</v>
      </c>
      <c r="H69" s="71">
        <f>+IF($D69=0,0,INDEX('Accessories Install - Labour'!$E:$E,MATCH($D69,'Accessories Install - Labour'!$C:$C,0)))</f>
        <v>0</v>
      </c>
      <c r="I69" s="71">
        <f t="shared" si="14"/>
        <v>0</v>
      </c>
      <c r="J69" s="71">
        <f>IF($D69=0,0,(INDEX('Cost Sheet'!$S:$S,MATCH('Quotation - Door 2'!$D93,'Cost Sheet'!$C:$C,0))))</f>
        <v>0</v>
      </c>
      <c r="K69" s="71">
        <f>+IF($D69=0,0,INDEX('Accessories Install - Labour'!$F:$F,MATCH($D69,'Accessories Install - Labour'!$C:$C,0)))</f>
        <v>0</v>
      </c>
      <c r="L69" s="71">
        <f t="shared" si="13"/>
        <v>0</v>
      </c>
      <c r="N69" s="4"/>
      <c r="P69" s="4"/>
    </row>
    <row r="70" spans="1:17" x14ac:dyDescent="0.35">
      <c r="A70" s="217"/>
      <c r="B70" s="218"/>
      <c r="C70" s="21" t="str">
        <f>'Door - Step 2'!C95</f>
        <v xml:space="preserve">Wind Chains </v>
      </c>
      <c r="D70" s="121">
        <f>'Quotation - Door 4'!D95</f>
        <v>0</v>
      </c>
      <c r="E70" s="71">
        <f>IF($D70=0,0,(INDEX('Cost Sheet'!$N:$N,MATCH('Quotation - Door 4'!$D95,'Cost Sheet'!$C:$C,0))))</f>
        <v>0</v>
      </c>
      <c r="F70" s="20"/>
      <c r="G70" s="19" t="s">
        <v>133</v>
      </c>
      <c r="H70" s="71">
        <f>+IF($D70=0,0,INDEX('Accessories Install - Labour'!$E:$E,MATCH($D70,'Accessories Install - Labour'!$C:$C,0)))</f>
        <v>0</v>
      </c>
      <c r="I70" s="71">
        <f t="shared" si="14"/>
        <v>0</v>
      </c>
      <c r="J70" s="71">
        <f>IF($D70=0,0,(INDEX('Cost Sheet'!$S:$S,MATCH('Quotation - Door 2'!$D95,'Cost Sheet'!$C:$C,0))))</f>
        <v>0</v>
      </c>
      <c r="K70" s="71">
        <f>+IF($D70=0,0,INDEX('Accessories Install - Labour'!$F:$F,MATCH($D70,'Accessories Install - Labour'!$C:$C,0)))</f>
        <v>0</v>
      </c>
      <c r="L70" s="71">
        <f t="shared" si="13"/>
        <v>0</v>
      </c>
      <c r="N70" s="4"/>
      <c r="P70" s="4"/>
    </row>
    <row r="71" spans="1:17" x14ac:dyDescent="0.35">
      <c r="A71" s="217"/>
      <c r="B71" s="218"/>
      <c r="C71" s="147" t="str">
        <f>'Door - Step 2'!C106</f>
        <v>Heat Trace - Location &amp; Ft. req.</v>
      </c>
      <c r="D71" s="121">
        <f>'Quotation - Door 4'!D105</f>
        <v>0</v>
      </c>
      <c r="E71" s="71">
        <f>+AVERAGE('Cost Sheet'!$N$102:$N$112)</f>
        <v>0.17090909090909087</v>
      </c>
      <c r="F71" s="20"/>
      <c r="G71" s="19" t="s">
        <v>133</v>
      </c>
      <c r="H71" s="71">
        <f>+IF($D71=0,0,((D71*'Accessories Install - Labour'!$E$43)))</f>
        <v>0</v>
      </c>
      <c r="I71" s="71">
        <f>+(E71*D71)+H71</f>
        <v>0</v>
      </c>
      <c r="J71" s="71">
        <f>+AVERAGE('Cost Sheet'!$V$102:$V$112)</f>
        <v>0.17090909090909087</v>
      </c>
      <c r="K71" s="71">
        <f>+IF($D71=0,0,((D71*'Accessories Install - Labour'!$F$43)))</f>
        <v>0</v>
      </c>
      <c r="L71" s="71">
        <f>_xlfn.IFNA(IF(D71=0,0,((J71*D71)+K71)),0)</f>
        <v>0</v>
      </c>
      <c r="N71" s="4"/>
      <c r="P71" s="4"/>
    </row>
    <row r="72" spans="1:17" x14ac:dyDescent="0.35">
      <c r="A72" s="217"/>
      <c r="B72" s="218"/>
      <c r="C72" s="21" t="str">
        <f>'Door - Step 2'!C107</f>
        <v>Electrical Wire - Ft. required</v>
      </c>
      <c r="D72" s="121">
        <f>'Quotation - Door 4'!D106</f>
        <v>0</v>
      </c>
      <c r="E72" s="71">
        <f>+AVERAGE('Cost Sheet'!$M$131:$M$132)/L6</f>
        <v>0.72237597688396882</v>
      </c>
      <c r="F72" s="20"/>
      <c r="G72" s="19" t="s">
        <v>133</v>
      </c>
      <c r="H72" s="71">
        <f>+IF($D72=0,0,((D72*'Accessories Install - Labour'!$E$46)))</f>
        <v>0</v>
      </c>
      <c r="I72" s="71">
        <f>(E72*D72)+H72</f>
        <v>0</v>
      </c>
      <c r="J72" s="71">
        <f>+AVERAGE('Cost Sheet'!$V$131:$V$132)/L6</f>
        <v>0.72237597688396882</v>
      </c>
      <c r="K72" s="71">
        <f>+IF($D72=0,0,((D72*'Accessories Install - Labour'!$F$46)))</f>
        <v>0</v>
      </c>
      <c r="L72" s="71">
        <f>_xlfn.IFNA(IF(D72=0,0,((J72*D72)+K72)),0)</f>
        <v>0</v>
      </c>
      <c r="O72" s="3"/>
      <c r="P72" s="105"/>
      <c r="Q72" s="3"/>
    </row>
    <row r="73" spans="1:17" ht="21" x14ac:dyDescent="0.35">
      <c r="I73" s="224" t="e">
        <f>SUM(I13:I72)*$D$10</f>
        <v>#N/A</v>
      </c>
      <c r="L73" s="224" t="e">
        <f>SUM(L13:L72)*D10</f>
        <v>#N/A</v>
      </c>
      <c r="O73" s="3"/>
      <c r="P73" s="105"/>
      <c r="Q73" s="3"/>
    </row>
    <row r="74" spans="1:17" x14ac:dyDescent="0.35">
      <c r="D74" s="4"/>
      <c r="H74" s="4"/>
      <c r="K74" s="4"/>
      <c r="L74" s="4"/>
      <c r="O74" s="3"/>
      <c r="P74" s="105"/>
      <c r="Q74" s="3"/>
    </row>
    <row r="75" spans="1:17" x14ac:dyDescent="0.35">
      <c r="D75" s="4"/>
      <c r="H75" s="4"/>
      <c r="K75" s="4"/>
      <c r="L75" s="4"/>
      <c r="O75" s="3"/>
      <c r="P75" s="105"/>
      <c r="Q75" s="3"/>
    </row>
  </sheetData>
  <mergeCells count="18">
    <mergeCell ref="E18:E20"/>
    <mergeCell ref="F18:F20"/>
    <mergeCell ref="G18:G20"/>
    <mergeCell ref="H18:H20"/>
    <mergeCell ref="I18:I20"/>
    <mergeCell ref="K1:L1"/>
    <mergeCell ref="A2:B10"/>
    <mergeCell ref="O2:R2"/>
    <mergeCell ref="K3:L3"/>
    <mergeCell ref="E11:I11"/>
    <mergeCell ref="J11:L11"/>
    <mergeCell ref="AB26:AE26"/>
    <mergeCell ref="AB15:AG15"/>
    <mergeCell ref="AB16:AE16"/>
    <mergeCell ref="AF16:AG16"/>
    <mergeCell ref="J18:J20"/>
    <mergeCell ref="K18:K20"/>
    <mergeCell ref="L18:L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834E51-CDA3-45B5-B993-1B011771964E}">
          <x14:formula1>
            <xm:f>Controller!$A$13:$A$21</xm:f>
          </x14:formula1>
          <xm:sqref>D2:D10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545BE-021F-47F2-85A7-B3D6C8ADAA88}">
  <sheetPr codeName="Sheet25">
    <tabColor rgb="FFFF0000"/>
  </sheetPr>
  <dimension ref="A1:AG75"/>
  <sheetViews>
    <sheetView topLeftCell="J1" zoomScale="55" zoomScaleNormal="55" workbookViewId="0">
      <selection activeCell="H220" sqref="H220"/>
    </sheetView>
  </sheetViews>
  <sheetFormatPr defaultColWidth="8.58203125" defaultRowHeight="15.5" x14ac:dyDescent="0.35"/>
  <cols>
    <col min="1" max="2" width="19.83203125" style="4" customWidth="1"/>
    <col min="3" max="3" width="33.25" style="4" bestFit="1" customWidth="1"/>
    <col min="4" max="4" width="45.58203125" style="3" bestFit="1" customWidth="1"/>
    <col min="5" max="5" width="24" style="4" bestFit="1" customWidth="1"/>
    <col min="6" max="6" width="22.83203125" style="4" bestFit="1" customWidth="1"/>
    <col min="7" max="7" width="27.08203125" style="4" bestFit="1" customWidth="1"/>
    <col min="8" max="8" width="17.5" style="188" bestFit="1" customWidth="1"/>
    <col min="9" max="9" width="24.25" style="4" bestFit="1" customWidth="1"/>
    <col min="10" max="10" width="18.83203125" style="4" bestFit="1" customWidth="1"/>
    <col min="11" max="11" width="17.5" style="188" bestFit="1" customWidth="1"/>
    <col min="12" max="12" width="24" style="3" bestFit="1" customWidth="1"/>
    <col min="13" max="13" width="19.08203125" style="3" customWidth="1"/>
    <col min="14" max="14" width="27.08203125" style="16" customWidth="1"/>
    <col min="15" max="15" width="24" style="4" bestFit="1" customWidth="1"/>
    <col min="16" max="16" width="20.58203125" style="15" customWidth="1"/>
    <col min="17" max="17" width="15.75" style="4" customWidth="1"/>
    <col min="18" max="18" width="15.5" style="4" bestFit="1" customWidth="1"/>
    <col min="19" max="19" width="16.33203125" style="4" customWidth="1"/>
    <col min="20" max="20" width="17.58203125" style="4" customWidth="1"/>
    <col min="21" max="21" width="21" style="4" bestFit="1" customWidth="1"/>
    <col min="22" max="22" width="14.25" style="4" bestFit="1" customWidth="1"/>
    <col min="23" max="23" width="21.5" style="4" bestFit="1" customWidth="1"/>
    <col min="24" max="24" width="10.83203125" style="4" bestFit="1" customWidth="1"/>
    <col min="25" max="25" width="16.25" style="4" bestFit="1" customWidth="1"/>
    <col min="26" max="27" width="8.58203125" style="4"/>
    <col min="28" max="33" width="17.58203125" style="4" customWidth="1"/>
    <col min="34" max="16384" width="8.58203125" style="4"/>
  </cols>
  <sheetData>
    <row r="1" spans="1:33" x14ac:dyDescent="0.35">
      <c r="K1" s="934" t="s">
        <v>278</v>
      </c>
      <c r="L1" s="934"/>
      <c r="M1" s="19" t="s">
        <v>279</v>
      </c>
      <c r="N1" s="28" t="s">
        <v>280</v>
      </c>
    </row>
    <row r="2" spans="1:33" x14ac:dyDescent="0.35">
      <c r="A2" s="908" t="str">
        <f>'Door - Step 2'!A30</f>
        <v>DOOR TYPE DETAILS</v>
      </c>
      <c r="B2" s="942"/>
      <c r="C2" s="31" t="str">
        <f>'Door - Step 2'!C30</f>
        <v>Door Type</v>
      </c>
      <c r="D2" s="46">
        <f>'Quotation - Door 4'!$D30</f>
        <v>0</v>
      </c>
      <c r="K2" s="71" t="s">
        <v>281</v>
      </c>
      <c r="L2" s="19">
        <v>8.3330000000000001E-2</v>
      </c>
      <c r="M2" s="175"/>
      <c r="N2" s="173">
        <f>+M2*L2</f>
        <v>0</v>
      </c>
      <c r="O2" s="752" t="s">
        <v>282</v>
      </c>
      <c r="P2" s="931"/>
      <c r="Q2" s="931"/>
      <c r="R2" s="931"/>
      <c r="U2" s="162" t="s">
        <v>283</v>
      </c>
      <c r="W2" s="162" t="s">
        <v>284</v>
      </c>
      <c r="Y2" s="162" t="s">
        <v>285</v>
      </c>
      <c r="AB2" s="162" t="s">
        <v>286</v>
      </c>
    </row>
    <row r="3" spans="1:33" x14ac:dyDescent="0.35">
      <c r="A3" s="909"/>
      <c r="B3" s="943"/>
      <c r="C3" s="31" t="str">
        <f>'Door - Step 2'!C31</f>
        <v xml:space="preserve">Cooler / Freezer </v>
      </c>
      <c r="D3" s="46">
        <f>'Quotation - Door 4'!$D31</f>
        <v>0</v>
      </c>
      <c r="K3" s="935"/>
      <c r="L3" s="936"/>
      <c r="M3" s="19" t="s">
        <v>290</v>
      </c>
      <c r="N3" s="28" t="s">
        <v>291</v>
      </c>
      <c r="O3" s="151" t="s">
        <v>292</v>
      </c>
      <c r="P3" s="19">
        <v>2.5</v>
      </c>
      <c r="Q3" s="15"/>
      <c r="U3" s="4" t="s">
        <v>293</v>
      </c>
      <c r="W3" s="4" t="s">
        <v>294</v>
      </c>
      <c r="Y3" s="4" t="s">
        <v>295</v>
      </c>
      <c r="Z3" s="194">
        <f>18*'Calculation Sheet - BOM '!$L$2</f>
        <v>1.4999400000000001</v>
      </c>
      <c r="AB3" s="4" t="s">
        <v>57</v>
      </c>
    </row>
    <row r="4" spans="1:33" x14ac:dyDescent="0.35">
      <c r="A4" s="909"/>
      <c r="B4" s="943"/>
      <c r="C4" s="31" t="str">
        <f>'Door - Step 2'!C32</f>
        <v>Frame Structure</v>
      </c>
      <c r="D4" s="46">
        <f>'Quotation - Door 4'!$D32</f>
        <v>0</v>
      </c>
      <c r="K4" s="71" t="s">
        <v>299</v>
      </c>
      <c r="L4" s="19">
        <f>+L2*L2</f>
        <v>6.9438889000000004E-3</v>
      </c>
      <c r="M4" s="175"/>
      <c r="N4" s="174">
        <f>+L4*M4</f>
        <v>0</v>
      </c>
      <c r="O4" s="151" t="s">
        <v>300</v>
      </c>
      <c r="P4" s="71">
        <v>2.65</v>
      </c>
      <c r="Q4" s="15"/>
      <c r="U4" s="4" t="s">
        <v>301</v>
      </c>
      <c r="W4" s="4" t="s">
        <v>302</v>
      </c>
      <c r="Y4" s="4" t="s">
        <v>303</v>
      </c>
      <c r="Z4" s="194">
        <f>24*'Calculation Sheet - BOM '!$L$2</f>
        <v>1.9999199999999999</v>
      </c>
      <c r="AB4" s="4" t="s">
        <v>79</v>
      </c>
    </row>
    <row r="5" spans="1:33" x14ac:dyDescent="0.35">
      <c r="A5" s="909"/>
      <c r="B5" s="943"/>
      <c r="C5" s="31" t="str">
        <f>'Door - Step 2'!C33</f>
        <v>Motorized/Manual</v>
      </c>
      <c r="D5" s="46">
        <f>'Quotation - Door 4'!$D33</f>
        <v>0</v>
      </c>
      <c r="M5" s="3" t="s">
        <v>307</v>
      </c>
      <c r="N5" s="16" t="s">
        <v>280</v>
      </c>
      <c r="O5" s="46" t="s">
        <v>308</v>
      </c>
      <c r="P5" s="71">
        <f>+P4*'Cost Sheet'!Z1</f>
        <v>3.8424999999999998</v>
      </c>
      <c r="Q5" s="15"/>
      <c r="W5" s="4" t="s">
        <v>309</v>
      </c>
      <c r="Y5" s="4" t="s">
        <v>310</v>
      </c>
      <c r="Z5" s="194">
        <f>36*'Calculation Sheet - BOM '!$L$2</f>
        <v>2.9998800000000001</v>
      </c>
    </row>
    <row r="6" spans="1:33" ht="31" x14ac:dyDescent="0.35">
      <c r="A6" s="909"/>
      <c r="B6" s="943"/>
      <c r="C6" s="46" t="str">
        <f>'Door - Step 2'!C34</f>
        <v>Width (Inches)</v>
      </c>
      <c r="D6" s="46">
        <f>'Quotation - Door 4'!$D34</f>
        <v>0</v>
      </c>
      <c r="K6" s="188" t="s">
        <v>311</v>
      </c>
      <c r="L6" s="3">
        <v>3.28084</v>
      </c>
      <c r="M6" s="3">
        <v>1</v>
      </c>
      <c r="N6" s="16">
        <f>+L6*M6</f>
        <v>3.28084</v>
      </c>
      <c r="O6" s="118" t="s">
        <v>312</v>
      </c>
      <c r="P6" s="118" t="s">
        <v>313</v>
      </c>
      <c r="Q6" s="118" t="s">
        <v>314</v>
      </c>
      <c r="R6" s="118" t="s">
        <v>315</v>
      </c>
      <c r="S6" s="118" t="s">
        <v>316</v>
      </c>
      <c r="T6" s="118" t="s">
        <v>317</v>
      </c>
      <c r="W6" s="4" t="s">
        <v>93</v>
      </c>
      <c r="Y6" s="4" t="s">
        <v>318</v>
      </c>
      <c r="Z6" s="194">
        <f>48*'Calculation Sheet - BOM '!$L$2</f>
        <v>3.9998399999999998</v>
      </c>
    </row>
    <row r="7" spans="1:33" x14ac:dyDescent="0.35">
      <c r="A7" s="909"/>
      <c r="B7" s="943"/>
      <c r="C7" s="46" t="str">
        <f>'Door - Step 2'!C35</f>
        <v>Height (inches)</v>
      </c>
      <c r="D7" s="46">
        <f>'Quotation - Door 4'!$D35</f>
        <v>0</v>
      </c>
      <c r="O7" s="30">
        <v>0.60499999999999998</v>
      </c>
      <c r="P7" s="19">
        <v>3</v>
      </c>
      <c r="Q7" s="124">
        <f>O7*$P$5</f>
        <v>2.3247125</v>
      </c>
      <c r="R7" s="163">
        <f>+Q7/144</f>
        <v>1.6143836805555555E-2</v>
      </c>
      <c r="S7" s="164">
        <v>0</v>
      </c>
      <c r="T7" s="163">
        <f>+R7/(1-S7)</f>
        <v>1.6143836805555555E-2</v>
      </c>
      <c r="W7" s="4" t="s">
        <v>319</v>
      </c>
    </row>
    <row r="8" spans="1:33" x14ac:dyDescent="0.35">
      <c r="A8" s="909"/>
      <c r="B8" s="943"/>
      <c r="C8" s="46" t="str">
        <f>'Door - Step 2'!C36</f>
        <v>Depth (Inches)</v>
      </c>
      <c r="D8" s="46">
        <f>'Quotation - Door 4'!$D36</f>
        <v>0</v>
      </c>
      <c r="O8" s="30">
        <v>0.81</v>
      </c>
      <c r="P8" s="19">
        <v>4</v>
      </c>
      <c r="Q8" s="124">
        <f>O8*$P$5</f>
        <v>3.112425</v>
      </c>
      <c r="R8" s="163">
        <f>+Q8/144</f>
        <v>2.16140625E-2</v>
      </c>
      <c r="S8" s="164">
        <v>0</v>
      </c>
      <c r="T8" s="163">
        <f t="shared" ref="T8:T11" si="0">+R8/(1-S8)</f>
        <v>2.16140625E-2</v>
      </c>
      <c r="Y8" s="162" t="s">
        <v>330</v>
      </c>
    </row>
    <row r="9" spans="1:33" x14ac:dyDescent="0.35">
      <c r="A9" s="909"/>
      <c r="B9" s="943"/>
      <c r="C9" s="21" t="s">
        <v>67</v>
      </c>
      <c r="D9" s="46">
        <f>'Quotation - Door 4'!$D37</f>
        <v>0</v>
      </c>
      <c r="O9" s="30">
        <v>1.0062500000000001</v>
      </c>
      <c r="P9" s="19">
        <v>5</v>
      </c>
      <c r="Q9" s="124">
        <f>O9*$P$5</f>
        <v>3.8665156250000003</v>
      </c>
      <c r="R9" s="163">
        <f>+Q9/144</f>
        <v>2.6850802951388891E-2</v>
      </c>
      <c r="S9" s="164">
        <v>0</v>
      </c>
      <c r="T9" s="163">
        <f t="shared" si="0"/>
        <v>2.6850802951388891E-2</v>
      </c>
      <c r="W9" s="162" t="s">
        <v>197</v>
      </c>
      <c r="Y9" s="4" t="s">
        <v>86</v>
      </c>
    </row>
    <row r="10" spans="1:33" x14ac:dyDescent="0.35">
      <c r="A10" s="909"/>
      <c r="B10" s="943"/>
      <c r="C10" s="78" t="str">
        <f>'Door - Step 2'!C38</f>
        <v>QUANTITY (COUNT)</v>
      </c>
      <c r="D10" s="46">
        <f>'Quotation - Door 4'!$D38</f>
        <v>0</v>
      </c>
      <c r="O10" s="30">
        <v>1.2075</v>
      </c>
      <c r="P10" s="19">
        <v>6</v>
      </c>
      <c r="Q10" s="124">
        <f>O10*$P$5</f>
        <v>4.6398187499999999</v>
      </c>
      <c r="R10" s="163">
        <f>+Q10/144</f>
        <v>3.2220963541666668E-2</v>
      </c>
      <c r="S10" s="164">
        <v>0</v>
      </c>
      <c r="T10" s="163">
        <f t="shared" si="0"/>
        <v>3.2220963541666668E-2</v>
      </c>
      <c r="W10" s="4" t="s">
        <v>85</v>
      </c>
      <c r="Y10" s="4" t="s">
        <v>53</v>
      </c>
    </row>
    <row r="11" spans="1:33" ht="31" x14ac:dyDescent="0.35">
      <c r="D11" s="105"/>
      <c r="E11" s="931" t="s">
        <v>332</v>
      </c>
      <c r="F11" s="931"/>
      <c r="G11" s="931"/>
      <c r="H11" s="931"/>
      <c r="I11" s="931"/>
      <c r="J11" s="931" t="s">
        <v>265</v>
      </c>
      <c r="K11" s="931"/>
      <c r="L11" s="931"/>
      <c r="N11" s="169" t="s">
        <v>333</v>
      </c>
      <c r="O11" s="30">
        <f>+P11*O7/P7</f>
        <v>0.30249999999999999</v>
      </c>
      <c r="P11" s="170">
        <v>1.5</v>
      </c>
      <c r="Q11" s="124">
        <f>O11*$P$5</f>
        <v>1.16235625</v>
      </c>
      <c r="R11" s="163">
        <f>+Q11/144</f>
        <v>8.0719184027777773E-3</v>
      </c>
      <c r="S11" s="164">
        <v>0</v>
      </c>
      <c r="T11" s="163">
        <f t="shared" si="0"/>
        <v>8.0719184027777773E-3</v>
      </c>
      <c r="W11" s="4" t="s">
        <v>48</v>
      </c>
    </row>
    <row r="12" spans="1:33" ht="43.5" x14ac:dyDescent="0.35">
      <c r="A12" s="543" t="str">
        <f>'Door - Step 2'!A41</f>
        <v>DOOR AND OPTIONS SPECS</v>
      </c>
      <c r="B12" s="77" t="str">
        <f>'Door - Step 2'!B41</f>
        <v>Feature</v>
      </c>
      <c r="C12" s="77" t="str">
        <f>'Door - Step 2'!C41</f>
        <v>Door Panel and Frame</v>
      </c>
      <c r="D12" s="150">
        <f>'Quotation - Door 4'!D41</f>
        <v>0</v>
      </c>
      <c r="E12" s="160" t="s">
        <v>321</v>
      </c>
      <c r="F12" s="160" t="s">
        <v>334</v>
      </c>
      <c r="G12" s="160" t="s">
        <v>322</v>
      </c>
      <c r="H12" s="220" t="s">
        <v>335</v>
      </c>
      <c r="I12" s="160" t="s">
        <v>336</v>
      </c>
      <c r="J12" s="160" t="s">
        <v>337</v>
      </c>
      <c r="K12" s="220" t="s">
        <v>338</v>
      </c>
      <c r="L12" s="160" t="s">
        <v>339</v>
      </c>
      <c r="N12" s="172" t="s">
        <v>340</v>
      </c>
      <c r="O12" s="3">
        <v>5.75</v>
      </c>
      <c r="W12" s="4" t="s">
        <v>486</v>
      </c>
    </row>
    <row r="13" spans="1:33" ht="62" x14ac:dyDescent="0.35">
      <c r="A13" s="544"/>
      <c r="B13" s="21" t="str">
        <f>'Door - Step 2'!B42</f>
        <v>Main</v>
      </c>
      <c r="C13" s="21" t="str">
        <f>'Quotation - Door 4'!C42</f>
        <v>Door Panel</v>
      </c>
      <c r="D13" s="121">
        <f>'Quotation - Door 4'!D42</f>
        <v>0</v>
      </c>
      <c r="E13" s="71">
        <f>_xlfn.IFNA(INDEX('Cost Sheet'!$N:$N,MATCH($D13,'Cost Sheet'!$C:$C,0)),0)</f>
        <v>0</v>
      </c>
      <c r="F13" s="30">
        <f>+((($D$6*$D$7)*2)+(($D$6+$D$7)*$D$8*2))*('Calculation Sheet - BOM '!$L$2*'Calculation Sheet - BOM '!$L$2)</f>
        <v>0</v>
      </c>
      <c r="G13" s="49" t="s">
        <v>341</v>
      </c>
      <c r="H13" s="71">
        <f>('Cost Sheet'!$N$26*5*4)+((($D$6+$D$7)*2*$D$8)*('Calculation Sheet - BOM '!$L$2*'Calculation Sheet - BOM '!$L$2)*'Cost Sheet'!$N$27)+((($D$6+$D$7)*2)*'Calculation Sheet - BOM '!$L$2*'Cost Sheet'!$N$67)+((($D$6+$D$7)*2)*'Calculation Sheet - BOM '!$L$2*'Cost Sheet'!$N$68)</f>
        <v>15</v>
      </c>
      <c r="I13" s="71">
        <f>+(E13*F13)+H13</f>
        <v>15</v>
      </c>
      <c r="J13" s="71">
        <f>_xlfn.IFNA(INDEX('Cost Sheet'!$V:$V,MATCH($D13,'Cost Sheet'!$C:$C,0)),0)</f>
        <v>0</v>
      </c>
      <c r="K13" s="71">
        <f>('Cost Sheet'!$V$26*5*4)+((($D$6+$D$7)*2*$D$8)*('Calculation Sheet - BOM '!$L$2*'Calculation Sheet - BOM '!$L$2)*'Cost Sheet'!$V$27)+((($D$6+$D$7)*2)*'Calculation Sheet - BOM '!$L$2*'Cost Sheet'!$V$67)+((($D$6+$D$7)*2)*'Calculation Sheet - BOM '!$L$2*'Cost Sheet'!$V$68)</f>
        <v>15</v>
      </c>
      <c r="L13" s="71">
        <f>+(J13*F13)+K13</f>
        <v>15</v>
      </c>
      <c r="O13" s="3"/>
      <c r="P13" s="105"/>
      <c r="Q13" s="3"/>
    </row>
    <row r="14" spans="1:33" ht="43.5" x14ac:dyDescent="0.35">
      <c r="A14" s="544"/>
      <c r="B14" s="21" t="str">
        <f>'Door - Step 2'!B43</f>
        <v>Main</v>
      </c>
      <c r="C14" s="21" t="str">
        <f>'Quotation - Door 4'!C43</f>
        <v>Face Frame</v>
      </c>
      <c r="D14" s="121">
        <f>'Quotation - Door 4'!D43</f>
        <v>0</v>
      </c>
      <c r="E14" s="71">
        <f>_xlfn.IFNA(INDEX(O$14:O$24,MATCH($D14,$N$14:$N$24,0)),0)</f>
        <v>0</v>
      </c>
      <c r="F14" s="30">
        <f>_xlfn.IFNA(INDEX($Q$14:$Q$24,MATCH($D14,$N$14:$N$24,0)),0)</f>
        <v>0</v>
      </c>
      <c r="G14" s="49"/>
      <c r="H14" s="71"/>
      <c r="I14" s="71">
        <f>_xlfn.IFNA(INDEX(T14:T24,MATCH($D14,$N$14:$N$24,0)),0)</f>
        <v>0</v>
      </c>
      <c r="J14" s="71">
        <f>_xlfn.IFNA(INDEX($U$14:$U$24,MATCH($D14,$N$14:$N$24,0)),0)</f>
        <v>0</v>
      </c>
      <c r="K14" s="71"/>
      <c r="L14" s="71">
        <f>_xlfn.IFNA(INDEX($X$14:$X$24,MATCH($D14,$N$14:$N$24,0)),0)</f>
        <v>0</v>
      </c>
      <c r="N14" s="119" t="s">
        <v>343</v>
      </c>
      <c r="O14" s="160" t="s">
        <v>321</v>
      </c>
      <c r="P14" s="160" t="s">
        <v>322</v>
      </c>
      <c r="Q14" s="160" t="s">
        <v>323</v>
      </c>
      <c r="R14" s="160" t="s">
        <v>324</v>
      </c>
      <c r="S14" s="160" t="s">
        <v>134</v>
      </c>
      <c r="T14" s="160" t="s">
        <v>325</v>
      </c>
      <c r="U14" s="160" t="s">
        <v>326</v>
      </c>
      <c r="V14" s="160" t="s">
        <v>327</v>
      </c>
      <c r="W14" s="160" t="s">
        <v>328</v>
      </c>
      <c r="X14" s="160" t="s">
        <v>329</v>
      </c>
    </row>
    <row r="15" spans="1:33" x14ac:dyDescent="0.35">
      <c r="A15" s="544"/>
      <c r="B15" s="21" t="str">
        <f>'Door - Step 2'!B44</f>
        <v>Option</v>
      </c>
      <c r="C15" s="21" t="str">
        <f>'Quotation - Door 4'!C44</f>
        <v>Inside Jamb</v>
      </c>
      <c r="D15" s="121">
        <f>'Quotation - Door 4'!D44</f>
        <v>0</v>
      </c>
      <c r="E15" s="71">
        <f>_xlfn.IFNA(INDEX(O$26:O$36,MATCH($D15,$N$26:$N$36,0)),0)</f>
        <v>0</v>
      </c>
      <c r="F15" s="30">
        <f>_xlfn.IFNA(INDEX($Q$26:$Q$36,MATCH($D15,$N$26:$N$36,0)),0)</f>
        <v>0</v>
      </c>
      <c r="G15" s="49"/>
      <c r="H15" s="71"/>
      <c r="I15" s="71">
        <f>_xlfn.IFNA(INDEX(T26:T36,MATCH($D15,$N$26:$N$36,0)),0)</f>
        <v>0</v>
      </c>
      <c r="J15" s="71">
        <f>_xlfn.IFNA(INDEX($U$26:$U$36,MATCH($D15,$N$26:$N$36,0)),0)</f>
        <v>0</v>
      </c>
      <c r="K15" s="71"/>
      <c r="L15" s="71">
        <f>_xlfn.IFNA(INDEX($X$26:$X$36,MATCH($D15,$N$26:$N$36,0)),0)</f>
        <v>0</v>
      </c>
      <c r="N15" s="28" t="s">
        <v>344</v>
      </c>
      <c r="O15" s="71">
        <f>+IF($D$3="Freezer",'Cost Sheet'!$N$22,'Cost Sheet'!$N$21)</f>
        <v>11.36</v>
      </c>
      <c r="P15" s="171" t="s">
        <v>345</v>
      </c>
      <c r="Q15" s="30">
        <f>((($D$6*2)+(($D$7+($O$12*2))*2))*'Calculation Sheet - BOM '!$L$2)</f>
        <v>1.91659</v>
      </c>
      <c r="R15" s="71">
        <f>+Q15*O15</f>
        <v>21.772462399999998</v>
      </c>
      <c r="S15" s="71" cm="1">
        <f t="array" ref="S15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5" s="71">
        <f t="shared" ref="T15:T24" si="1">+R15+S15</f>
        <v>21.772462399999998</v>
      </c>
      <c r="U15" s="71">
        <f>+IF($D$3="Freezer",'Cost Sheet'!$V$22,'Cost Sheet'!$V$21)</f>
        <v>11.36</v>
      </c>
      <c r="V15" s="71">
        <f>+U15*Q15</f>
        <v>21.772462399999998</v>
      </c>
      <c r="W15" s="71" cm="1">
        <f t="array" ref="W15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5" s="71">
        <f t="shared" ref="X15:X24" si="2">+V15+W15</f>
        <v>21.772462399999998</v>
      </c>
      <c r="AB15" s="750" t="s">
        <v>180</v>
      </c>
      <c r="AC15" s="751"/>
      <c r="AD15" s="751"/>
      <c r="AE15" s="751"/>
      <c r="AF15" s="751"/>
      <c r="AG15" s="752"/>
    </row>
    <row r="16" spans="1:33" ht="31" x14ac:dyDescent="0.35">
      <c r="A16" s="544"/>
      <c r="B16" s="21" t="str">
        <f>'Door - Step 2'!B45</f>
        <v>Option</v>
      </c>
      <c r="C16" s="21" t="str">
        <f>'Quotation - Door 4'!C45</f>
        <v>Back Frame</v>
      </c>
      <c r="D16" s="121">
        <f>'Quotation - Door 4'!D45</f>
        <v>0</v>
      </c>
      <c r="E16" s="71">
        <f>_xlfn.IFNA(INDEX(O$38:O$58,MATCH($D16,$N$38:$N$58,0)),0)</f>
        <v>0</v>
      </c>
      <c r="F16" s="30">
        <f>_xlfn.IFNA(INDEX($Q$38:$Q$58,MATCH($D16,$N$38:$N$58,0)),0)</f>
        <v>0</v>
      </c>
      <c r="G16" s="49"/>
      <c r="H16" s="71"/>
      <c r="I16" s="71">
        <f>_xlfn.IFNA(INDEX(T38:T58,MATCH($D16,$N$38:$N$58,0)),0)</f>
        <v>0</v>
      </c>
      <c r="J16" s="71">
        <f>_xlfn.IFNA(INDEX($U$38:$U$58,MATCH($D16,$N$38:$N$58,0)),0)</f>
        <v>0</v>
      </c>
      <c r="K16" s="71"/>
      <c r="L16" s="71">
        <f>_xlfn.IFNA(INDEX($X$38:$X$58,MATCH($D16,$N$38:$N$58,0)),0)</f>
        <v>0</v>
      </c>
      <c r="N16" s="28" t="s">
        <v>346</v>
      </c>
      <c r="O16" s="71">
        <f>+$O$15+'Cost Sheet'!$N$10</f>
        <v>12.956203623813632</v>
      </c>
      <c r="P16" s="49" t="s">
        <v>347</v>
      </c>
      <c r="Q16" s="30">
        <f>((($D$6*2)+(($D$7+($O$12*2))*2))*'Calculation Sheet - BOM '!$L$2)</f>
        <v>1.91659</v>
      </c>
      <c r="R16" s="71">
        <f>($O$15*$Q$15)+('Cost Sheet'!$N$10*2*$Q$19)</f>
        <v>27.635824670910267</v>
      </c>
      <c r="S16" s="71" cm="1">
        <f t="array" ref="S16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6" s="71">
        <f t="shared" si="1"/>
        <v>27.635824670910267</v>
      </c>
      <c r="U16" s="71">
        <f>+$U$15+'Cost Sheet'!$V$10</f>
        <v>12.956203623813632</v>
      </c>
      <c r="V16" s="71">
        <f>($U$15*$Q$15)+('Cost Sheet'!$P$10*2*$Q$19)</f>
        <v>27.635824670910267</v>
      </c>
      <c r="W16" s="71" cm="1">
        <f t="array" ref="W16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6" s="71">
        <f t="shared" si="2"/>
        <v>27.635824670910267</v>
      </c>
      <c r="AB16" s="751" t="s">
        <v>482</v>
      </c>
      <c r="AC16" s="751"/>
      <c r="AD16" s="751"/>
      <c r="AE16" s="752"/>
      <c r="AF16" s="932" t="s">
        <v>389</v>
      </c>
      <c r="AG16" s="933"/>
    </row>
    <row r="17" spans="1:33" ht="46.5" x14ac:dyDescent="0.35">
      <c r="A17" s="544"/>
      <c r="B17" s="21" t="str">
        <f>'Door - Step 2'!B46</f>
        <v>Option</v>
      </c>
      <c r="C17" s="21" t="str">
        <f>'Quotation - Door 4'!C46</f>
        <v>Freezer Door</v>
      </c>
      <c r="D17" s="121">
        <f>'Quotation - Door 4'!D46</f>
        <v>0</v>
      </c>
      <c r="E17" s="19"/>
      <c r="F17" s="20"/>
      <c r="G17" s="20"/>
      <c r="H17" s="71"/>
      <c r="I17" s="71">
        <f>IF($D17=0,0,'Cost Sheet'!$N$28)</f>
        <v>0</v>
      </c>
      <c r="J17" s="20"/>
      <c r="K17" s="71"/>
      <c r="L17" s="71">
        <f>IF($D17=0,0,'Cost Sheet'!$V$28)</f>
        <v>0</v>
      </c>
      <c r="N17" s="28" t="s">
        <v>348</v>
      </c>
      <c r="O17" s="71">
        <f>+$O$15+'Cost Sheet'!$N$3</f>
        <v>12.542357301704966</v>
      </c>
      <c r="P17" s="49" t="s">
        <v>349</v>
      </c>
      <c r="Q17" s="30">
        <f>((($D$6*2)+(($D$7+($O$12*2))*2))*'Calculation Sheet - BOM '!$L$2)</f>
        <v>1.91659</v>
      </c>
      <c r="R17" s="71">
        <f>($O$15*$Q$15)+('Cost Sheet'!$N$3*2*$Q$19)</f>
        <v>26.115635846122682</v>
      </c>
      <c r="S17" s="71" cm="1">
        <f t="array" ref="S17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7" s="71">
        <f t="shared" si="1"/>
        <v>26.115635846122682</v>
      </c>
      <c r="U17" s="71">
        <f>+$U$15+'Cost Sheet'!$V$3</f>
        <v>12.542357301704966</v>
      </c>
      <c r="V17" s="71">
        <f>($U$15*$Q$15)+('Cost Sheet'!$P$3*2*$Q$19)</f>
        <v>26.115635846122682</v>
      </c>
      <c r="W17" s="71" cm="1">
        <f t="array" ref="W17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7" s="71">
        <f t="shared" si="2"/>
        <v>26.115635846122682</v>
      </c>
      <c r="AB17" s="46" t="s">
        <v>483</v>
      </c>
      <c r="AC17" s="19">
        <v>20</v>
      </c>
      <c r="AD17" s="19">
        <v>30</v>
      </c>
      <c r="AE17" s="19">
        <v>8</v>
      </c>
      <c r="AF17" s="165" t="s">
        <v>484</v>
      </c>
      <c r="AG17" s="165" t="s">
        <v>388</v>
      </c>
    </row>
    <row r="18" spans="1:33" ht="46.5" x14ac:dyDescent="0.35">
      <c r="A18" s="544"/>
      <c r="B18" s="21" t="str">
        <f>'Door - Step 2'!B47</f>
        <v>Option</v>
      </c>
      <c r="C18" s="21" t="str">
        <f>'Quotation - Door 4'!C47</f>
        <v>Kick Plate Material</v>
      </c>
      <c r="D18" s="121">
        <f>'Quotation - Door 4'!D47</f>
        <v>0</v>
      </c>
      <c r="E18" s="940">
        <f>_xlfn.IFNA((INDEX('Cost Sheet'!$N:$N,MATCH('Quotation - Door 4'!$D$47,'Cost Sheet'!$C:$C,0))*(($D$6*'Calculation Sheet - BOM '!$L$2)*(INDEX('Calculation Sheet - BOM '!$Z$3:$Z$6,MATCH('Quotation - Door 4'!$D$48,'Calculation Sheet - BOM '!$Y$3:$Y$6,0))))),0)</f>
        <v>0</v>
      </c>
      <c r="F18" s="950"/>
      <c r="G18" s="950" t="s">
        <v>133</v>
      </c>
      <c r="H18" s="944">
        <f>+IF(D19=0,0,INDEX('Accessories Install - Labour'!$E:$E,MATCH(D19,'Accessories Install - Labour'!$C:$C,0)))</f>
        <v>0</v>
      </c>
      <c r="I18" s="940">
        <f>+E18+H18</f>
        <v>0</v>
      </c>
      <c r="J18" s="940">
        <f>_xlfn.IFNA((INDEX('Cost Sheet'!$V:$V,MATCH('Quotation - Door 4'!$D$47,'Cost Sheet'!$C:$C,0))*(($D$6*'Calculation Sheet - BOM '!$L$2)*(INDEX('Calculation Sheet - BOM '!$Z$3:$Z$6,MATCH('Quotation - Door 4'!$D$48,'Calculation Sheet - BOM '!$Y$3:$Y$6,0))))),0)</f>
        <v>0</v>
      </c>
      <c r="K18" s="944">
        <f>+IF(D19=0,0,INDEX('Accessories Install - Labour'!$F:$F,MATCH(D19,'Accessories Install - Labour'!$C:$C,0)))</f>
        <v>0</v>
      </c>
      <c r="L18" s="940">
        <f>+J18+K18</f>
        <v>0</v>
      </c>
      <c r="N18" s="28" t="s">
        <v>350</v>
      </c>
      <c r="O18" s="71">
        <f>+$O$15+'Cost Sheet'!$N$5</f>
        <v>12.476670784943579</v>
      </c>
      <c r="P18" s="49" t="s">
        <v>349</v>
      </c>
      <c r="Q18" s="30">
        <f>((($D$6*2)+(($D$7+($O$12*2))*2))*'Calculation Sheet - BOM '!$L$2)</f>
        <v>1.91659</v>
      </c>
      <c r="R18" s="71">
        <f>($O$15*$Q$15)+('Cost Sheet'!$N$5*2*$Q$19)</f>
        <v>25.874348432449199</v>
      </c>
      <c r="S18" s="71" cm="1">
        <f t="array" ref="S18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8" s="71">
        <f t="shared" si="1"/>
        <v>25.874348432449199</v>
      </c>
      <c r="U18" s="71">
        <f>+$U$15+'Cost Sheet'!$V$5</f>
        <v>12.476670784943579</v>
      </c>
      <c r="V18" s="71">
        <f>($U$15*$Q$15)+('Cost Sheet'!$P$5*2*$Q$19)</f>
        <v>25.874348432449199</v>
      </c>
      <c r="W18" s="71" cm="1">
        <f t="array" ref="W18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8" s="71">
        <f t="shared" si="2"/>
        <v>25.874348432449199</v>
      </c>
      <c r="AB18" s="46"/>
      <c r="AC18" s="19"/>
      <c r="AD18" s="19"/>
      <c r="AE18" s="19"/>
      <c r="AF18" s="167"/>
      <c r="AG18" s="167"/>
    </row>
    <row r="19" spans="1:33" ht="46.5" x14ac:dyDescent="0.35">
      <c r="A19" s="544"/>
      <c r="B19" s="21" t="str">
        <f>'Door - Step 2'!B48</f>
        <v>Option</v>
      </c>
      <c r="C19" s="21" t="str">
        <f>'Quotation - Door 4'!C48</f>
        <v>Kick Plate Size</v>
      </c>
      <c r="D19" s="121">
        <f>'Quotation - Door 4'!D48</f>
        <v>0</v>
      </c>
      <c r="E19" s="940"/>
      <c r="F19" s="951"/>
      <c r="G19" s="951"/>
      <c r="H19" s="945"/>
      <c r="I19" s="940"/>
      <c r="J19" s="940"/>
      <c r="K19" s="945"/>
      <c r="L19" s="940"/>
      <c r="N19" s="28" t="s">
        <v>351</v>
      </c>
      <c r="O19" s="71">
        <f>+'Cost Sheet'!$N$27+'Cost Sheet'!$N$10</f>
        <v>2.7368286238136323</v>
      </c>
      <c r="P19" s="49" t="s">
        <v>352</v>
      </c>
      <c r="Q19" s="30">
        <f>SUM((($O$12*($D$7+(2*$O$12)))),($O$12*($D$6+(2*$O$12))))*2*$L$4</f>
        <v>1.8366586140500001</v>
      </c>
      <c r="R19" s="71">
        <f>+O19*Q19*2</f>
        <v>10.05323973421183</v>
      </c>
      <c r="S19" s="71" cm="1">
        <f t="array" ref="S19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19" s="71">
        <f t="shared" si="1"/>
        <v>10.05323973421183</v>
      </c>
      <c r="U19" s="71">
        <f>+'Cost Sheet'!$V$27+'Cost Sheet'!$V$10</f>
        <v>2.7368286238136323</v>
      </c>
      <c r="V19" s="71">
        <f>+Q19*U19*2</f>
        <v>10.05323973421183</v>
      </c>
      <c r="W19" s="71" cm="1">
        <f t="array" ref="W19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19" s="71">
        <f t="shared" si="2"/>
        <v>10.05323973421183</v>
      </c>
      <c r="AB19" s="46"/>
      <c r="AC19" s="19"/>
      <c r="AD19" s="19"/>
      <c r="AE19" s="19"/>
      <c r="AF19" s="167"/>
      <c r="AG19" s="167"/>
    </row>
    <row r="20" spans="1:33" ht="46.5" x14ac:dyDescent="0.35">
      <c r="A20" s="544"/>
      <c r="B20" s="21" t="str">
        <f>'Door - Step 2'!B49</f>
        <v>Option</v>
      </c>
      <c r="C20" s="21" t="str">
        <f>'Quotation - Door 4'!C49</f>
        <v>Kick Plate Location</v>
      </c>
      <c r="D20" s="121">
        <f>'Quotation - Door 4'!D49</f>
        <v>0</v>
      </c>
      <c r="E20" s="940"/>
      <c r="F20" s="952"/>
      <c r="G20" s="952"/>
      <c r="H20" s="946"/>
      <c r="I20" s="940"/>
      <c r="J20" s="940"/>
      <c r="K20" s="946"/>
      <c r="L20" s="940"/>
      <c r="N20" s="28" t="s">
        <v>353</v>
      </c>
      <c r="O20" s="71">
        <f>+'Cost Sheet'!$N$27+'Cost Sheet'!$N$3</f>
        <v>2.3229823017049664</v>
      </c>
      <c r="P20" s="49" t="s">
        <v>352</v>
      </c>
      <c r="Q20" s="30">
        <f>SUM((($O$12*($D$7+(2*$O$12)))),($O$12*($D$6+(2*$O$12))))*2*$L$4</f>
        <v>1.8366586140500001</v>
      </c>
      <c r="R20" s="71">
        <f>+O20*Q20*2</f>
        <v>8.5330509094242455</v>
      </c>
      <c r="S20" s="71" cm="1">
        <f t="array" ref="S20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0" s="71">
        <f t="shared" si="1"/>
        <v>8.5330509094242455</v>
      </c>
      <c r="U20" s="71">
        <f>+'Cost Sheet'!$V$27+'Cost Sheet'!$V$3</f>
        <v>2.3229823017049664</v>
      </c>
      <c r="V20" s="71">
        <f>+Q20*U20*2</f>
        <v>8.5330509094242455</v>
      </c>
      <c r="W20" s="71" cm="1">
        <f t="array" ref="W20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0" s="71">
        <f t="shared" si="2"/>
        <v>8.5330509094242455</v>
      </c>
      <c r="AB20" s="46"/>
      <c r="AC20" s="19"/>
      <c r="AD20" s="19"/>
      <c r="AE20" s="19"/>
      <c r="AF20" s="167"/>
      <c r="AG20" s="167"/>
    </row>
    <row r="21" spans="1:33" ht="46.5" x14ac:dyDescent="0.35">
      <c r="A21" s="544"/>
      <c r="B21" s="21" t="str">
        <f>'Door - Step 2'!B50</f>
        <v>Option</v>
      </c>
      <c r="C21" s="21" t="str">
        <f>'Quotation - Door 4'!C50</f>
        <v>ViewPort Window Size</v>
      </c>
      <c r="D21" s="121">
        <f>'Quotation - Door 4'!D50</f>
        <v>0</v>
      </c>
      <c r="E21" s="71">
        <f>IF($D21=0,0,(INDEX('Cost Sheet'!$N:$N,MATCH('Quotation - Door 4'!$D50,'Cost Sheet'!$C:$C,0))))</f>
        <v>0</v>
      </c>
      <c r="F21" s="20"/>
      <c r="G21" s="121" t="s">
        <v>354</v>
      </c>
      <c r="H21" s="71">
        <f>+IF(D21=0,0,INDEX('Accessories Install - Labour'!$E:$E,MATCH($D21,'Accessories Install - Labour'!$C:$C,0)))+IF(D21=0,0,('Cost Sheet'!$N$65*40*'Calculation Sheet - BOM '!$L$2))</f>
        <v>0</v>
      </c>
      <c r="I21" s="71">
        <f>+E21+H21</f>
        <v>0</v>
      </c>
      <c r="J21" s="71">
        <f>IF($D21=0,0,(INDEX('Cost Sheet'!$V:$V,MATCH('Quotation - Door 4'!$D50,'Cost Sheet'!$C:$C,0))))</f>
        <v>0</v>
      </c>
      <c r="K21" s="71">
        <f>+IF(D21=0,0,INDEX('Accessories Install - Labour'!$F:$F,MATCH($D21,'Accessories Install - Labour'!$C:$C,0)))+IF(D21=0,0,('Cost Sheet'!$S$65*40*'Calculation Sheet - BOM '!$L$2))</f>
        <v>0</v>
      </c>
      <c r="L21" s="71">
        <f>+J21+K21</f>
        <v>0</v>
      </c>
      <c r="N21" s="28" t="s">
        <v>355</v>
      </c>
      <c r="O21" s="71">
        <f>+'Cost Sheet'!$N$27+'Cost Sheet'!$N$5</f>
        <v>2.2572957849435795</v>
      </c>
      <c r="P21" s="49" t="s">
        <v>352</v>
      </c>
      <c r="Q21" s="30">
        <f>SUM((($O$12*($D$7+(2*$O$12)))),($O$12*($D$6+(2*$O$12))))*2*$L$4</f>
        <v>1.8366586140500001</v>
      </c>
      <c r="R21" s="71">
        <f>+O21*Q21*2</f>
        <v>8.2917634957507644</v>
      </c>
      <c r="S21" s="71" cm="1">
        <f t="array" ref="S21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1" s="71">
        <f t="shared" si="1"/>
        <v>8.2917634957507644</v>
      </c>
      <c r="U21" s="71">
        <f>+'Cost Sheet'!$V$27+'Cost Sheet'!$V$5</f>
        <v>2.2572957849435795</v>
      </c>
      <c r="V21" s="71">
        <f>+Q21*U21*2</f>
        <v>8.2917634957507644</v>
      </c>
      <c r="W21" s="71" cm="1">
        <f t="array" ref="W21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1" s="71">
        <f t="shared" si="2"/>
        <v>8.2917634957507644</v>
      </c>
      <c r="AB21" s="46"/>
      <c r="AC21" s="19"/>
      <c r="AD21" s="19"/>
      <c r="AE21" s="19"/>
      <c r="AF21" s="167"/>
      <c r="AG21" s="167"/>
    </row>
    <row r="22" spans="1:33" ht="31" x14ac:dyDescent="0.35">
      <c r="A22" s="544"/>
      <c r="B22" s="21" t="str">
        <f>'Door - Step 2'!B51</f>
        <v>Option</v>
      </c>
      <c r="C22" s="21" t="str">
        <f>'Quotation - Door 4'!C51</f>
        <v>ViewPort Window Type</v>
      </c>
      <c r="D22" s="121">
        <f>'Quotation - Door 4'!D51</f>
        <v>0</v>
      </c>
      <c r="E22" s="19" t="str">
        <f>+IF($D22="Insulated",(5*'Cost Sheet'!$N$65),IF($D22="Heated",(5*3*'Cost Sheet'!$N$102),""))</f>
        <v/>
      </c>
      <c r="F22" s="20"/>
      <c r="G22" s="19" t="s">
        <v>133</v>
      </c>
      <c r="H22" s="71">
        <f>+IF(D22=0,0,IF(D22="Insulated",INDEX('Accessories Install - Labour'!$E:$E,MATCH(CONCATENATE(D22,D21),'Accessories Install - Labour'!$C:$C,0)),IF(D22="Heated",INDEX('Accessories Install - Labour'!$E:$E,MATCH(CONCATENATE(D22,D21),'Accessories Install - Labour'!$C:$C,0)),IF(D22="Other","Cost Required - Purchasing"))))</f>
        <v>0</v>
      </c>
      <c r="I22" s="71">
        <f>IFERROR((IF($D22="Insulated",(5*'Cost Sheet'!$N$65),IF($D22="Heated",(5*3*'Cost Sheet'!$N$102),""))+H22),0)</f>
        <v>0</v>
      </c>
      <c r="J22" s="20"/>
      <c r="K22" s="71">
        <f>+IF(D22=0,0,IF(D22="Insulated",INDEX('Accessories Install - Labour'!$F:$F,MATCH(CONCATENATE(D22,D21),'Accessories Install - Labour'!$C:$C,0)),IF(D22="Heated",INDEX('Accessories Install - Labour'!$F:$F,MATCH(CONCATENATE(D22,D21),'Accessories Install - Labour'!$C:$C,0)),IF(D22="Other","Cost Required - Purchasing"))))</f>
        <v>0</v>
      </c>
      <c r="L22" s="71">
        <f>IFERROR((IF($D22="Insulated",(5*'Cost Sheet'!$V$65),IF($D22="Heated",(5*3*'Cost Sheet'!$V$102),""))+K22),0)</f>
        <v>0</v>
      </c>
      <c r="N22" s="28" t="s">
        <v>356</v>
      </c>
      <c r="O22" s="71">
        <f>+'Cost Sheet'!$N$24+'Cost Sheet'!$N$10</f>
        <v>6.0253702904802982</v>
      </c>
      <c r="P22" s="49" t="s">
        <v>347</v>
      </c>
      <c r="Q22" s="30">
        <f>((($D$6*2)+(($D$7+($O$12*2))*2))*'Calculation Sheet - BOM '!$L$2)</f>
        <v>1.91659</v>
      </c>
      <c r="R22" s="71">
        <f>('Cost Sheet'!$N$24*$Q22)+('Cost Sheet'!$N$10*$Q$21)</f>
        <v>11.420577677121798</v>
      </c>
      <c r="S22" s="71" cm="1">
        <f t="array" ref="S22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2" s="71">
        <f t="shared" si="1"/>
        <v>11.420577677121798</v>
      </c>
      <c r="U22" s="71">
        <f>+'Cost Sheet'!$V$24+'Cost Sheet'!$V$10</f>
        <v>6.0253702904802982</v>
      </c>
      <c r="V22" s="71">
        <f>('Cost Sheet'!$P$24*$Q22)+('Cost Sheet'!$P$10*$Q$21)</f>
        <v>11.420577677121798</v>
      </c>
      <c r="W22" s="71" cm="1">
        <f t="array" ref="W22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2" s="71">
        <f t="shared" si="2"/>
        <v>11.420577677121798</v>
      </c>
      <c r="AB22" s="46"/>
      <c r="AC22" s="19"/>
      <c r="AD22" s="19"/>
      <c r="AE22" s="19"/>
      <c r="AF22" s="167"/>
      <c r="AG22" s="167"/>
    </row>
    <row r="23" spans="1:33" ht="46.5" x14ac:dyDescent="0.35">
      <c r="A23" s="544"/>
      <c r="B23" s="21" t="str">
        <f>'Door - Step 2'!B52</f>
        <v>Not Required</v>
      </c>
      <c r="C23" s="21" t="str">
        <f>'Quotation - Door 4'!C52</f>
        <v>Motion Sensor</v>
      </c>
      <c r="D23" s="121">
        <f>'Quotation - Door 4'!D52</f>
        <v>0</v>
      </c>
      <c r="E23" s="71">
        <f>IF($D23=0,0,(INDEX('Cost Sheet'!$N:$N,MATCH('Quotation - Door 4'!$D52,'Cost Sheet'!$C:$C,0))))</f>
        <v>0</v>
      </c>
      <c r="F23" s="20"/>
      <c r="G23" s="19" t="s">
        <v>133</v>
      </c>
      <c r="H23" s="71"/>
      <c r="I23" s="71">
        <f>IF($D23=0,0,(INDEX('Cost Sheet'!$N:$N,MATCH('Quotation - Door 4'!$D52,'Cost Sheet'!$C:$C,0))))</f>
        <v>0</v>
      </c>
      <c r="J23" s="20"/>
      <c r="K23" s="71"/>
      <c r="L23" s="71">
        <f>IF($D23=0,0,(INDEX('Cost Sheet'!$V:$V,MATCH('Quotation - Door 2'!$D52,'Cost Sheet'!$C:$C,0))))</f>
        <v>0</v>
      </c>
      <c r="N23" s="28" t="s">
        <v>55</v>
      </c>
      <c r="O23" s="71">
        <f>+'Cost Sheet'!$N$24+'Cost Sheet'!$N$3</f>
        <v>5.6115239683716327</v>
      </c>
      <c r="P23" s="49" t="s">
        <v>349</v>
      </c>
      <c r="Q23" s="30">
        <f>((($D$6*2)+(($D$7+($O$12*2))*2))*'Calculation Sheet - BOM '!$L$2)</f>
        <v>1.91659</v>
      </c>
      <c r="R23" s="71">
        <f>('Cost Sheet'!$N$24*$Q23)+('Cost Sheet'!$N$3*$Q$21)</f>
        <v>10.660483264728008</v>
      </c>
      <c r="S23" s="71" cm="1">
        <f t="array" ref="S23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3" s="71">
        <f t="shared" si="1"/>
        <v>10.660483264728008</v>
      </c>
      <c r="U23" s="71">
        <f>+'Cost Sheet'!$V$24+'Cost Sheet'!$V$3</f>
        <v>5.6115239683716327</v>
      </c>
      <c r="V23" s="71">
        <f>('Cost Sheet'!$P$24*$Q23)+('Cost Sheet'!$P$3*$Q$21)</f>
        <v>10.660483264728008</v>
      </c>
      <c r="W23" s="71" cm="1">
        <f t="array" ref="W23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3" s="71">
        <f t="shared" si="2"/>
        <v>10.660483264728008</v>
      </c>
      <c r="AB23" s="46"/>
      <c r="AC23" s="19"/>
      <c r="AD23" s="19"/>
      <c r="AE23" s="19"/>
      <c r="AF23" s="167"/>
      <c r="AG23" s="167"/>
    </row>
    <row r="24" spans="1:33" ht="46.5" x14ac:dyDescent="0.35">
      <c r="A24" s="544"/>
      <c r="B24" s="21" t="str">
        <f>'Door - Step 2'!B53</f>
        <v>Not Required</v>
      </c>
      <c r="C24" s="21" t="str">
        <f>'Quotation - Door 4'!C53</f>
        <v>Additional Heater Location</v>
      </c>
      <c r="D24" s="121">
        <f>'Quotation - Door 4'!D53</f>
        <v>0</v>
      </c>
      <c r="E24" s="71">
        <f>IF($D24=0,0,(E71*4*((($D$6+$D$7)*2)*$L$2)))</f>
        <v>0</v>
      </c>
      <c r="F24" s="20"/>
      <c r="G24" s="20"/>
      <c r="H24" s="71"/>
      <c r="I24" s="71">
        <f>IF($D24=0,0,(I71*4*((($D$6+$D$7)*2)*$L$2)))</f>
        <v>0</v>
      </c>
      <c r="J24" s="20"/>
      <c r="K24" s="71"/>
      <c r="L24" s="71">
        <f>IF($D24=0,0,(L71*4*((($D$6+$D$7)*2)*$L$2)))</f>
        <v>0</v>
      </c>
      <c r="N24" s="28" t="s">
        <v>357</v>
      </c>
      <c r="O24" s="71">
        <f>+'Cost Sheet'!$N$24+'Cost Sheet'!$N$5</f>
        <v>5.5458374516102458</v>
      </c>
      <c r="P24" s="49" t="s">
        <v>349</v>
      </c>
      <c r="Q24" s="30">
        <f>((($D$6*2)+(($D$7+($O$12*2))*2))*'Calculation Sheet - BOM '!$L$2)</f>
        <v>1.91659</v>
      </c>
      <c r="R24" s="71">
        <f>('Cost Sheet'!$N$24*$Q24)+('Cost Sheet'!$N$5*$Q$21)</f>
        <v>10.539839557891266</v>
      </c>
      <c r="S24" s="71" cm="1">
        <f t="array" ref="S24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24" s="71">
        <f t="shared" si="1"/>
        <v>10.539839557891266</v>
      </c>
      <c r="U24" s="71">
        <f>+'Cost Sheet'!$V$24+'Cost Sheet'!$V$5</f>
        <v>5.5458374516102458</v>
      </c>
      <c r="V24" s="71">
        <f>('Cost Sheet'!$P$24*$Q24)+('Cost Sheet'!$P$5*$Q$21)</f>
        <v>10.539839557891266</v>
      </c>
      <c r="W24" s="71" cm="1">
        <f t="array" ref="W24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24" s="71">
        <f t="shared" si="2"/>
        <v>10.539839557891266</v>
      </c>
      <c r="AB24" s="46" t="s">
        <v>378</v>
      </c>
      <c r="AC24" s="19" t="s">
        <v>381</v>
      </c>
      <c r="AD24" s="19" t="s">
        <v>382</v>
      </c>
      <c r="AE24" s="19" t="s">
        <v>383</v>
      </c>
    </row>
    <row r="25" spans="1:33" x14ac:dyDescent="0.35">
      <c r="A25" s="544"/>
      <c r="B25" s="21" t="str">
        <f>'Door - Step 2'!B54</f>
        <v/>
      </c>
      <c r="C25" s="21" t="str">
        <f ca="1">'Quotation - Door 4'!C54</f>
        <v/>
      </c>
      <c r="D25" s="121">
        <f>'Quotation - Door 4'!D54</f>
        <v>0</v>
      </c>
      <c r="E25" s="71">
        <f>IF($D25=0,0,(INDEX('Cost Sheet'!$N:$N,MATCH('Quotation - Door 4'!$D54,'Cost Sheet'!$C:$C,0))))*2</f>
        <v>0</v>
      </c>
      <c r="F25" s="20"/>
      <c r="G25" s="19" t="s">
        <v>133</v>
      </c>
      <c r="H25" s="71">
        <f>+'Accessories Install - Labour'!$E$15*2</f>
        <v>26</v>
      </c>
      <c r="I25" s="71">
        <f>IF($D25=0,0,(INDEX('Cost Sheet'!$N:$N,MATCH('Quotation - Door 4'!$D54,'Cost Sheet'!$C:$C,0))))+H25</f>
        <v>26</v>
      </c>
      <c r="J25" s="71">
        <f>IF($D25=0,0,(INDEX('Cost Sheet'!$V:$V,MATCH('Quotation - Door 4'!$D54,'Cost Sheet'!$C:$C,0))))*2</f>
        <v>0</v>
      </c>
      <c r="K25" s="71">
        <f>+'Accessories Install - Labour'!$F$15*2</f>
        <v>26</v>
      </c>
      <c r="L25" s="71">
        <f>+K25+J25</f>
        <v>26</v>
      </c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AB25" s="46" t="s">
        <v>386</v>
      </c>
      <c r="AC25" s="19">
        <f>+AC17*12</f>
        <v>240</v>
      </c>
      <c r="AD25" s="19">
        <f>+AD17*12</f>
        <v>360</v>
      </c>
      <c r="AE25" s="19">
        <f>+AE17*12</f>
        <v>96</v>
      </c>
      <c r="AF25" s="19">
        <f>+((AC25*AE25)*2)+((AD25*AE25)*2)</f>
        <v>115200</v>
      </c>
      <c r="AG25" s="3">
        <f>+AF25/144</f>
        <v>800</v>
      </c>
    </row>
    <row r="26" spans="1:33" ht="43.5" x14ac:dyDescent="0.35">
      <c r="A26" s="544"/>
      <c r="B26" s="21" t="str">
        <f>'Door - Step 2'!B55</f>
        <v/>
      </c>
      <c r="C26" s="21">
        <f>'Quotation - Door 4'!C55</f>
        <v>0</v>
      </c>
      <c r="D26" s="121">
        <f>'Quotation - Door 4'!D55</f>
        <v>0</v>
      </c>
      <c r="E26" s="71">
        <f>IF($D26=0,0,(INDEX('Cost Sheet'!$N:$N,MATCH('Quotation - Door 4'!$D55,'Cost Sheet'!$C:$C,0))))</f>
        <v>0</v>
      </c>
      <c r="F26" s="20"/>
      <c r="G26" s="19" t="s">
        <v>133</v>
      </c>
      <c r="H26" s="71">
        <f>+'Accessories Install - Labour'!$E$17</f>
        <v>21.666666666666668</v>
      </c>
      <c r="I26" s="71">
        <f>+E26+H26</f>
        <v>21.666666666666668</v>
      </c>
      <c r="J26" s="71">
        <f>IF($D26=0,0,(INDEX('Cost Sheet'!$V:$V,MATCH('Quotation - Door 4'!$D55,'Cost Sheet'!$C:$C,0))))*2</f>
        <v>0</v>
      </c>
      <c r="K26" s="71">
        <f>+'Accessories Install - Labour'!$F$17</f>
        <v>21.666666666666668</v>
      </c>
      <c r="L26" s="71">
        <f>+J26+K26</f>
        <v>21.666666666666668</v>
      </c>
      <c r="N26" s="119" t="s">
        <v>358</v>
      </c>
      <c r="O26" s="160" t="s">
        <v>321</v>
      </c>
      <c r="P26" s="160" t="s">
        <v>322</v>
      </c>
      <c r="Q26" s="160" t="s">
        <v>323</v>
      </c>
      <c r="R26" s="160" t="s">
        <v>324</v>
      </c>
      <c r="S26" s="160" t="s">
        <v>134</v>
      </c>
      <c r="T26" s="160" t="s">
        <v>325</v>
      </c>
      <c r="U26" s="160" t="s">
        <v>326</v>
      </c>
      <c r="V26" s="160" t="s">
        <v>327</v>
      </c>
      <c r="W26" s="160" t="s">
        <v>328</v>
      </c>
      <c r="X26" s="160" t="s">
        <v>329</v>
      </c>
      <c r="AB26" s="751" t="s">
        <v>485</v>
      </c>
      <c r="AC26" s="751"/>
      <c r="AD26" s="751"/>
      <c r="AE26" s="751"/>
    </row>
    <row r="27" spans="1:33" ht="31" x14ac:dyDescent="0.35">
      <c r="A27" s="544"/>
      <c r="B27" s="21" t="str">
        <f>'Door - Step 2'!B56</f>
        <v/>
      </c>
      <c r="C27" s="21">
        <f>'Quotation - Door 4'!C56</f>
        <v>0</v>
      </c>
      <c r="D27" s="121">
        <f>'Quotation - Door 4'!D56</f>
        <v>0</v>
      </c>
      <c r="E27" s="71">
        <f>IF($D27=0,0,(INDEX('Cost Sheet'!$N:$N,MATCH('Quotation - Door 4'!$D56,'Cost Sheet'!$C:$C,0))))</f>
        <v>0</v>
      </c>
      <c r="F27" s="20"/>
      <c r="G27" s="19" t="s">
        <v>133</v>
      </c>
      <c r="H27" s="71">
        <f>+IF($D27=0,0,INDEX('Accessories Install - Labour'!$E:$E,MATCH($D27,'Accessories Install - Labour'!$C:$C,0)))</f>
        <v>0</v>
      </c>
      <c r="I27" s="71">
        <f>+E27+H27</f>
        <v>0</v>
      </c>
      <c r="J27" s="71">
        <f>IF($D27=0,0,(INDEX('Cost Sheet'!$V:$V,MATCH('Quotation - Door 4'!$D56,'Cost Sheet'!$C:$C,0))))*2</f>
        <v>0</v>
      </c>
      <c r="K27" s="71">
        <f>+IF($D27=0,0,INDEX('Accessories Install - Labour'!$F:$F,MATCH($D27,'Accessories Install - Labour'!$C:$C,0)))</f>
        <v>0</v>
      </c>
      <c r="L27" s="71">
        <f>+J27+K27</f>
        <v>0</v>
      </c>
      <c r="N27" s="28" t="s">
        <v>344</v>
      </c>
      <c r="O27" s="71">
        <f>+'Cost Sheet'!$N$15</f>
        <v>3.8724791666666665</v>
      </c>
      <c r="P27" s="49" t="s">
        <v>359</v>
      </c>
      <c r="Q27" s="30">
        <f>+(($D$7*1)*$L$4)*2</f>
        <v>0</v>
      </c>
      <c r="R27" s="71">
        <f>+Q27*O27</f>
        <v>0</v>
      </c>
      <c r="S27" s="71">
        <f>+S15*0.75</f>
        <v>0</v>
      </c>
      <c r="T27" s="71">
        <f t="shared" ref="T27:T36" si="3">+R27+S27</f>
        <v>0</v>
      </c>
      <c r="U27" s="71">
        <f>+IF($D$3="Freezer",'Cost Sheet'!$V$22,'Cost Sheet'!$V$21)</f>
        <v>11.36</v>
      </c>
      <c r="V27" s="71">
        <f>+U27*Q27</f>
        <v>0</v>
      </c>
      <c r="W27" s="71">
        <f>+W15*0.75</f>
        <v>0</v>
      </c>
      <c r="X27" s="71">
        <f t="shared" ref="X27:X36" si="4">+V27+W27</f>
        <v>0</v>
      </c>
      <c r="AB27" s="144"/>
      <c r="AC27" s="144"/>
      <c r="AD27" s="144"/>
      <c r="AE27" s="144"/>
    </row>
    <row r="28" spans="1:33" ht="46.5" x14ac:dyDescent="0.35">
      <c r="A28" s="544"/>
      <c r="B28" s="21" t="str">
        <f>'Door - Step 2'!B57</f>
        <v/>
      </c>
      <c r="C28" s="21">
        <f>'Quotation - Door 4'!C57</f>
        <v>0</v>
      </c>
      <c r="D28" s="121">
        <f>'Quotation - Door 4'!D57</f>
        <v>0</v>
      </c>
      <c r="E28" s="71">
        <f>IF($D28=0,0,(INDEX('Cost Sheet'!$N:$N,MATCH('Quotation - Door 4'!$D57,'Cost Sheet'!$C:$C,0))))</f>
        <v>0</v>
      </c>
      <c r="F28" s="20"/>
      <c r="G28" s="19" t="s">
        <v>133</v>
      </c>
      <c r="H28" s="71">
        <f>+IF($D28=0,0,INDEX('Accessories Install - Labour'!$E:$E,MATCH($D28,'Accessories Install - Labour'!$C:$C,0)))</f>
        <v>0</v>
      </c>
      <c r="I28" s="71">
        <f>+E28+H28</f>
        <v>0</v>
      </c>
      <c r="J28" s="71">
        <f>IF($D28=0,0,(INDEX('Cost Sheet'!$V:$V,MATCH('Quotation - Door 4'!$D57,'Cost Sheet'!$C:$C,0))))*2</f>
        <v>0</v>
      </c>
      <c r="K28" s="71">
        <f>+IF($D28=0,0,INDEX('Accessories Install - Labour'!$F:$F,MATCH($D28,'Accessories Install - Labour'!$C:$C,0)))</f>
        <v>0</v>
      </c>
      <c r="L28" s="71">
        <f>+J28+K28</f>
        <v>0</v>
      </c>
      <c r="N28" s="28" t="s">
        <v>346</v>
      </c>
      <c r="O28" s="71">
        <f>+$O$27+'Cost Sheet'!$N$10</f>
        <v>5.4686827904802993</v>
      </c>
      <c r="P28" s="49" t="s">
        <v>360</v>
      </c>
      <c r="Q28" s="30">
        <f>+(($D$7*1)*$L$4)*2</f>
        <v>0</v>
      </c>
      <c r="R28" s="71">
        <f>($O$27*$Q$27)+('Cost Sheet'!$N$10*2*$Q$31)</f>
        <v>0</v>
      </c>
      <c r="S28" s="71">
        <f>+S16*0.75</f>
        <v>0</v>
      </c>
      <c r="T28" s="71">
        <f t="shared" si="3"/>
        <v>0</v>
      </c>
      <c r="U28" s="71">
        <f>+$U$15+'Cost Sheet'!$V$10</f>
        <v>12.956203623813632</v>
      </c>
      <c r="V28" s="71">
        <f>($U$27*$Q$27)+('Cost Sheet'!$P$10*2*$Q$31)</f>
        <v>0</v>
      </c>
      <c r="W28" s="71">
        <f>+W16*0.75</f>
        <v>0</v>
      </c>
      <c r="X28" s="71">
        <f t="shared" si="4"/>
        <v>0</v>
      </c>
      <c r="AB28" s="144"/>
      <c r="AC28" s="144"/>
      <c r="AD28" s="144"/>
      <c r="AE28" s="144"/>
    </row>
    <row r="29" spans="1:33" ht="62" x14ac:dyDescent="0.35">
      <c r="A29" s="544"/>
      <c r="B29" s="21" t="str">
        <f>'Door - Step 2'!B58</f>
        <v/>
      </c>
      <c r="C29" s="21">
        <f>'Quotation - Door 4'!C58</f>
        <v>0</v>
      </c>
      <c r="D29" s="121">
        <f>'Quotation - Door 4'!D58</f>
        <v>0</v>
      </c>
      <c r="E29" s="71">
        <f>IF($D29=0,0,(INDEX('Cost Sheet'!$N:$N,MATCH('Quotation - Door 4'!$D58,'Cost Sheet'!$C:$C,0))))</f>
        <v>0</v>
      </c>
      <c r="G29" s="19" t="s">
        <v>133</v>
      </c>
      <c r="H29" s="71">
        <f>+IF($D29=0,0,INDEX('Accessories Install - Labour'!$E:$E,MATCH($D29,'Accessories Install - Labour'!$C:$C,0)))</f>
        <v>0</v>
      </c>
      <c r="I29" s="71">
        <f>IFERROR(E29+H29,E29)</f>
        <v>0</v>
      </c>
      <c r="J29" s="71">
        <f>IF($D29=0,0,(INDEX('Cost Sheet'!$V:$V,MATCH('Quotation - Door 4'!$D58,'Cost Sheet'!$C:$C,0))))*2</f>
        <v>0</v>
      </c>
      <c r="K29" s="71">
        <f>+IF($D29=0,0,INDEX('Accessories Install - Labour'!$F:$F,MATCH($D29,'Accessories Install - Labour'!$C:$C,0)))</f>
        <v>0</v>
      </c>
      <c r="L29" s="71">
        <f>IFERROR(J29+K29,I29)</f>
        <v>0</v>
      </c>
      <c r="N29" s="28" t="s">
        <v>348</v>
      </c>
      <c r="O29" s="71">
        <f>+$O$27+'Cost Sheet'!$N$3</f>
        <v>5.0548364683716329</v>
      </c>
      <c r="P29" s="49" t="s">
        <v>361</v>
      </c>
      <c r="Q29" s="30">
        <f>+(($D$7*1)*$L$4)*2</f>
        <v>0</v>
      </c>
      <c r="R29" s="71">
        <f>($O$27*$Q$27)+('Cost Sheet'!$N$3*2*$Q$31)</f>
        <v>0</v>
      </c>
      <c r="S29" s="71">
        <f>+S17*0.75</f>
        <v>0</v>
      </c>
      <c r="T29" s="71">
        <f t="shared" si="3"/>
        <v>0</v>
      </c>
      <c r="U29" s="71">
        <f>+$U$15+'Cost Sheet'!$V$3</f>
        <v>12.542357301704966</v>
      </c>
      <c r="V29" s="71">
        <f>($U$27*$Q$27)+('Cost Sheet'!$P$3*2*$Q$31)</f>
        <v>0</v>
      </c>
      <c r="W29" s="71">
        <f>+W17*0.75</f>
        <v>0</v>
      </c>
      <c r="X29" s="71">
        <f t="shared" si="4"/>
        <v>0</v>
      </c>
      <c r="AB29" s="144"/>
      <c r="AC29" s="144"/>
      <c r="AD29" s="144"/>
      <c r="AE29" s="144"/>
    </row>
    <row r="30" spans="1:33" ht="62" x14ac:dyDescent="0.35">
      <c r="A30" s="544"/>
      <c r="B30" s="21" t="str">
        <f>'Door - Step 2'!B59</f>
        <v/>
      </c>
      <c r="C30" s="21">
        <f>'Quotation - Door 4'!C59</f>
        <v>0</v>
      </c>
      <c r="D30" s="121">
        <f>'Quotation - Door 4'!D59</f>
        <v>0</v>
      </c>
      <c r="E30" s="71">
        <f>IF($D30=0,0,(INDEX('Cost Sheet'!$N:$N,MATCH('Quotation - Door 4'!$D59,'Cost Sheet'!$C:$C,0))))</f>
        <v>0</v>
      </c>
      <c r="G30" s="19" t="s">
        <v>133</v>
      </c>
      <c r="H30" s="71">
        <f>+IF($D30=0,0,INDEX('Accessories Install - Labour'!$E:$E,MATCH($D30,'Accessories Install - Labour'!$C:$C,0)))</f>
        <v>0</v>
      </c>
      <c r="I30" s="71">
        <f>+E30+H30</f>
        <v>0</v>
      </c>
      <c r="J30" s="71">
        <f>IF($D30=0,0,(INDEX('Cost Sheet'!$V:$V,MATCH('Quotation - Door 4'!$D59,'Cost Sheet'!$C:$C,0))))*2</f>
        <v>0</v>
      </c>
      <c r="K30" s="71">
        <f>+IF($D30=0,0,INDEX('Accessories Install - Labour'!$F:$F,MATCH($D30,'Accessories Install - Labour'!$C:$C,0)))</f>
        <v>0</v>
      </c>
      <c r="L30" s="71">
        <f>+J30+K30</f>
        <v>0</v>
      </c>
      <c r="N30" s="28" t="s">
        <v>350</v>
      </c>
      <c r="O30" s="71">
        <f>+$O$27+'Cost Sheet'!$N$5</f>
        <v>4.989149951610246</v>
      </c>
      <c r="P30" s="49" t="s">
        <v>361</v>
      </c>
      <c r="Q30" s="30">
        <f>+(($D$7*1)*$L$4)*2</f>
        <v>0</v>
      </c>
      <c r="R30" s="71">
        <f>($O$27*$Q$27)+('Cost Sheet'!$N$5*2*$Q$31)</f>
        <v>0</v>
      </c>
      <c r="S30" s="71">
        <f>+S18*0.75</f>
        <v>0</v>
      </c>
      <c r="T30" s="71">
        <f t="shared" si="3"/>
        <v>0</v>
      </c>
      <c r="U30" s="71">
        <f>+$U$15+'Cost Sheet'!$V$5</f>
        <v>12.476670784943579</v>
      </c>
      <c r="V30" s="71">
        <f>($U$27*$Q$27)+('Cost Sheet'!$P$5*2*$Q$31)</f>
        <v>0</v>
      </c>
      <c r="W30" s="71">
        <f>+W18*0.75</f>
        <v>0</v>
      </c>
      <c r="X30" s="71">
        <f t="shared" si="4"/>
        <v>0</v>
      </c>
      <c r="AB30" s="46" t="s">
        <v>386</v>
      </c>
      <c r="AC30" s="19" t="e">
        <f>+#REF!*12</f>
        <v>#REF!</v>
      </c>
      <c r="AD30" s="19" t="e">
        <f>+#REF!*12</f>
        <v>#REF!</v>
      </c>
      <c r="AE30" s="19" t="e">
        <f>+#REF!*12</f>
        <v>#REF!</v>
      </c>
      <c r="AF30" s="19" t="e">
        <f>+((AC30*AE30)*2)+((AD30*AE30)*2)</f>
        <v>#REF!</v>
      </c>
      <c r="AG30" s="3" t="e">
        <f>+AF30/144</f>
        <v>#REF!</v>
      </c>
    </row>
    <row r="31" spans="1:33" ht="46.5" x14ac:dyDescent="0.35">
      <c r="A31" s="544"/>
      <c r="N31" s="28" t="s">
        <v>351</v>
      </c>
      <c r="O31" s="71">
        <f>+'Cost Sheet'!$N$27+'Cost Sheet'!$N$10</f>
        <v>2.7368286238136323</v>
      </c>
      <c r="P31" s="49" t="s">
        <v>362</v>
      </c>
      <c r="Q31" s="30">
        <f>+(($D$7*$D$9)*$L$4)*2</f>
        <v>0</v>
      </c>
      <c r="R31" s="71">
        <f>+O31*Q31*2</f>
        <v>0</v>
      </c>
      <c r="S31" s="71">
        <f t="shared" ref="S31:S36" si="5">+S19*0.4</f>
        <v>0</v>
      </c>
      <c r="T31" s="71">
        <f t="shared" si="3"/>
        <v>0</v>
      </c>
      <c r="U31" s="71">
        <f>+'Cost Sheet'!$V$27+'Cost Sheet'!$V$10</f>
        <v>2.7368286238136323</v>
      </c>
      <c r="V31" s="71">
        <f>+Q31*U31*2</f>
        <v>0</v>
      </c>
      <c r="W31" s="71">
        <f t="shared" ref="W31:W36" si="6">+W19*0.4</f>
        <v>0</v>
      </c>
      <c r="X31" s="71">
        <f t="shared" si="4"/>
        <v>0</v>
      </c>
    </row>
    <row r="32" spans="1:33" ht="46.5" x14ac:dyDescent="0.35">
      <c r="A32" s="544"/>
      <c r="B32" s="21" t="str">
        <f>'Door - Step 2'!B61</f>
        <v>Labor</v>
      </c>
      <c r="C32" s="21" t="str">
        <f>'Quotation - Door 4'!C61</f>
        <v>Labor Expense</v>
      </c>
      <c r="D32" s="121">
        <f>'Quotation - Door 4'!D61</f>
        <v>0</v>
      </c>
      <c r="E32" s="20"/>
      <c r="F32" s="20"/>
      <c r="G32" s="20"/>
      <c r="H32" s="71"/>
      <c r="I32" s="71" cm="1">
        <f t="array" ref="I32">_xlfn.IFNA(IF(OR('Quotation - Door 4'!$D$30=Controller!$A$13, 'Quotation - Door 4'!$D$30=Controller!$A$14, 'Quotation - Door 4'!$D$30=Controller!$A$15),
INDEX('Door and Panel Labor Exp. '!$A$23:$I$40,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'!$A$1:$I$1, 0)
),
INDEX('Door and Panel Labor Exp. '!$A$5:$I$16,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'!$A$1:$I$1, 0)
)),0)</f>
        <v>0</v>
      </c>
      <c r="J32" s="20"/>
      <c r="K32" s="71"/>
      <c r="L32" s="71" cm="1">
        <f t="array" ref="L32">_xlfn.IFNA(IF(OR('Quotation - Door 4'!$D$30=Controller!$A$13, 'Quotation - Door 4'!$D$30=Controller!$A$14, 'Quotation - Door 4'!$D$30=Controller!$A$15),
INDEX('Door and Panel Labor Exp. '!$A$76:$I$86,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'!$A$1:$I$1, 0)
),
INDEX('Door and Panel Labor Exp. '!$A$66:$I$75,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'!$B$75:$B$76 - 'Quotation - Door 4'!$D$34), 1))), 0)),
 MATCH('Quotation - Door 4'!$D$31, 'Door and Panel Labor Exp. '!$A$1:$I$1, 0)
)),0)</f>
        <v>0</v>
      </c>
      <c r="N32" s="28" t="s">
        <v>353</v>
      </c>
      <c r="O32" s="71">
        <f>+'Cost Sheet'!$N$27+'Cost Sheet'!$N$3</f>
        <v>2.3229823017049664</v>
      </c>
      <c r="P32" s="49" t="s">
        <v>362</v>
      </c>
      <c r="Q32" s="30">
        <f>+(($D$7*$D$9)*$L$4)*2</f>
        <v>0</v>
      </c>
      <c r="R32" s="71">
        <f>+O32*Q32*2</f>
        <v>0</v>
      </c>
      <c r="S32" s="71">
        <f t="shared" si="5"/>
        <v>0</v>
      </c>
      <c r="T32" s="71">
        <f t="shared" si="3"/>
        <v>0</v>
      </c>
      <c r="U32" s="71">
        <f>+'Cost Sheet'!$V$27+'Cost Sheet'!$V$3</f>
        <v>2.3229823017049664</v>
      </c>
      <c r="V32" s="71">
        <f>+Q32*U32*2</f>
        <v>0</v>
      </c>
      <c r="W32" s="71">
        <f t="shared" si="6"/>
        <v>0</v>
      </c>
      <c r="X32" s="71">
        <f t="shared" si="4"/>
        <v>0</v>
      </c>
    </row>
    <row r="33" spans="1:24" ht="46.5" x14ac:dyDescent="0.35">
      <c r="A33" s="544"/>
      <c r="B33" s="21" t="str">
        <f>'Door - Step 2'!B62</f>
        <v xml:space="preserve">Material </v>
      </c>
      <c r="C33" s="21" t="str">
        <f>'Quotation - Door 4'!C62</f>
        <v xml:space="preserve">Foam Expense </v>
      </c>
      <c r="D33" s="121">
        <f>'Quotation - Door 4'!D62</f>
        <v>0</v>
      </c>
      <c r="E33" s="20"/>
      <c r="F33" s="30"/>
      <c r="G33" s="20"/>
      <c r="H33" s="71"/>
      <c r="I33" s="71">
        <f>_xlfn.IFNA('Quotation - Door 4'!$D$34*'Quotation - Door 4'!$D$35*(INDEX('Calculation Sheet - BOM '!$R$6:$R$10,MATCH('Quotation - Door 4'!$D$36,'Calculation Sheet - BOM '!$P$6:$P$10,0))),0)</f>
        <v>0</v>
      </c>
      <c r="J33" s="20"/>
      <c r="K33" s="71"/>
      <c r="L33" s="71">
        <f>_xlfn.IFNA('Quotation - Door 4'!$D$34*'Quotation - Door 4'!$D$35*(INDEX('Calculation Sheet - BOM '!$T$6:$T$10,MATCH('Quotation - Door 4'!$D$36,'Calculation Sheet - BOM '!$P$6:$P$10,0))),0)</f>
        <v>0</v>
      </c>
      <c r="N33" s="28" t="s">
        <v>355</v>
      </c>
      <c r="O33" s="71">
        <f>+'Cost Sheet'!$N$27+'Cost Sheet'!$N$5</f>
        <v>2.2572957849435795</v>
      </c>
      <c r="P33" s="49" t="s">
        <v>362</v>
      </c>
      <c r="Q33" s="30">
        <f>+(($D$7*$D$9)*$L$4)*2</f>
        <v>0</v>
      </c>
      <c r="R33" s="71">
        <f>+O33*Q33*2</f>
        <v>0</v>
      </c>
      <c r="S33" s="71">
        <f t="shared" si="5"/>
        <v>0</v>
      </c>
      <c r="T33" s="71">
        <f t="shared" si="3"/>
        <v>0</v>
      </c>
      <c r="U33" s="71">
        <f>+'Cost Sheet'!$V$27+'Cost Sheet'!$V$5</f>
        <v>2.2572957849435795</v>
      </c>
      <c r="V33" s="71">
        <f>+Q33*U33*2</f>
        <v>0</v>
      </c>
      <c r="W33" s="71">
        <f t="shared" si="6"/>
        <v>0</v>
      </c>
      <c r="X33" s="71">
        <f t="shared" si="4"/>
        <v>0</v>
      </c>
    </row>
    <row r="34" spans="1:24" ht="31" x14ac:dyDescent="0.35">
      <c r="A34" s="544"/>
      <c r="B34" s="21" t="str">
        <f>'Door - Step 2'!B63</f>
        <v xml:space="preserve">Material </v>
      </c>
      <c r="C34" s="21" t="str">
        <f>'Quotation - Door 4'!C63</f>
        <v>Bottom Sweep</v>
      </c>
      <c r="D34" s="121" t="str">
        <f>'Quotation - Door 4'!D63</f>
        <v/>
      </c>
      <c r="E34" s="71">
        <f>+'Cost Sheet'!$N$72</f>
        <v>0.94</v>
      </c>
      <c r="F34" s="30">
        <f>+D6*L2*2</f>
        <v>0</v>
      </c>
      <c r="G34" s="19" t="s">
        <v>133</v>
      </c>
      <c r="H34" s="71">
        <f>+IF($D34=0,0,'Accessories Install - Labour'!$E$28)</f>
        <v>13</v>
      </c>
      <c r="I34" s="71">
        <f>(E34*F34)+H34</f>
        <v>13</v>
      </c>
      <c r="J34" s="71">
        <f>+'Cost Sheet'!$V$72</f>
        <v>0.94</v>
      </c>
      <c r="K34" s="71">
        <f>+IF($D34=0,0,'Accessories Install - Labour'!$F$28)</f>
        <v>13</v>
      </c>
      <c r="L34" s="71">
        <f>(F34*J34)+K34</f>
        <v>13</v>
      </c>
      <c r="N34" s="28" t="s">
        <v>356</v>
      </c>
      <c r="O34" s="71">
        <f>+'Cost Sheet'!$N$24+'Cost Sheet'!$N$10</f>
        <v>6.0253702904802982</v>
      </c>
      <c r="P34" s="49" t="s">
        <v>347</v>
      </c>
      <c r="Q34" s="30">
        <f t="shared" ref="Q34:Q36" si="7">+($D$7*2*$L$2)</f>
        <v>0</v>
      </c>
      <c r="R34" s="71">
        <f>('Cost Sheet'!$N$24*$Q34)+('Cost Sheet'!$N$10*$Q$33)</f>
        <v>0</v>
      </c>
      <c r="S34" s="71">
        <f t="shared" si="5"/>
        <v>0</v>
      </c>
      <c r="T34" s="71">
        <f t="shared" si="3"/>
        <v>0</v>
      </c>
      <c r="U34" s="71">
        <f>+'Cost Sheet'!$V$24+'Cost Sheet'!$V$10</f>
        <v>6.0253702904802982</v>
      </c>
      <c r="V34" s="71">
        <f>('Cost Sheet'!$P$24*$Q34)+('Cost Sheet'!$P$10*$Q$33)</f>
        <v>0</v>
      </c>
      <c r="W34" s="71">
        <f t="shared" si="6"/>
        <v>0</v>
      </c>
      <c r="X34" s="71">
        <f t="shared" si="4"/>
        <v>0</v>
      </c>
    </row>
    <row r="35" spans="1:24" ht="46.5" x14ac:dyDescent="0.35">
      <c r="A35" s="544"/>
      <c r="B35" s="21" t="str">
        <f>'Door - Step 2'!B64</f>
        <v xml:space="preserve">Material </v>
      </c>
      <c r="C35" s="21" t="str">
        <f>'Quotation - Door 4'!C64</f>
        <v>Weather Strip</v>
      </c>
      <c r="D35" s="121" t="str">
        <f>'Quotation - Door 4'!D64</f>
        <v/>
      </c>
      <c r="E35" s="71">
        <f>_xlfn.IFNA(INDEX('Cost Sheet'!$N$73:$N$75,MATCH($D$8,'Cost Sheet'!$D$73:$D$75,0)),0)</f>
        <v>0</v>
      </c>
      <c r="F35" s="30">
        <f>+D6*L2</f>
        <v>0</v>
      </c>
      <c r="G35" s="19" t="s">
        <v>133</v>
      </c>
      <c r="H35" s="71">
        <f>+IF($D35=0,0,'Accessories Install - Labour'!$E$32)</f>
        <v>39</v>
      </c>
      <c r="I35" s="71">
        <f>_xlfn.IFNA(E35*F35,0)+H35</f>
        <v>39</v>
      </c>
      <c r="J35" s="71">
        <f>_xlfn.IFNA((INDEX('Cost Sheet'!$V$73:$V$75,MATCH($D8,'Cost Sheet'!$D$73:$D$75,0))*F35),0)</f>
        <v>0</v>
      </c>
      <c r="K35" s="71">
        <f>+IF($D35=0,0,'Accessories Install - Labour'!$F$32)</f>
        <v>39</v>
      </c>
      <c r="L35" s="71">
        <f>_xlfn.IFNA(F35*J35,0)+K35</f>
        <v>39</v>
      </c>
      <c r="N35" s="28" t="s">
        <v>55</v>
      </c>
      <c r="O35" s="71">
        <f>+'Cost Sheet'!$N$24+'Cost Sheet'!$N$3</f>
        <v>5.6115239683716327</v>
      </c>
      <c r="P35" s="49" t="s">
        <v>349</v>
      </c>
      <c r="Q35" s="30">
        <f t="shared" si="7"/>
        <v>0</v>
      </c>
      <c r="R35" s="71">
        <f>('Cost Sheet'!$N$24*$Q35)+('Cost Sheet'!$N$3*$Q$33)</f>
        <v>0</v>
      </c>
      <c r="S35" s="71">
        <f t="shared" si="5"/>
        <v>0</v>
      </c>
      <c r="T35" s="71">
        <f t="shared" si="3"/>
        <v>0</v>
      </c>
      <c r="U35" s="71">
        <f>+'Cost Sheet'!$V$24+'Cost Sheet'!$V$3</f>
        <v>5.6115239683716327</v>
      </c>
      <c r="V35" s="71">
        <f>('Cost Sheet'!$P$24*$Q35)+('Cost Sheet'!$P$3*$Q$33)</f>
        <v>0</v>
      </c>
      <c r="W35" s="71">
        <f t="shared" si="6"/>
        <v>0</v>
      </c>
      <c r="X35" s="71">
        <f t="shared" si="4"/>
        <v>0</v>
      </c>
    </row>
    <row r="36" spans="1:24" ht="46.5" x14ac:dyDescent="0.35">
      <c r="A36" s="544"/>
      <c r="B36" s="21" t="str">
        <f>'Door - Step 2'!B65</f>
        <v xml:space="preserve">Material </v>
      </c>
      <c r="C36" s="21" t="str">
        <f>'Quotation - Door 4'!C65</f>
        <v>Gasket</v>
      </c>
      <c r="D36" s="121">
        <f>'Quotation - Door 4'!D65</f>
        <v>0</v>
      </c>
      <c r="E36" s="71">
        <f>+IF(OR('Quotation - Door 4'!$D$30=Controller!$A$13, 'Quotation - Door 4'!$D$30=Controller!$A$14, 'Quotation - Door 4'!$D$30=Controller!$A$15),SUM('Cost Sheet'!$N$69:$N$70),SUM('Cost Sheet'!$N$67:$N$68))</f>
        <v>1.79</v>
      </c>
      <c r="F36" s="30">
        <f>+((D6+D7)*2)*L2</f>
        <v>0</v>
      </c>
      <c r="G36" s="19" t="s">
        <v>133</v>
      </c>
      <c r="H36" s="71">
        <f>+IF($D36=0,0,'Accessories Install - Labour'!$E$25)</f>
        <v>0</v>
      </c>
      <c r="I36" s="71">
        <f>(F36*E36)+H36</f>
        <v>0</v>
      </c>
      <c r="J36" s="71">
        <f>+IF(OR('Quotation - Door 4'!$D$30=Controller!$A$13, 'Quotation - Door 4'!$D$30=Controller!$A$14, 'Quotation - Door 4'!$D$30=Controller!$A$16),SUM('Cost Sheet'!$V$69:$V$70),SUM('Cost Sheet'!$V$67:$V$68))</f>
        <v>1.79</v>
      </c>
      <c r="K36" s="71">
        <f>+IF($D36=0,0,'Accessories Install - Labour'!$F$25)</f>
        <v>0</v>
      </c>
      <c r="L36" s="71">
        <f>(J36*F36)+K36</f>
        <v>0</v>
      </c>
      <c r="N36" s="28" t="s">
        <v>357</v>
      </c>
      <c r="O36" s="71">
        <f>+'Cost Sheet'!$N$24+'Cost Sheet'!$N$5</f>
        <v>5.5458374516102458</v>
      </c>
      <c r="P36" s="49" t="s">
        <v>349</v>
      </c>
      <c r="Q36" s="30">
        <f t="shared" si="7"/>
        <v>0</v>
      </c>
      <c r="R36" s="71">
        <f>('Cost Sheet'!$N$24*$Q36)+('Cost Sheet'!$N$5*$Q$33)</f>
        <v>0</v>
      </c>
      <c r="S36" s="71">
        <f t="shared" si="5"/>
        <v>0</v>
      </c>
      <c r="T36" s="71">
        <f t="shared" si="3"/>
        <v>0</v>
      </c>
      <c r="U36" s="71">
        <f>+'Cost Sheet'!$V$24+'Cost Sheet'!$V$5</f>
        <v>5.5458374516102458</v>
      </c>
      <c r="V36" s="71">
        <f>('Cost Sheet'!$P$24*$Q36)+('Cost Sheet'!$P$5*$Q$33)</f>
        <v>0</v>
      </c>
      <c r="W36" s="71">
        <f t="shared" si="6"/>
        <v>0</v>
      </c>
      <c r="X36" s="71">
        <f t="shared" si="4"/>
        <v>0</v>
      </c>
    </row>
    <row r="37" spans="1:24" x14ac:dyDescent="0.35">
      <c r="A37" s="544"/>
      <c r="B37" s="21" t="str">
        <f>'Door - Step 2'!B66</f>
        <v xml:space="preserve">Material </v>
      </c>
      <c r="C37" s="21" t="str">
        <f>'Quotation - Door 4'!C66</f>
        <v xml:space="preserve">Additional Gasket </v>
      </c>
      <c r="D37" s="121" t="str">
        <f>'Quotation - Door 4'!D66</f>
        <v>Not Required</v>
      </c>
      <c r="E37" s="71" t="e">
        <f>IF($D37=0,0,(INDEX('Cost Sheet'!$N:$N,MATCH('Quotation - Door 4'!$D66,'Cost Sheet'!$C:$C,0))))</f>
        <v>#N/A</v>
      </c>
      <c r="F37" s="30">
        <f>+((D6+D7)*2)*L2</f>
        <v>0</v>
      </c>
      <c r="G37" s="19" t="s">
        <v>133</v>
      </c>
      <c r="H37" s="71">
        <f>+IF($D37=0,0,'Accessories Install - Labour'!$E$26)</f>
        <v>21.666666666666668</v>
      </c>
      <c r="I37" s="71" t="e">
        <f>(F37*E37)+H37</f>
        <v>#N/A</v>
      </c>
      <c r="J37" s="71" t="e">
        <f>IF($D37=0,0,(INDEX('Cost Sheet'!$V:$V,MATCH('Quotation - Door 4'!$D66,'Cost Sheet'!$C:$C,0))))</f>
        <v>#N/A</v>
      </c>
      <c r="K37" s="71">
        <f>+IF($D37=0,0,'Accessories Install - Labour'!$F$26)</f>
        <v>21.666666666666668</v>
      </c>
      <c r="L37" s="71" t="e">
        <f>(J37*F37)+K37</f>
        <v>#N/A</v>
      </c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</row>
    <row r="38" spans="1:24" ht="43.5" x14ac:dyDescent="0.35">
      <c r="A38" s="544"/>
      <c r="N38" s="119" t="s">
        <v>363</v>
      </c>
      <c r="O38" s="160" t="s">
        <v>321</v>
      </c>
      <c r="P38" s="160" t="s">
        <v>322</v>
      </c>
      <c r="Q38" s="160" t="s">
        <v>323</v>
      </c>
      <c r="R38" s="160" t="s">
        <v>324</v>
      </c>
      <c r="S38" s="160" t="s">
        <v>134</v>
      </c>
      <c r="T38" s="160" t="s">
        <v>325</v>
      </c>
      <c r="U38" s="160" t="s">
        <v>326</v>
      </c>
      <c r="V38" s="160" t="s">
        <v>327</v>
      </c>
      <c r="W38" s="160" t="s">
        <v>328</v>
      </c>
      <c r="X38" s="160" t="s">
        <v>329</v>
      </c>
    </row>
    <row r="39" spans="1:24" ht="31" x14ac:dyDescent="0.35">
      <c r="A39" s="544"/>
      <c r="N39" s="28" t="s">
        <v>344</v>
      </c>
      <c r="O39" s="71">
        <f>+'Cost Sheet'!$N$15</f>
        <v>3.8724791666666665</v>
      </c>
      <c r="P39" s="49" t="s">
        <v>364</v>
      </c>
      <c r="Q39" s="30">
        <f>SUM((($O$12*($D$7+(2*$O$12)))),($O$12*($D$6+(2*$O$12))))*2*$L$4</f>
        <v>1.8366586140500001</v>
      </c>
      <c r="R39" s="71">
        <f>+Q39*O39</f>
        <v>7.1124222191874988</v>
      </c>
      <c r="S39" s="71" cm="1">
        <f t="array" ref="S39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39" s="71">
        <f t="shared" ref="T39:T46" si="8">+R39+S39</f>
        <v>7.1124222191874988</v>
      </c>
      <c r="U39" s="71">
        <f>+IF($D$3="Freezer",'Cost Sheet'!$V$22,'Cost Sheet'!$V$21)</f>
        <v>11.36</v>
      </c>
      <c r="V39" s="71">
        <f>+U39*Q39</f>
        <v>20.864441855608</v>
      </c>
      <c r="W39" s="71" cm="1">
        <f t="array" ref="W39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39" s="71">
        <f t="shared" ref="X39:X46" si="9">+V39+W39</f>
        <v>20.864441855608</v>
      </c>
    </row>
    <row r="40" spans="1:24" ht="46.5" x14ac:dyDescent="0.35">
      <c r="A40" s="544"/>
      <c r="N40" s="28" t="s">
        <v>346</v>
      </c>
      <c r="O40" s="71">
        <f>+$O$39+'Cost Sheet'!$N$10</f>
        <v>5.4686827904802993</v>
      </c>
      <c r="P40" s="49" t="s">
        <v>365</v>
      </c>
      <c r="Q40" s="30">
        <f t="shared" ref="Q40:Q42" si="10">SUM((($O$12*($D$7+(2*$O$12)))),($O$12*($D$6+(2*$O$12))))*2*$L$4</f>
        <v>1.8366586140500001</v>
      </c>
      <c r="R40" s="71">
        <f>($O$15*$Q$15)+('Cost Sheet'!$N$10*2*$Q$19)</f>
        <v>27.635824670910267</v>
      </c>
      <c r="S40" s="71" cm="1">
        <f t="array" ref="S40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0" s="71">
        <f t="shared" si="8"/>
        <v>27.635824670910267</v>
      </c>
      <c r="U40" s="71">
        <f>+$U$15+'Cost Sheet'!$V$10</f>
        <v>12.956203623813632</v>
      </c>
      <c r="V40" s="71">
        <f>($U$15*$Q$15)+('Cost Sheet'!$P$10*2*$Q$19)</f>
        <v>27.635824670910267</v>
      </c>
      <c r="W40" s="71" cm="1">
        <f t="array" ref="W40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0" s="71">
        <f t="shared" si="9"/>
        <v>27.635824670910267</v>
      </c>
    </row>
    <row r="41" spans="1:24" ht="62" x14ac:dyDescent="0.35">
      <c r="A41" s="544"/>
      <c r="B41" s="226" t="s">
        <v>366</v>
      </c>
      <c r="D41" s="150" t="s">
        <v>82</v>
      </c>
      <c r="E41" s="160" t="s">
        <v>321</v>
      </c>
      <c r="F41" s="160" t="s">
        <v>334</v>
      </c>
      <c r="G41" s="160" t="s">
        <v>322</v>
      </c>
      <c r="H41" s="220" t="s">
        <v>335</v>
      </c>
      <c r="I41" s="160" t="s">
        <v>336</v>
      </c>
      <c r="J41" s="160" t="s">
        <v>337</v>
      </c>
      <c r="K41" s="220" t="s">
        <v>338</v>
      </c>
      <c r="L41" s="160" t="s">
        <v>339</v>
      </c>
      <c r="N41" s="28" t="s">
        <v>348</v>
      </c>
      <c r="O41" s="71">
        <f>+$O$39+'Cost Sheet'!$N$3</f>
        <v>5.0548364683716329</v>
      </c>
      <c r="P41" s="49" t="s">
        <v>367</v>
      </c>
      <c r="Q41" s="30">
        <f t="shared" si="10"/>
        <v>1.8366586140500001</v>
      </c>
      <c r="R41" s="71">
        <f>($O$15*$Q$15)+('Cost Sheet'!$N$3*2*$Q$19)</f>
        <v>26.115635846122682</v>
      </c>
      <c r="S41" s="71" cm="1">
        <f t="array" ref="S41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1" s="71">
        <f t="shared" si="8"/>
        <v>26.115635846122682</v>
      </c>
      <c r="U41" s="71">
        <f>+$U$15+'Cost Sheet'!$V$3</f>
        <v>12.542357301704966</v>
      </c>
      <c r="V41" s="71">
        <f>($U$15*$Q$15)+('Cost Sheet'!$P$3*2*$Q$19)</f>
        <v>26.115635846122682</v>
      </c>
      <c r="W41" s="71" cm="1">
        <f t="array" ref="W41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1" s="71">
        <f t="shared" si="9"/>
        <v>26.115635846122682</v>
      </c>
    </row>
    <row r="42" spans="1:24" ht="62" x14ac:dyDescent="0.35">
      <c r="A42" s="544"/>
      <c r="B42" s="227"/>
      <c r="C42" s="21" t="str">
        <f>'Door - Step 2'!C69</f>
        <v xml:space="preserve">Sliding Door Parts </v>
      </c>
      <c r="D42" s="121" t="str">
        <f>+IF($D$2="Polyfoam Overlap Doors - Swing door","","SS Tube")</f>
        <v>SS Tube</v>
      </c>
      <c r="E42" s="71">
        <f>IF($D42=0,0,(INDEX('Cost Sheet'!$N:$N,MATCH('Quotation - Door 4'!$D69,'Cost Sheet'!$C:$C,0))))</f>
        <v>12</v>
      </c>
      <c r="F42" s="19">
        <f>+IF(D6=0,0,((D6*2)+17))</f>
        <v>0</v>
      </c>
      <c r="G42" s="19" t="s">
        <v>133</v>
      </c>
      <c r="H42" s="71">
        <f>+IF($D$6=0,0,INDEX('Accessories Install - Labour'!$E:$E,MATCH($D42,'Accessories Install - Labour'!$C:$C,0)))</f>
        <v>0</v>
      </c>
      <c r="I42" s="71">
        <f>_xlfn.IFNA(IF(D42=0,0,(E42*F42*L2))+H42,0)</f>
        <v>0</v>
      </c>
      <c r="J42" s="71">
        <f>IF($D$6=0,0,(INDEX('Cost Sheet'!$V:$V,MATCH('Quotation - Door 4'!$D69,'Cost Sheet'!$C:$C,0))))</f>
        <v>0</v>
      </c>
      <c r="K42" s="71">
        <f>+IF($D$6=0,0,INDEX('Accessories Install - Labour'!$F:$F,MATCH($D42,'Accessories Install - Labour'!$C:$C,0)))</f>
        <v>0</v>
      </c>
      <c r="L42" s="71">
        <f>_xlfn.IFNA(IF(D42=0,0,(J42*F42*$L$2))+K42,0)</f>
        <v>0</v>
      </c>
      <c r="N42" s="28" t="s">
        <v>350</v>
      </c>
      <c r="O42" s="71">
        <f>+$O$39+'Cost Sheet'!$N$5</f>
        <v>4.989149951610246</v>
      </c>
      <c r="P42" s="49" t="s">
        <v>367</v>
      </c>
      <c r="Q42" s="30">
        <f t="shared" si="10"/>
        <v>1.8366586140500001</v>
      </c>
      <c r="R42" s="71">
        <f>($O$15*$Q$15)+('Cost Sheet'!$N$5*2*$Q$19)</f>
        <v>25.874348432449199</v>
      </c>
      <c r="S42" s="71" cm="1">
        <f t="array" ref="S42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2" s="71">
        <f t="shared" si="8"/>
        <v>25.874348432449199</v>
      </c>
      <c r="U42" s="71">
        <f>+$U$15+'Cost Sheet'!$V$5</f>
        <v>12.476670784943579</v>
      </c>
      <c r="V42" s="71">
        <f>($U$15*$Q$15)+('Cost Sheet'!$P$5*2*$Q$19)</f>
        <v>25.874348432449199</v>
      </c>
      <c r="W42" s="71" cm="1">
        <f t="array" ref="W42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2" s="71">
        <f t="shared" si="9"/>
        <v>25.874348432449199</v>
      </c>
    </row>
    <row r="43" spans="1:24" ht="46.5" x14ac:dyDescent="0.35">
      <c r="A43" s="544"/>
      <c r="B43" s="227"/>
      <c r="C43" s="21" t="str">
        <f>'Door - Step 2'!C70</f>
        <v xml:space="preserve">Sliding Door Parts </v>
      </c>
      <c r="D43" s="121" t="str">
        <f>'Quotation - Door 4'!D70</f>
        <v>Main Roller</v>
      </c>
      <c r="E43" s="71">
        <f>IF($D43=0,0,(INDEX('Cost Sheet'!$N:$N,MATCH('Quotation - Door 4'!$D70,'Cost Sheet'!$C:$C,0))))</f>
        <v>168</v>
      </c>
      <c r="F43" s="20"/>
      <c r="G43" s="19" t="s">
        <v>133</v>
      </c>
      <c r="H43" s="71">
        <f>+IF($D$6=0,0,INDEX('Accessories Install - Labour'!$E:$E,MATCH($D43,'Accessories Install - Labour'!$C:$C,0)))</f>
        <v>0</v>
      </c>
      <c r="I43" s="71">
        <f>_xlfn.IFNA(IF(D6=0,0,(E43+H43)),0)</f>
        <v>0</v>
      </c>
      <c r="J43" s="71">
        <f>IF($D$6=0,0,(INDEX('Cost Sheet'!$V:$V,MATCH('Quotation - Door 4'!$D70,'Cost Sheet'!$C:$C,0))))</f>
        <v>0</v>
      </c>
      <c r="K43" s="71">
        <f>+IF($D$6=0,0,INDEX('Accessories Install - Labour'!$F:$F,MATCH($D43,'Accessories Install - Labour'!$C:$C,0)))</f>
        <v>0</v>
      </c>
      <c r="L43" s="71">
        <f>_xlfn.IFNA(IF(D43=0,0,(J43+K43)),0)</f>
        <v>0</v>
      </c>
      <c r="N43" s="28" t="s">
        <v>351</v>
      </c>
      <c r="O43" s="71">
        <f>+'Cost Sheet'!$N$27+'Cost Sheet'!$N$10</f>
        <v>2.7368286238136323</v>
      </c>
      <c r="P43" s="49" t="s">
        <v>352</v>
      </c>
      <c r="Q43" s="30">
        <f>SUM((($O$12*($D$7+(2*$O$12)))),($O$12*($D$6+(2*$O$12))))*2*$L$4</f>
        <v>1.8366586140500001</v>
      </c>
      <c r="R43" s="71">
        <f>+O43*Q43*2</f>
        <v>10.05323973421183</v>
      </c>
      <c r="S43" s="71" cm="1">
        <f t="array" ref="S43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3" s="71">
        <f t="shared" si="8"/>
        <v>10.05323973421183</v>
      </c>
      <c r="U43" s="71">
        <f>+'Cost Sheet'!$V$27+'Cost Sheet'!$V$10</f>
        <v>2.7368286238136323</v>
      </c>
      <c r="V43" s="71">
        <f>+Q43*U43*2</f>
        <v>10.05323973421183</v>
      </c>
      <c r="W43" s="71" cm="1">
        <f t="array" ref="W43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3" s="71">
        <f t="shared" si="9"/>
        <v>10.05323973421183</v>
      </c>
    </row>
    <row r="44" spans="1:24" ht="46.5" x14ac:dyDescent="0.35">
      <c r="A44" s="544"/>
      <c r="B44" s="227"/>
      <c r="C44" s="21" t="str">
        <f>'Door - Step 2'!C71</f>
        <v xml:space="preserve">Sliding Door Parts </v>
      </c>
      <c r="D44" s="121" t="str">
        <f>'Quotation - Door 4'!D71</f>
        <v>Bottom Stay Roller</v>
      </c>
      <c r="E44" s="71">
        <f>IF($D44=0,0,(INDEX('Cost Sheet'!$N:$N,MATCH('Quotation - Door 4'!$D71,'Cost Sheet'!$C:$C,0))))</f>
        <v>27</v>
      </c>
      <c r="F44" s="20"/>
      <c r="G44" s="19" t="s">
        <v>133</v>
      </c>
      <c r="H44" s="71">
        <f>+IF($D$6=0,0,INDEX('Accessories Install - Labour'!$E:$E,MATCH($D44,'Accessories Install - Labour'!$C:$C,0)))</f>
        <v>0</v>
      </c>
      <c r="I44" s="71">
        <f>_xlfn.IFNA(IF(D6=0,0,(E44+H44)),0)</f>
        <v>0</v>
      </c>
      <c r="J44" s="71">
        <f>IF($D$6=0,0,(INDEX('Cost Sheet'!$V:$V,MATCH('Quotation - Door 4'!$D71,'Cost Sheet'!$C:$C,0))))</f>
        <v>0</v>
      </c>
      <c r="K44" s="71">
        <f>+IF($D$6=0,0,INDEX('Accessories Install - Labour'!$F:$F,MATCH($D44,'Accessories Install - Labour'!$C:$C,0)))</f>
        <v>0</v>
      </c>
      <c r="L44" s="71">
        <f>_xlfn.IFNA(IF(D44=0,0,(J44+K44)),0)</f>
        <v>0</v>
      </c>
      <c r="N44" s="28" t="s">
        <v>353</v>
      </c>
      <c r="O44" s="71">
        <f>+'Cost Sheet'!$N$27+'Cost Sheet'!$N$3</f>
        <v>2.3229823017049664</v>
      </c>
      <c r="P44" s="49" t="s">
        <v>352</v>
      </c>
      <c r="Q44" s="30">
        <f>SUM((($O$12*($D$7+(2*$O$12)))),($O$12*($D$6+(2*$O$12))))*2*$L$4</f>
        <v>1.8366586140500001</v>
      </c>
      <c r="R44" s="71">
        <f>+O44*Q44*2</f>
        <v>8.5330509094242455</v>
      </c>
      <c r="S44" s="71" cm="1">
        <f t="array" ref="S44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4" s="71">
        <f t="shared" si="8"/>
        <v>8.5330509094242455</v>
      </c>
      <c r="U44" s="71">
        <f>+'Cost Sheet'!$V$27+'Cost Sheet'!$V$3</f>
        <v>2.3229823017049664</v>
      </c>
      <c r="V44" s="71">
        <f>+Q44*U44*2</f>
        <v>8.5330509094242455</v>
      </c>
      <c r="W44" s="71" cm="1">
        <f t="array" ref="W44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4" s="71">
        <f t="shared" si="9"/>
        <v>8.5330509094242455</v>
      </c>
    </row>
    <row r="45" spans="1:24" ht="46.5" x14ac:dyDescent="0.35">
      <c r="A45" s="544"/>
      <c r="B45" s="227"/>
      <c r="C45" s="21" t="str">
        <f>'Door - Step 2'!C72</f>
        <v xml:space="preserve">Sliding Door Parts </v>
      </c>
      <c r="D45" s="121" t="str">
        <f>'Quotation - Door 4'!D72</f>
        <v>Aluminum Frame bracket</v>
      </c>
      <c r="E45" s="71">
        <f>IF($D45=0,0,(INDEX('Cost Sheet'!$N:$N,MATCH('Quotation - Door 4'!$D72,'Cost Sheet'!$C:$C,0))))</f>
        <v>19.93</v>
      </c>
      <c r="F45" s="19">
        <f>ROUNDUP(($F$42/30),0)</f>
        <v>0</v>
      </c>
      <c r="G45" s="19" t="s">
        <v>133</v>
      </c>
      <c r="H45" s="71">
        <f>+IF($D$6=0,0,INDEX('Accessories Install - Labour'!$E:$E,MATCH($D45,'Accessories Install - Labour'!$C:$C,0)))</f>
        <v>0</v>
      </c>
      <c r="I45" s="71">
        <f>_xlfn.IFNA(IF(D6=0,0,((E45*$F$45)+H45)),0)</f>
        <v>0</v>
      </c>
      <c r="J45" s="71">
        <f>IF($D$6=0,0,(INDEX('Cost Sheet'!$V:$V,MATCH('Quotation - Door 4'!$D72,'Cost Sheet'!$C:$C,0))))</f>
        <v>0</v>
      </c>
      <c r="K45" s="71">
        <f>+IF($D$6=0,0,INDEX('Accessories Install - Labour'!$F:$F,MATCH($D45,'Accessories Install - Labour'!$C:$C,0)))</f>
        <v>0</v>
      </c>
      <c r="L45" s="71">
        <f>_xlfn.IFNA(IF(D45=0,0,((J45*F45)+K45)),0)</f>
        <v>0</v>
      </c>
      <c r="N45" s="28" t="s">
        <v>355</v>
      </c>
      <c r="O45" s="71">
        <f>+'Cost Sheet'!$N$27+'Cost Sheet'!$N$5</f>
        <v>2.2572957849435795</v>
      </c>
      <c r="P45" s="49" t="s">
        <v>352</v>
      </c>
      <c r="Q45" s="30">
        <f>SUM((($O$12*($D$7+(2*$O$12)))),($O$12*($D$6+(2*$O$12))))*2*$L$4</f>
        <v>1.8366586140500001</v>
      </c>
      <c r="R45" s="71">
        <f>+O45*Q45*2</f>
        <v>8.2917634957507644</v>
      </c>
      <c r="S45" s="71" cm="1">
        <f t="array" ref="S45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5" s="71">
        <f t="shared" si="8"/>
        <v>8.2917634957507644</v>
      </c>
      <c r="U45" s="71">
        <f>+'Cost Sheet'!$V$27+'Cost Sheet'!$V$5</f>
        <v>2.2572957849435795</v>
      </c>
      <c r="V45" s="71">
        <f>+Q45*U45*2</f>
        <v>8.2917634957507644</v>
      </c>
      <c r="W45" s="71" cm="1">
        <f t="array" ref="W45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5" s="71">
        <f t="shared" si="9"/>
        <v>8.2917634957507644</v>
      </c>
    </row>
    <row r="46" spans="1:24" ht="31" x14ac:dyDescent="0.35">
      <c r="A46" s="207"/>
      <c r="B46" s="227"/>
      <c r="C46" s="21" t="str">
        <f>'Door - Step 2'!C73</f>
        <v xml:space="preserve">Sliding Door Parts </v>
      </c>
      <c r="D46" s="121" t="b">
        <f>'Quotation - Door 4'!D73</f>
        <v>0</v>
      </c>
      <c r="E46" s="71">
        <f>_xlfn.IFNA(IF($D46=0,0,(INDEX('Cost Sheet'!$N:$N,MATCH('Quotation - Door 4'!$D73,'Cost Sheet'!$C:$C,0)))),0)</f>
        <v>0</v>
      </c>
      <c r="F46" s="20"/>
      <c r="G46" s="19" t="s">
        <v>133</v>
      </c>
      <c r="H46" s="71" t="e">
        <f>+IF($D46=0,0,INDEX('Accessories Install - Labour'!$E:$E,MATCH($D46,'Accessories Install - Labour'!$C:$C,0)))</f>
        <v>#N/A</v>
      </c>
      <c r="I46" s="71">
        <f>_xlfn.IFNA(IF(D46=0,0,(E46+H46)),0)</f>
        <v>0</v>
      </c>
      <c r="J46" s="71" t="e">
        <f>IF($D46=0,0,(INDEX('Cost Sheet'!$V:$V,MATCH('Quotation - Door 4'!$D73,'Cost Sheet'!$C:$C,0))))</f>
        <v>#N/A</v>
      </c>
      <c r="K46" s="71" t="e">
        <f>+IF($D46=0,0,INDEX('Accessories Install - Labour'!$F:$F,MATCH($D46,'Accessories Install - Labour'!$C:$C,0)))</f>
        <v>#N/A</v>
      </c>
      <c r="L46" s="71">
        <f>_xlfn.IFNA(IF(D46=0,0,(J46+K46)),0)</f>
        <v>0</v>
      </c>
      <c r="N46" s="28" t="s">
        <v>356</v>
      </c>
      <c r="O46" s="71">
        <f>+'Cost Sheet'!$N$24+'Cost Sheet'!$N$10</f>
        <v>6.0253702904802982</v>
      </c>
      <c r="P46" s="49" t="s">
        <v>347</v>
      </c>
      <c r="Q46" s="30">
        <f>((($D$6*2)+(($D$7+($O$12*2))*2))*'Calculation Sheet - BOM '!$L$2)</f>
        <v>1.91659</v>
      </c>
      <c r="R46" s="71">
        <f>('Cost Sheet'!$N$24*$Q46)+('Cost Sheet'!$N$10*$Q$21)</f>
        <v>11.420577677121798</v>
      </c>
      <c r="S46" s="71" cm="1">
        <f t="array" ref="S46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6" s="71">
        <f t="shared" si="8"/>
        <v>11.420577677121798</v>
      </c>
      <c r="U46" s="71">
        <f>+'Cost Sheet'!$V$24+'Cost Sheet'!$V$10</f>
        <v>6.0253702904802982</v>
      </c>
      <c r="V46" s="71">
        <f>('Cost Sheet'!$P$24*$Q46)+('Cost Sheet'!$P$10*$Q$21)</f>
        <v>11.420577677121798</v>
      </c>
      <c r="W46" s="71" cm="1">
        <f t="array" ref="W46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6" s="71">
        <f t="shared" si="9"/>
        <v>11.420577677121798</v>
      </c>
    </row>
    <row r="47" spans="1:24" ht="46.5" x14ac:dyDescent="0.35">
      <c r="A47" s="207"/>
      <c r="B47" s="227"/>
      <c r="C47" s="21" t="str">
        <f>'Door - Step 2'!C74</f>
        <v xml:space="preserve">Sliding Door Parts </v>
      </c>
      <c r="D47" s="121" t="b">
        <f>'Quotation - Door 4'!D74</f>
        <v>0</v>
      </c>
      <c r="E47" s="71">
        <f>_xlfn.IFNA(IF($D47=0,0,(INDEX('Cost Sheet'!$N:$N,MATCH('Quotation - Door 4'!$D74,'Cost Sheet'!$C:$C,0)))),0)</f>
        <v>0</v>
      </c>
      <c r="F47" s="20"/>
      <c r="G47" s="19" t="s">
        <v>133</v>
      </c>
      <c r="H47" s="71" t="e">
        <f>+IF($D47=0,0,INDEX('Accessories Install - Labour'!$E:$E,MATCH($D47,'Accessories Install - Labour'!$C:$C,0)))</f>
        <v>#N/A</v>
      </c>
      <c r="I47" s="71">
        <f t="shared" ref="I47:I53" si="11">_xlfn.IFNA(IF(D47=0,0,(E47+H47)),0)</f>
        <v>0</v>
      </c>
      <c r="J47" s="71" t="e">
        <f>IF($D47=0,0,(INDEX('Cost Sheet'!$V:$V,MATCH('Quotation - Door 4'!$D74,'Cost Sheet'!$C:$C,0))))</f>
        <v>#N/A</v>
      </c>
      <c r="K47" s="71" t="e">
        <f>+IF($D47=0,0,INDEX('Accessories Install - Labour'!$F:$F,MATCH($D47,'Accessories Install - Labour'!$C:$C,0)))</f>
        <v>#N/A</v>
      </c>
      <c r="L47" s="71">
        <f t="shared" ref="L47:L53" si="12">_xlfn.IFNA(IF(G47=0,0,(H47+K47)),0)</f>
        <v>0</v>
      </c>
      <c r="N47" s="28" t="s">
        <v>55</v>
      </c>
      <c r="O47" s="71">
        <f>+'Cost Sheet'!$N$24+'Cost Sheet'!$N$3</f>
        <v>5.6115239683716327</v>
      </c>
      <c r="P47" s="49" t="s">
        <v>349</v>
      </c>
      <c r="Q47" s="30">
        <f>((($D$6*2)+(($D$7+($O$12*2))*2))*'Calculation Sheet - BOM '!$L$2)</f>
        <v>1.91659</v>
      </c>
      <c r="R47" s="71">
        <f>('Cost Sheet'!$N$24*$Q47)+('Cost Sheet'!$N$3*$Q$21)</f>
        <v>10.660483264728008</v>
      </c>
      <c r="S47" s="71" cm="1">
        <f t="array" ref="S47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7" s="71">
        <f>+R47+S47</f>
        <v>10.660483264728008</v>
      </c>
      <c r="U47" s="71">
        <f>+'Cost Sheet'!$V$24+'Cost Sheet'!$V$3</f>
        <v>5.6115239683716327</v>
      </c>
      <c r="V47" s="71">
        <f>('Cost Sheet'!$P$24*$Q47)+('Cost Sheet'!$P$3*$Q$21)</f>
        <v>10.660483264728008</v>
      </c>
      <c r="W47" s="71" cm="1">
        <f t="array" ref="W47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7" s="71">
        <f>+V47+W47</f>
        <v>10.660483264728008</v>
      </c>
    </row>
    <row r="48" spans="1:24" ht="46.5" x14ac:dyDescent="0.35">
      <c r="B48" s="227"/>
      <c r="C48" s="21" t="str">
        <f>'Door - Step 2'!C75</f>
        <v>Sliding Door Parts</v>
      </c>
      <c r="D48" s="121" t="b">
        <f>'Quotation - Door 4'!D75</f>
        <v>0</v>
      </c>
      <c r="E48" s="71">
        <f>_xlfn.IFNA(IF($D48=0,0,(INDEX('Cost Sheet'!$N:$N,MATCH('Quotation - Door 4'!$D75,'Cost Sheet'!$C:$C,0)))),0)</f>
        <v>0</v>
      </c>
      <c r="F48" s="20"/>
      <c r="G48" s="19" t="s">
        <v>133</v>
      </c>
      <c r="H48" s="71" t="e">
        <f>+IF($D48=0,0,INDEX('Accessories Install - Labour'!$E:$E,MATCH($D48,'Accessories Install - Labour'!$C:$C,0)))</f>
        <v>#N/A</v>
      </c>
      <c r="I48" s="71">
        <f t="shared" si="11"/>
        <v>0</v>
      </c>
      <c r="J48" s="71" t="e">
        <f>IF($D48=0,0,(INDEX('Cost Sheet'!$V:$V,MATCH('Quotation - Door 4'!$D75,'Cost Sheet'!$C:$C,0))))</f>
        <v>#N/A</v>
      </c>
      <c r="K48" s="71" t="e">
        <f>+IF($D48=0,0,INDEX('Accessories Install - Labour'!$F:$F,MATCH($D48,'Accessories Install - Labour'!$C:$C,0)))</f>
        <v>#N/A</v>
      </c>
      <c r="L48" s="71">
        <f t="shared" si="12"/>
        <v>0</v>
      </c>
      <c r="N48" s="28" t="s">
        <v>357</v>
      </c>
      <c r="O48" s="71">
        <f>+'Cost Sheet'!$N$24+'Cost Sheet'!$N$5</f>
        <v>5.5458374516102458</v>
      </c>
      <c r="P48" s="49" t="s">
        <v>349</v>
      </c>
      <c r="Q48" s="30">
        <f>((($D$6*2)+(($D$7+($O$12*2))*2))*'Calculation Sheet - BOM '!$L$2)</f>
        <v>1.91659</v>
      </c>
      <c r="R48" s="71">
        <f>('Cost Sheet'!$N$24*$Q48)+('Cost Sheet'!$N$5*$Q$21)</f>
        <v>10.539839557891266</v>
      </c>
      <c r="S48" s="71" cm="1">
        <f t="array" ref="S48">_xlfn.IFNA(IF(OR('Quotation - Door 4'!$D$30=Controller!$A$13, 'Quotation - Door 4'!$D$30=Controller!$A$14, 'Quotation - Door 4'!$D$30=Controller!$A$15),
INDEX('Door and Panel Labor Exp. '!$J$23:$M$40,
 (MATCH(1, ((ABS('Door and Panel Labor Exp. '!$C$23:$C$40 - 'Quotation - Door 4'!$D$35) = _xlfn.AGGREGATE(15, 3, ABS('Door and Panel Labor Exp. '!$C$23:$C$40 - 'Quotation - Door 4'!$D$35), 1)) *
 (ABS('Door and Panel Labor Exp. '!$B$23:$B$40 - 'Quotation - Door 4'!$D$34) = _xlfn.AGGREGATE(15, 3, ABS('Door and Panel Labor Exp. '!$B$23:$B$40 - 'Quotation - Door 4'!$D$34), 1))), 0)),
 MATCH('Quotation - Door 4'!$D$31, 'Door and Panel Labor Exp. '!$J$1:$M$1, 0)
),
INDEX('Door and Panel Labor Exp. '!$J$5:$M$16,
 (MATCH(1, ((ABS('Door and Panel Labor Exp. '!$C$5:$C$16 - 'Quotation - Door 4'!$D$35) = _xlfn.AGGREGATE(15, 3, ABS('Door and Panel Labor Exp. '!$C$5:$C$16 - 'Quotation - Door 4'!$D$35), 1)) *
 (ABS('Door and Panel Labor Exp. '!$B$5:$B$16 - 'Quotation - Door 4'!$D$34) = _xlfn.AGGREGATE(15, 3, ABS('Door and Panel Labor Exp. '!$B$5:$B$16 - 'Quotation - Door 4'!$D$34), 1))), 0)),
 MATCH('Quotation - Door 4'!$D$31, 'Door and Panel Labor Exp. '!$J$1:$M$1, 0)
)),0)</f>
        <v>0</v>
      </c>
      <c r="T48" s="71">
        <f>+R48+S48</f>
        <v>10.539839557891266</v>
      </c>
      <c r="U48" s="71">
        <f>+'Cost Sheet'!$V$24+'Cost Sheet'!$V$5</f>
        <v>5.5458374516102458</v>
      </c>
      <c r="V48" s="71">
        <f>('Cost Sheet'!$P$24*$Q48)+('Cost Sheet'!$P$5*$Q$21)</f>
        <v>10.539839557891266</v>
      </c>
      <c r="W48" s="71" cm="1">
        <f t="array" ref="W48">_xlfn.IFNA(IF(OR('Quotation - Door 4'!$D$30=Controller!$A$13, 'Quotation - Door 4'!$D$30=Controller!$A$14, 'Quotation - Door 4'!$D$30=Controller!$A$15),
INDEX('Door and Panel Labor Exp. '!$J$76:$M$86,
 (MATCH(1, ((ABS('Door and Panel Labor Exp. '!$C$76:$C$86 - 'Quotation - Door 4'!$D$35) = _xlfn.AGGREGATE(15, 3, ABS('Door and Panel Labor Exp. '!$C$76:$C$86 - 'Quotation - Door 4'!$D$35), 1)) *
 (ABS('Door and Panel Labor Exp. '!$B$76:$B$86 - 'Quotation - Door 4'!$D$34) = _xlfn.AGGREGATE(15, 3, ABS('Door and Panel Labor Exp. '!$B$76:$B$86 - 'Quotation - Door 4'!$D$34), 1))), 0)),
 MATCH('Quotation - Door 4'!$D$31, 'Door and Panel Labor Exp. '!$J$1:$M$1, 0)
),
INDEX('Door and Panel Labor Exp. '!$J$66:$M$75,
 (MATCH(1, ((ABS('Door and Panel Labor Exp. '!$C$66:$C$75 - 'Quotation - Door 4'!$D$35) = _xlfn.AGGREGATE(15, 3, ABS('Door and Panel Labor Exp. '!$C$66:$C$75 - 'Quotation - Door 4'!$D$35), 1)) *
 (ABS('Door and Panel Labor Exp. '!$B$66:$B$75 - 'Quotation - Door 4'!$D$34) = _xlfn.AGGREGATE(15, 3, ABS('Door and Panel Labor Exp. '!$B$66:$B$75 - 'Quotation - Door 4'!$D$34), 1))), 0)),
 MATCH('Quotation - Door 4'!$D$31, 'Door and Panel Labor Exp. '!$J$1:$M$1, 0)
)),0)</f>
        <v>0</v>
      </c>
      <c r="X48" s="71">
        <f>+V48+W48</f>
        <v>10.539839557891266</v>
      </c>
    </row>
    <row r="49" spans="1:16" x14ac:dyDescent="0.35">
      <c r="B49" s="227"/>
      <c r="C49" s="21" t="str">
        <f>'Door - Step 2'!C76</f>
        <v>Sliding Door Parts</v>
      </c>
      <c r="D49" s="121" t="b">
        <f>'Quotation - Door 4'!D76</f>
        <v>0</v>
      </c>
      <c r="E49" s="71">
        <f>_xlfn.IFNA(IF($D49=0,0,(INDEX('Cost Sheet'!$N:$N,MATCH('Quotation - Door 4'!$D76,'Cost Sheet'!$C:$C,0)))),0)</f>
        <v>0</v>
      </c>
      <c r="F49" s="20"/>
      <c r="G49" s="19" t="s">
        <v>133</v>
      </c>
      <c r="H49" s="71" t="e">
        <f>+IF($D49=0,0,INDEX('Accessories Install - Labour'!$E:$E,MATCH($D49,'Accessories Install - Labour'!$C:$C,0)))</f>
        <v>#N/A</v>
      </c>
      <c r="I49" s="71">
        <f t="shared" si="11"/>
        <v>0</v>
      </c>
      <c r="J49" s="71" t="e">
        <f>IF($D49=0,0,(INDEX('Cost Sheet'!$V:$V,MATCH('Quotation - Door 4'!$D76,'Cost Sheet'!$C:$C,0))))</f>
        <v>#N/A</v>
      </c>
      <c r="K49" s="71" t="e">
        <f>+IF($D49=0,0,INDEX('Accessories Install - Labour'!$F:$F,MATCH($D49,'Accessories Install - Labour'!$C:$C,0)))</f>
        <v>#N/A</v>
      </c>
      <c r="L49" s="71">
        <f t="shared" si="12"/>
        <v>0</v>
      </c>
      <c r="N49" s="4"/>
      <c r="P49" s="4"/>
    </row>
    <row r="50" spans="1:16" x14ac:dyDescent="0.35">
      <c r="B50" s="227"/>
      <c r="C50" s="21" t="str">
        <f>'Door - Step 2'!C77</f>
        <v>Sliding Door Parts</v>
      </c>
      <c r="D50" s="121">
        <f>'Quotation - Door 4'!D77</f>
        <v>0</v>
      </c>
      <c r="E50" s="71">
        <f>_xlfn.IFNA(IF($D50=0,0,(INDEX('Cost Sheet'!$N:$N,MATCH('Quotation - Door 4'!$D77,'Cost Sheet'!$C:$C,0)))),0)</f>
        <v>0</v>
      </c>
      <c r="F50" s="20"/>
      <c r="G50" s="19" t="s">
        <v>133</v>
      </c>
      <c r="H50" s="71">
        <f>+IF($D50=0,0,INDEX('Accessories Install - Labour'!$E:$E,MATCH($D50,'Accessories Install - Labour'!$C:$C,0)))</f>
        <v>0</v>
      </c>
      <c r="I50" s="71">
        <f t="shared" si="11"/>
        <v>0</v>
      </c>
      <c r="J50" s="71">
        <f>IF($D50=0,0,(INDEX('Cost Sheet'!$V:$V,MATCH('Quotation - Door 4'!$D77,'Cost Sheet'!$C:$C,0))))</f>
        <v>0</v>
      </c>
      <c r="K50" s="71">
        <f>+IF($D50=0,0,INDEX('Accessories Install - Labour'!$F:$F,MATCH($D50,'Accessories Install - Labour'!$C:$C,0)))</f>
        <v>0</v>
      </c>
      <c r="L50" s="71">
        <f t="shared" si="12"/>
        <v>0</v>
      </c>
      <c r="N50" s="4"/>
      <c r="P50" s="4"/>
    </row>
    <row r="51" spans="1:16" x14ac:dyDescent="0.35">
      <c r="B51" s="228"/>
      <c r="C51" s="21" t="str">
        <f>'Door - Step 2'!C78</f>
        <v>Sliding Door Parts</v>
      </c>
      <c r="D51" s="121">
        <f>'Quotation - Door 4'!D78</f>
        <v>0</v>
      </c>
      <c r="E51" s="71">
        <f>_xlfn.IFNA(IF($D51=0,0,(INDEX('Cost Sheet'!$N:$N,MATCH('Quotation - Door 4'!$D78,'Cost Sheet'!$C:$C,0)))),0)</f>
        <v>0</v>
      </c>
      <c r="F51" s="20"/>
      <c r="G51" s="19" t="s">
        <v>133</v>
      </c>
      <c r="H51" s="71">
        <f>+IF($D51=0,0,INDEX('Accessories Install - Labour'!$E:$E,MATCH($D51,'Accessories Install - Labour'!$C:$C,0)))</f>
        <v>0</v>
      </c>
      <c r="I51" s="71">
        <f t="shared" si="11"/>
        <v>0</v>
      </c>
      <c r="J51" s="71">
        <f>IF($D51=0,0,(INDEX('Cost Sheet'!$V:$V,MATCH('Quotation - Door 4'!$D78,'Cost Sheet'!$C:$C,0))))</f>
        <v>0</v>
      </c>
      <c r="K51" s="71">
        <f>+IF($D51=0,0,INDEX('Accessories Install - Labour'!$F:$F,MATCH($D51,'Accessories Install - Labour'!$C:$C,0)))</f>
        <v>0</v>
      </c>
      <c r="L51" s="71">
        <f t="shared" si="12"/>
        <v>0</v>
      </c>
      <c r="N51" s="4"/>
      <c r="P51" s="4"/>
    </row>
    <row r="52" spans="1:16" x14ac:dyDescent="0.35">
      <c r="B52" s="225"/>
      <c r="C52" s="21" t="str">
        <f>'Door - Step 2'!C79</f>
        <v>Sliding Door Parts</v>
      </c>
      <c r="D52" s="121">
        <f>'Quotation - Door 4'!D79</f>
        <v>0</v>
      </c>
      <c r="E52" s="71">
        <f>_xlfn.IFNA(IF($D52=0,0,(INDEX('Cost Sheet'!$N:$N,MATCH('Quotation - Door 4'!$D79,'Cost Sheet'!$C:$C,0)))),0)</f>
        <v>0</v>
      </c>
      <c r="F52" s="20"/>
      <c r="G52" s="19" t="s">
        <v>133</v>
      </c>
      <c r="H52" s="71">
        <f>+IF($D52=0,0,INDEX('Accessories Install - Labour'!$E:$E,MATCH($D52,'Accessories Install - Labour'!$C:$C,0)))</f>
        <v>0</v>
      </c>
      <c r="I52" s="71">
        <f t="shared" si="11"/>
        <v>0</v>
      </c>
      <c r="J52" s="71">
        <f>IF($D52=0,0,(INDEX('Cost Sheet'!$V:$V,MATCH('Quotation - Door 4'!$D79,'Cost Sheet'!$C:$C,0))))</f>
        <v>0</v>
      </c>
      <c r="K52" s="71">
        <f>+IF($D52=0,0,INDEX('Accessories Install - Labour'!$F:$F,MATCH($D52,'Accessories Install - Labour'!$C:$C,0)))</f>
        <v>0</v>
      </c>
      <c r="L52" s="71">
        <f t="shared" si="12"/>
        <v>0</v>
      </c>
      <c r="N52" s="4"/>
      <c r="P52" s="4"/>
    </row>
    <row r="53" spans="1:16" x14ac:dyDescent="0.35">
      <c r="B53" s="225"/>
      <c r="C53" s="21" t="str">
        <f>'Door - Step 2'!C80</f>
        <v>Sliding Door Parts</v>
      </c>
      <c r="D53" s="121">
        <f>'Quotation - Door 4'!D80</f>
        <v>0</v>
      </c>
      <c r="E53" s="71">
        <f>_xlfn.IFNA(IF($D53=0,0,(INDEX('Cost Sheet'!$N:$N,MATCH('Quotation - Door 2'!$D80,'Cost Sheet'!$C:$C,0)))),0)</f>
        <v>0</v>
      </c>
      <c r="F53" s="20"/>
      <c r="G53" s="19" t="s">
        <v>133</v>
      </c>
      <c r="H53" s="71">
        <f>+IF($D53=0,0,INDEX('Accessories Install - Labour'!$E:$E,MATCH($D53,'Accessories Install - Labour'!$C:$C,0)))</f>
        <v>0</v>
      </c>
      <c r="I53" s="71">
        <f t="shared" si="11"/>
        <v>0</v>
      </c>
      <c r="J53" s="71">
        <f>IF($D53=0,0,(INDEX('Cost Sheet'!$V:$V,MATCH('Quotation - Door 4'!$D80,'Cost Sheet'!$C:$C,0))))</f>
        <v>0</v>
      </c>
      <c r="K53" s="71">
        <f>+IF($D53=0,0,INDEX('Accessories Install - Labour'!$F:$F,MATCH($D53,'Accessories Install - Labour'!$C:$C,0)))</f>
        <v>0</v>
      </c>
      <c r="L53" s="71">
        <f t="shared" si="12"/>
        <v>0</v>
      </c>
      <c r="N53" s="4"/>
      <c r="P53" s="4"/>
    </row>
    <row r="54" spans="1:16" x14ac:dyDescent="0.35">
      <c r="D54" s="4"/>
      <c r="H54" s="4"/>
      <c r="K54" s="4"/>
      <c r="L54" s="4"/>
      <c r="N54" s="4"/>
      <c r="P54" s="4"/>
    </row>
    <row r="55" spans="1:16" x14ac:dyDescent="0.35">
      <c r="D55" s="4"/>
      <c r="H55" s="4"/>
      <c r="K55" s="4"/>
      <c r="L55" s="4"/>
      <c r="N55" s="4"/>
      <c r="P55" s="4"/>
    </row>
    <row r="56" spans="1:16" x14ac:dyDescent="0.35">
      <c r="D56" s="4"/>
      <c r="H56" s="4"/>
      <c r="K56" s="4"/>
      <c r="L56" s="4"/>
      <c r="N56" s="4"/>
      <c r="P56" s="4"/>
    </row>
    <row r="57" spans="1:16" ht="43.5" x14ac:dyDescent="0.35">
      <c r="D57" s="150" t="s">
        <v>82</v>
      </c>
      <c r="E57" s="160" t="s">
        <v>321</v>
      </c>
      <c r="F57" s="160" t="s">
        <v>334</v>
      </c>
      <c r="G57" s="160" t="s">
        <v>322</v>
      </c>
      <c r="H57" s="220" t="s">
        <v>335</v>
      </c>
      <c r="I57" s="160" t="s">
        <v>336</v>
      </c>
      <c r="J57" s="160" t="s">
        <v>337</v>
      </c>
      <c r="K57" s="220" t="s">
        <v>338</v>
      </c>
      <c r="L57" s="160" t="s">
        <v>339</v>
      </c>
      <c r="N57" s="4"/>
      <c r="P57" s="4"/>
    </row>
    <row r="58" spans="1:16" ht="31" x14ac:dyDescent="0.35">
      <c r="A58" s="215" t="str">
        <f>'Door - Step 2'!A82</f>
        <v xml:space="preserve">ADDITIONAL OPTIONS  &amp; ADD ON - PARTS </v>
      </c>
      <c r="B58" s="216"/>
      <c r="C58" s="27" t="str">
        <f>'Door - Step 2'!C82</f>
        <v xml:space="preserve">Category </v>
      </c>
      <c r="D58" s="27">
        <f>'Quotation - Door 2'!D82</f>
        <v>0</v>
      </c>
      <c r="E58" s="20"/>
      <c r="F58" s="20"/>
      <c r="G58" s="20"/>
      <c r="H58" s="71"/>
      <c r="I58" s="20"/>
      <c r="J58" s="20"/>
      <c r="K58" s="71"/>
      <c r="L58" s="19"/>
      <c r="N58" s="4"/>
      <c r="P58" s="4"/>
    </row>
    <row r="59" spans="1:16" x14ac:dyDescent="0.35">
      <c r="A59" s="217"/>
      <c r="B59" s="218"/>
      <c r="C59" s="21" t="str">
        <f>'Door - Step 2'!C83</f>
        <v>Hinge</v>
      </c>
      <c r="D59" s="121" t="str">
        <f>'Quotation - Door 4'!D83</f>
        <v>Not Required</v>
      </c>
      <c r="E59" s="71" t="e">
        <f>IF($D59=0,0,(INDEX('Cost Sheet'!$N:$N,MATCH('Quotation - Door 4'!$D83,'Cost Sheet'!$C:$C,0))))</f>
        <v>#N/A</v>
      </c>
      <c r="F59" s="20"/>
      <c r="G59" s="19" t="s">
        <v>133</v>
      </c>
      <c r="H59" s="71">
        <f>+'Accessories Install - Labour'!$E$17</f>
        <v>21.666666666666668</v>
      </c>
      <c r="I59" s="71" t="e">
        <f>+E59+H59</f>
        <v>#N/A</v>
      </c>
      <c r="J59" s="71" t="e">
        <f>IF($D59=0,0,(INDEX('Cost Sheet'!$V:$V,MATCH('Quotation - Door 4'!$D83,'Cost Sheet'!$C:$C,0))))</f>
        <v>#N/A</v>
      </c>
      <c r="K59" s="71">
        <f>+'Accessories Install - Labour'!$F$15</f>
        <v>13</v>
      </c>
      <c r="L59" s="71" t="e">
        <f t="shared" ref="L59:L70" si="13">+J59+K59</f>
        <v>#N/A</v>
      </c>
      <c r="N59" s="4"/>
      <c r="P59" s="4"/>
    </row>
    <row r="60" spans="1:16" x14ac:dyDescent="0.35">
      <c r="A60" s="217"/>
      <c r="B60" s="218"/>
      <c r="C60" s="168" t="str">
        <f>'Door - Step 2'!C84</f>
        <v>Additional Hinge 1</v>
      </c>
      <c r="D60" s="121">
        <f>'Quotation - Door 4'!D84</f>
        <v>0</v>
      </c>
      <c r="E60" s="71">
        <f>IF($D60=0,0,(INDEX('Cost Sheet'!$N:$N,MATCH('Quotation - Door 4'!$D84,'Cost Sheet'!$C:$C,0))))</f>
        <v>0</v>
      </c>
      <c r="F60" s="20"/>
      <c r="G60" s="19" t="s">
        <v>133</v>
      </c>
      <c r="H60" s="71">
        <f>+'Accessories Install - Labour'!$E$17</f>
        <v>21.666666666666668</v>
      </c>
      <c r="I60" s="71">
        <f t="shared" ref="I60:I70" si="14">+E60+H60</f>
        <v>21.666666666666668</v>
      </c>
      <c r="J60" s="71">
        <f>IF($D60=0,0,(INDEX('Cost Sheet'!$V:$V,MATCH('Quotation - Door 4'!$D84,'Cost Sheet'!$C:$C,0))))</f>
        <v>0</v>
      </c>
      <c r="K60" s="71">
        <f>+'Accessories Install - Labour'!$F$15</f>
        <v>13</v>
      </c>
      <c r="L60" s="71">
        <f t="shared" si="13"/>
        <v>13</v>
      </c>
      <c r="N60" s="4"/>
      <c r="P60" s="4"/>
    </row>
    <row r="61" spans="1:16" x14ac:dyDescent="0.35">
      <c r="A61" s="217"/>
      <c r="B61" s="218"/>
      <c r="C61" s="168" t="str">
        <f>'Door - Step 2'!C85</f>
        <v>Additional Hinge 2</v>
      </c>
      <c r="D61" s="121">
        <f>'Quotation - Door 4'!D85</f>
        <v>0</v>
      </c>
      <c r="E61" s="71">
        <f>IF($D61=0,0,(INDEX('Cost Sheet'!$N:$N,MATCH('Quotation - Door 4'!$D85,'Cost Sheet'!$C:$C,0))))</f>
        <v>0</v>
      </c>
      <c r="F61" s="20"/>
      <c r="G61" s="19" t="s">
        <v>133</v>
      </c>
      <c r="H61" s="71">
        <f>+'Accessories Install - Labour'!$E$17</f>
        <v>21.666666666666668</v>
      </c>
      <c r="I61" s="71">
        <f t="shared" si="14"/>
        <v>21.666666666666668</v>
      </c>
      <c r="J61" s="71">
        <f>IF($D61=0,0,(INDEX('Cost Sheet'!$V:$V,MATCH('Quotation - Door 4'!$D85,'Cost Sheet'!$C:$C,0))))</f>
        <v>0</v>
      </c>
      <c r="K61" s="71">
        <f>+'Accessories Install - Labour'!$F$15</f>
        <v>13</v>
      </c>
      <c r="L61" s="71">
        <f t="shared" si="13"/>
        <v>13</v>
      </c>
      <c r="N61" s="4"/>
      <c r="P61" s="4"/>
    </row>
    <row r="62" spans="1:16" x14ac:dyDescent="0.35">
      <c r="A62" s="217"/>
      <c r="B62" s="218"/>
      <c r="C62" s="168" t="str">
        <f>'Door - Step 2'!C86</f>
        <v>Additional Hinge 3</v>
      </c>
      <c r="D62" s="121">
        <f>'Quotation - Door 4'!D86</f>
        <v>0</v>
      </c>
      <c r="E62" s="71">
        <f>IF($D62=0,0,(INDEX('Cost Sheet'!$N:$N,MATCH('Quotation - Door 4'!$D86,'Cost Sheet'!$C:$C,0))))</f>
        <v>0</v>
      </c>
      <c r="F62" s="20"/>
      <c r="G62" s="19" t="s">
        <v>133</v>
      </c>
      <c r="H62" s="71">
        <f>+'Accessories Install - Labour'!$E$17</f>
        <v>21.666666666666668</v>
      </c>
      <c r="I62" s="71">
        <f t="shared" si="14"/>
        <v>21.666666666666668</v>
      </c>
      <c r="J62" s="71">
        <f>IF($D62=0,0,(INDEX('Cost Sheet'!$V:$V,MATCH('Quotation - Door 4'!$D86,'Cost Sheet'!$C:$C,0))))</f>
        <v>0</v>
      </c>
      <c r="K62" s="71">
        <f>+'Accessories Install - Labour'!$F$15</f>
        <v>13</v>
      </c>
      <c r="L62" s="71">
        <f t="shared" si="13"/>
        <v>13</v>
      </c>
      <c r="N62" s="4"/>
      <c r="P62" s="4"/>
    </row>
    <row r="63" spans="1:16" x14ac:dyDescent="0.35">
      <c r="A63" s="217"/>
      <c r="B63" s="218"/>
      <c r="C63" s="21" t="str">
        <f>'Door - Step 2'!C87</f>
        <v>Latch</v>
      </c>
      <c r="D63" s="121" t="str">
        <f>'Quotation - Door 4'!D87</f>
        <v>Not Required</v>
      </c>
      <c r="E63" s="71" t="e">
        <f>IF($D63=0,0,(INDEX('Cost Sheet'!$N:$N,MATCH('Quotation - Door 4'!$D87,'Cost Sheet'!$C:$C,0))))</f>
        <v>#N/A</v>
      </c>
      <c r="F63" s="20"/>
      <c r="G63" s="19" t="s">
        <v>133</v>
      </c>
      <c r="H63" s="71">
        <f>+'Accessories Install - Labour'!$E$17</f>
        <v>21.666666666666668</v>
      </c>
      <c r="I63" s="71" t="e">
        <f t="shared" si="14"/>
        <v>#N/A</v>
      </c>
      <c r="J63" s="71" t="e">
        <f>IF($D63=0,0,(INDEX('Cost Sheet'!$V:$V,MATCH('Quotation - Door 4'!$D87,'Cost Sheet'!$C:$C,0))))</f>
        <v>#N/A</v>
      </c>
      <c r="K63" s="71">
        <f>+'Accessories Install - Labour'!$F$17</f>
        <v>21.666666666666668</v>
      </c>
      <c r="L63" s="71" t="e">
        <f t="shared" si="13"/>
        <v>#N/A</v>
      </c>
      <c r="N63" s="4"/>
      <c r="P63" s="4"/>
    </row>
    <row r="64" spans="1:16" x14ac:dyDescent="0.35">
      <c r="A64" s="217"/>
      <c r="B64" s="218"/>
      <c r="C64" s="168" t="str">
        <f>'Door - Step 2'!C88</f>
        <v>Additional Latch 1</v>
      </c>
      <c r="D64" s="121">
        <f>'Quotation - Door 4'!D88</f>
        <v>0</v>
      </c>
      <c r="E64" s="71">
        <f>IF($D64=0,0,(INDEX('Cost Sheet'!$N:$N,MATCH('Quotation - Door 4'!$D88,'Cost Sheet'!$C:$C,0))))</f>
        <v>0</v>
      </c>
      <c r="F64" s="20"/>
      <c r="G64" s="19" t="s">
        <v>133</v>
      </c>
      <c r="H64" s="71">
        <f>+'Accessories Install - Labour'!$E$17</f>
        <v>21.666666666666668</v>
      </c>
      <c r="I64" s="71">
        <f t="shared" si="14"/>
        <v>21.666666666666668</v>
      </c>
      <c r="J64" s="71">
        <f>IF($D64=0,0,(INDEX('Cost Sheet'!$V:$V,MATCH('Quotation - Door 4'!$D88,'Cost Sheet'!$C:$C,0))))</f>
        <v>0</v>
      </c>
      <c r="K64" s="71">
        <f>+'Accessories Install - Labour'!$F$17</f>
        <v>21.666666666666668</v>
      </c>
      <c r="L64" s="71">
        <f t="shared" si="13"/>
        <v>21.666666666666668</v>
      </c>
      <c r="N64" s="4"/>
      <c r="P64" s="4"/>
    </row>
    <row r="65" spans="1:17" x14ac:dyDescent="0.35">
      <c r="A65" s="217"/>
      <c r="B65" s="218"/>
      <c r="C65" s="168" t="str">
        <f>'Door - Step 2'!C89</f>
        <v>Additional Latch 2</v>
      </c>
      <c r="D65" s="121">
        <f>'Quotation - Door 4'!D89</f>
        <v>0</v>
      </c>
      <c r="E65" s="71">
        <f>IF($D65=0,0,(INDEX('Cost Sheet'!$N:$N,MATCH('Quotation - Door 4'!$D89,'Cost Sheet'!$C:$C,0))))</f>
        <v>0</v>
      </c>
      <c r="F65" s="20"/>
      <c r="G65" s="19" t="s">
        <v>133</v>
      </c>
      <c r="H65" s="71">
        <f>+'Accessories Install - Labour'!$E$17</f>
        <v>21.666666666666668</v>
      </c>
      <c r="I65" s="71">
        <f t="shared" si="14"/>
        <v>21.666666666666668</v>
      </c>
      <c r="J65" s="71">
        <f>IF($D65=0,0,(INDEX('Cost Sheet'!$V:$V,MATCH('Quotation - Door 4'!$D89,'Cost Sheet'!$C:$C,0))))</f>
        <v>0</v>
      </c>
      <c r="K65" s="71">
        <f>+'Accessories Install - Labour'!$F$17</f>
        <v>21.666666666666668</v>
      </c>
      <c r="L65" s="71">
        <f t="shared" si="13"/>
        <v>21.666666666666668</v>
      </c>
      <c r="N65" s="4"/>
      <c r="P65" s="4"/>
    </row>
    <row r="66" spans="1:17" x14ac:dyDescent="0.35">
      <c r="A66" s="217"/>
      <c r="B66" s="218"/>
      <c r="C66" s="21" t="str">
        <f>'Door - Step 2'!C90</f>
        <v xml:space="preserve">Interior Release </v>
      </c>
      <c r="D66" s="121">
        <f>'Quotation - Door 4'!D90</f>
        <v>0</v>
      </c>
      <c r="E66" s="71">
        <f>IF($D66=0,0,(INDEX('Cost Sheet'!$N:$N,MATCH('Quotation - Door 4'!$D90,'Cost Sheet'!$C:$C,0))))</f>
        <v>0</v>
      </c>
      <c r="F66" s="20"/>
      <c r="G66" s="19" t="s">
        <v>133</v>
      </c>
      <c r="H66" s="71">
        <f>+IF($D66=0,0,INDEX('Accessories Install - Labour'!$E:$E,MATCH($D66,'Accessories Install - Labour'!$C:$C,0)))</f>
        <v>0</v>
      </c>
      <c r="I66" s="71">
        <f t="shared" si="14"/>
        <v>0</v>
      </c>
      <c r="J66" s="71">
        <f>IF($D66=0,0,(INDEX('Cost Sheet'!$S:$S,MATCH('Quotation - Door 2'!$D90,'Cost Sheet'!$C:$C,0))))</f>
        <v>0</v>
      </c>
      <c r="K66" s="71">
        <f>+IF($D66=0,0,INDEX('Accessories Install - Labour'!$F:$F,MATCH($D66,'Accessories Install - Labour'!$C:$C,0)))</f>
        <v>0</v>
      </c>
      <c r="L66" s="71">
        <f t="shared" si="13"/>
        <v>0</v>
      </c>
      <c r="N66" s="4"/>
      <c r="P66" s="4"/>
    </row>
    <row r="67" spans="1:17" x14ac:dyDescent="0.35">
      <c r="A67" s="217"/>
      <c r="B67" s="218"/>
      <c r="C67" s="21" t="str">
        <f>'Door - Step 2'!C91</f>
        <v>Hook</v>
      </c>
      <c r="D67" s="121">
        <f>'Quotation - Door 4'!D91</f>
        <v>0</v>
      </c>
      <c r="E67" s="71">
        <f>IF($D67=0,0,(INDEX('Cost Sheet'!$N:$N,MATCH('Quotation - Door 4'!$D91,'Cost Sheet'!$C:$C,0))))</f>
        <v>0</v>
      </c>
      <c r="F67" s="20"/>
      <c r="G67" s="19" t="s">
        <v>133</v>
      </c>
      <c r="H67" s="71">
        <f>+IF($D67=0,0,INDEX('Accessories Install - Labour'!$E:$E,MATCH($D67,'Accessories Install - Labour'!$C:$C,0)))</f>
        <v>0</v>
      </c>
      <c r="I67" s="71">
        <f t="shared" si="14"/>
        <v>0</v>
      </c>
      <c r="J67" s="71">
        <f>IF($D67=0,0,(INDEX('Cost Sheet'!$S:$S,MATCH('Quotation - Door 2'!$D91,'Cost Sheet'!$C:$C,0))))</f>
        <v>0</v>
      </c>
      <c r="K67" s="71">
        <f>+IF($D67=0,0,INDEX('Accessories Install - Labour'!$F:$F,MATCH($D67,'Accessories Install - Labour'!$C:$C,0)))</f>
        <v>0</v>
      </c>
      <c r="L67" s="71">
        <f t="shared" si="13"/>
        <v>0</v>
      </c>
      <c r="N67" s="4"/>
      <c r="P67" s="4"/>
    </row>
    <row r="68" spans="1:17" x14ac:dyDescent="0.35">
      <c r="A68" s="217"/>
      <c r="B68" s="218"/>
      <c r="C68" s="21" t="str">
        <f>'Door - Step 2'!C92</f>
        <v xml:space="preserve">Door Closer </v>
      </c>
      <c r="D68" s="121" t="str">
        <f>'Quotation - Door 4'!D92</f>
        <v>Not Required</v>
      </c>
      <c r="E68" s="71" t="e">
        <f>IF($D68=0,0,(INDEX('Cost Sheet'!$N:$N,MATCH('Quotation - Door 4'!$D92,'Cost Sheet'!$C:$C,0))))</f>
        <v>#N/A</v>
      </c>
      <c r="F68" s="20"/>
      <c r="G68" s="19" t="s">
        <v>133</v>
      </c>
      <c r="H68" s="71" t="e">
        <f>+IF($D68=0,0,INDEX('Accessories Install - Labour'!$E:$E,MATCH($D68,'Accessories Install - Labour'!$C:$C,0)))</f>
        <v>#N/A</v>
      </c>
      <c r="I68" s="71" t="e">
        <f t="shared" si="14"/>
        <v>#N/A</v>
      </c>
      <c r="J68" s="71">
        <f>IF($D68=0,0,(INDEX('Cost Sheet'!$S:$S,MATCH('Quotation - Door 2'!$D92,'Cost Sheet'!$C:$C,0))))</f>
        <v>24</v>
      </c>
      <c r="K68" s="71" t="e">
        <f>+IF($D68=0,0,INDEX('Accessories Install - Labour'!$F:$F,MATCH($D68,'Accessories Install - Labour'!$C:$C,0)))</f>
        <v>#N/A</v>
      </c>
      <c r="L68" s="71" t="e">
        <f t="shared" si="13"/>
        <v>#N/A</v>
      </c>
      <c r="N68" s="4"/>
      <c r="P68" s="4"/>
    </row>
    <row r="69" spans="1:17" x14ac:dyDescent="0.35">
      <c r="A69" s="217"/>
      <c r="B69" s="218"/>
      <c r="C69" s="21" t="str">
        <f>'Door - Step 2'!C93</f>
        <v>Strike</v>
      </c>
      <c r="D69" s="121">
        <f>'Quotation - Door 4'!D93</f>
        <v>0</v>
      </c>
      <c r="E69" s="71">
        <f>IF($D69=0,0,(INDEX('Cost Sheet'!$N:$N,MATCH('Quotation - Door 4'!$D93,'Cost Sheet'!$C:$C,0))))</f>
        <v>0</v>
      </c>
      <c r="F69" s="20"/>
      <c r="G69" s="19" t="s">
        <v>133</v>
      </c>
      <c r="H69" s="71">
        <f>+IF($D69=0,0,INDEX('Accessories Install - Labour'!$E:$E,MATCH($D69,'Accessories Install - Labour'!$C:$C,0)))</f>
        <v>0</v>
      </c>
      <c r="I69" s="71">
        <f t="shared" si="14"/>
        <v>0</v>
      </c>
      <c r="J69" s="71">
        <f>IF($D69=0,0,(INDEX('Cost Sheet'!$S:$S,MATCH('Quotation - Door 2'!$D93,'Cost Sheet'!$C:$C,0))))</f>
        <v>0</v>
      </c>
      <c r="K69" s="71">
        <f>+IF($D69=0,0,INDEX('Accessories Install - Labour'!$F:$F,MATCH($D69,'Accessories Install - Labour'!$C:$C,0)))</f>
        <v>0</v>
      </c>
      <c r="L69" s="71">
        <f t="shared" si="13"/>
        <v>0</v>
      </c>
      <c r="N69" s="4"/>
      <c r="P69" s="4"/>
    </row>
    <row r="70" spans="1:17" x14ac:dyDescent="0.35">
      <c r="A70" s="217"/>
      <c r="B70" s="218"/>
      <c r="C70" s="21" t="str">
        <f>'Door - Step 2'!C95</f>
        <v xml:space="preserve">Wind Chains </v>
      </c>
      <c r="D70" s="121">
        <f>'Quotation - Door 4'!D95</f>
        <v>0</v>
      </c>
      <c r="E70" s="71">
        <f>IF($D70=0,0,(INDEX('Cost Sheet'!$N:$N,MATCH('Quotation - Door 4'!$D95,'Cost Sheet'!$C:$C,0))))</f>
        <v>0</v>
      </c>
      <c r="F70" s="20"/>
      <c r="G70" s="19" t="s">
        <v>133</v>
      </c>
      <c r="H70" s="71">
        <f>+IF($D70=0,0,INDEX('Accessories Install - Labour'!$E:$E,MATCH($D70,'Accessories Install - Labour'!$C:$C,0)))</f>
        <v>0</v>
      </c>
      <c r="I70" s="71">
        <f t="shared" si="14"/>
        <v>0</v>
      </c>
      <c r="J70" s="71">
        <f>IF($D70=0,0,(INDEX('Cost Sheet'!$S:$S,MATCH('Quotation - Door 2'!$D95,'Cost Sheet'!$C:$C,0))))</f>
        <v>0</v>
      </c>
      <c r="K70" s="71">
        <f>+IF($D70=0,0,INDEX('Accessories Install - Labour'!$F:$F,MATCH($D70,'Accessories Install - Labour'!$C:$C,0)))</f>
        <v>0</v>
      </c>
      <c r="L70" s="71">
        <f t="shared" si="13"/>
        <v>0</v>
      </c>
      <c r="N70" s="4"/>
      <c r="P70" s="4"/>
    </row>
    <row r="71" spans="1:17" x14ac:dyDescent="0.35">
      <c r="A71" s="217"/>
      <c r="B71" s="218"/>
      <c r="C71" s="147" t="str">
        <f>'Door - Step 2'!C106</f>
        <v>Heat Trace - Location &amp; Ft. req.</v>
      </c>
      <c r="D71" s="121">
        <f>'Quotation - Door 4'!D105</f>
        <v>0</v>
      </c>
      <c r="E71" s="71">
        <f>+AVERAGE('Cost Sheet'!$N$102:$N$112)</f>
        <v>0.17090909090909087</v>
      </c>
      <c r="F71" s="20"/>
      <c r="G71" s="19" t="s">
        <v>133</v>
      </c>
      <c r="H71" s="71">
        <f>+IF($D71=0,0,((D71*'Accessories Install - Labour'!$E$43)))</f>
        <v>0</v>
      </c>
      <c r="I71" s="71">
        <f>+(E71*D71)+H71</f>
        <v>0</v>
      </c>
      <c r="J71" s="71">
        <f>+AVERAGE('Cost Sheet'!$V$102:$V$112)</f>
        <v>0.17090909090909087</v>
      </c>
      <c r="K71" s="71">
        <f>+IF($D71=0,0,((D71*'Accessories Install - Labour'!$F$43)))</f>
        <v>0</v>
      </c>
      <c r="L71" s="71">
        <f>_xlfn.IFNA(IF(D71=0,0,((J71*D71)+K71)),0)</f>
        <v>0</v>
      </c>
      <c r="N71" s="4"/>
      <c r="P71" s="4"/>
    </row>
    <row r="72" spans="1:17" x14ac:dyDescent="0.35">
      <c r="A72" s="217"/>
      <c r="B72" s="218"/>
      <c r="C72" s="21" t="str">
        <f>'Door - Step 2'!C107</f>
        <v>Electrical Wire - Ft. required</v>
      </c>
      <c r="D72" s="121">
        <f>'Quotation - Door 4'!D106</f>
        <v>0</v>
      </c>
      <c r="E72" s="71">
        <f>+AVERAGE('Cost Sheet'!$M$131:$M$132)/L6</f>
        <v>0.72237597688396882</v>
      </c>
      <c r="F72" s="20"/>
      <c r="G72" s="19" t="s">
        <v>133</v>
      </c>
      <c r="H72" s="71">
        <f>+IF($D72=0,0,((D72*'Accessories Install - Labour'!$E$46)))</f>
        <v>0</v>
      </c>
      <c r="I72" s="71">
        <f>(E72*D72)+H72</f>
        <v>0</v>
      </c>
      <c r="J72" s="71">
        <f>+AVERAGE('Cost Sheet'!$V$131:$V$132)/L6</f>
        <v>0.72237597688396882</v>
      </c>
      <c r="K72" s="71">
        <f>+IF($D72=0,0,((D72*'Accessories Install - Labour'!$F$46)))</f>
        <v>0</v>
      </c>
      <c r="L72" s="71">
        <f>_xlfn.IFNA(IF(D72=0,0,((J72*D72)+K72)),0)</f>
        <v>0</v>
      </c>
      <c r="O72" s="3"/>
      <c r="P72" s="105"/>
      <c r="Q72" s="3"/>
    </row>
    <row r="73" spans="1:17" ht="21" x14ac:dyDescent="0.35">
      <c r="I73" s="224" t="e">
        <f>SUM(I13:I72)*$D$10</f>
        <v>#N/A</v>
      </c>
      <c r="L73" s="224" t="e">
        <f>SUM(L13:L72)*D10</f>
        <v>#N/A</v>
      </c>
      <c r="O73" s="3"/>
      <c r="P73" s="105"/>
      <c r="Q73" s="3"/>
    </row>
    <row r="74" spans="1:17" x14ac:dyDescent="0.35">
      <c r="D74" s="4"/>
      <c r="H74" s="4"/>
      <c r="K74" s="4"/>
      <c r="L74" s="4"/>
      <c r="O74" s="3"/>
      <c r="P74" s="105"/>
      <c r="Q74" s="3"/>
    </row>
    <row r="75" spans="1:17" x14ac:dyDescent="0.35">
      <c r="D75" s="4"/>
      <c r="H75" s="4"/>
      <c r="K75" s="4"/>
      <c r="L75" s="4"/>
      <c r="O75" s="3"/>
      <c r="P75" s="105"/>
      <c r="Q75" s="3"/>
    </row>
  </sheetData>
  <mergeCells count="18">
    <mergeCell ref="E18:E20"/>
    <mergeCell ref="F18:F20"/>
    <mergeCell ref="G18:G20"/>
    <mergeCell ref="H18:H20"/>
    <mergeCell ref="I18:I20"/>
    <mergeCell ref="K1:L1"/>
    <mergeCell ref="A2:B10"/>
    <mergeCell ref="O2:R2"/>
    <mergeCell ref="K3:L3"/>
    <mergeCell ref="E11:I11"/>
    <mergeCell ref="J11:L11"/>
    <mergeCell ref="AB26:AE26"/>
    <mergeCell ref="AB15:AG15"/>
    <mergeCell ref="AB16:AE16"/>
    <mergeCell ref="AF16:AG16"/>
    <mergeCell ref="J18:J20"/>
    <mergeCell ref="K18:K20"/>
    <mergeCell ref="L18:L2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9EA04-FFEE-4F1C-B6BE-50F29D17DB64}">
          <x14:formula1>
            <xm:f>Controller!$A$13:$A$21</xm:f>
          </x14:formula1>
          <xm:sqref>D2:D10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0B1BC-C142-442C-B399-9358A3616114}">
  <sheetPr codeName="Sheet14">
    <tabColor rgb="FFFF0000"/>
  </sheetPr>
  <dimension ref="A1:AD205"/>
  <sheetViews>
    <sheetView zoomScale="55" zoomScaleNormal="55" workbookViewId="0">
      <selection activeCell="F156" sqref="F156"/>
    </sheetView>
  </sheetViews>
  <sheetFormatPr defaultRowHeight="15.5" x14ac:dyDescent="0.35"/>
  <cols>
    <col min="1" max="1" width="46.33203125" bestFit="1" customWidth="1"/>
    <col min="2" max="2" width="34.5" bestFit="1" customWidth="1"/>
    <col min="3" max="3" width="28.58203125" customWidth="1"/>
    <col min="4" max="4" width="32.58203125" bestFit="1" customWidth="1"/>
    <col min="5" max="7" width="51.33203125" bestFit="1" customWidth="1"/>
    <col min="8" max="8" width="44" bestFit="1" customWidth="1"/>
    <col min="9" max="9" width="18.75" bestFit="1" customWidth="1"/>
    <col min="10" max="10" width="38.25" bestFit="1" customWidth="1"/>
    <col min="11" max="11" width="33.5" bestFit="1" customWidth="1"/>
    <col min="12" max="12" width="18.75" bestFit="1" customWidth="1"/>
    <col min="13" max="14" width="19.75" bestFit="1" customWidth="1"/>
    <col min="15" max="15" width="37.5" bestFit="1" customWidth="1"/>
    <col min="16" max="16" width="31.5" bestFit="1" customWidth="1"/>
    <col min="17" max="17" width="28.83203125" bestFit="1" customWidth="1"/>
    <col min="18" max="22" width="19.75" bestFit="1" customWidth="1"/>
    <col min="28" max="28" width="38" bestFit="1" customWidth="1"/>
  </cols>
  <sheetData>
    <row r="1" spans="1:17" x14ac:dyDescent="0.35">
      <c r="O1" s="203" t="str">
        <f>+IF('Door - Step 2'!$D$30="Polyfoam Overlap Doors - Swing Door","Yes","No")</f>
        <v>No</v>
      </c>
    </row>
    <row r="2" spans="1:17" x14ac:dyDescent="0.35">
      <c r="A2" s="132" t="s">
        <v>487</v>
      </c>
      <c r="B2" s="133" t="s">
        <v>488</v>
      </c>
      <c r="C2" s="134"/>
      <c r="D2" s="135" t="str">
        <f>+B3</f>
        <v>Door Panel</v>
      </c>
      <c r="E2" s="135" t="str">
        <f>+B4</f>
        <v>Face Frame</v>
      </c>
      <c r="F2" s="135" t="str">
        <f>+B5</f>
        <v>Inside Jamb</v>
      </c>
      <c r="G2" s="135" t="str">
        <f>+B6</f>
        <v>Back Frame</v>
      </c>
      <c r="H2" s="135" t="str">
        <f>+B7</f>
        <v xml:space="preserve">Fasteners </v>
      </c>
      <c r="I2" s="135" t="str">
        <f>+B8</f>
        <v>Freezer Door</v>
      </c>
      <c r="J2" s="135" t="str">
        <f>+B9</f>
        <v>Kick Plate Material</v>
      </c>
      <c r="K2" s="135" t="str">
        <f>+B10</f>
        <v>Kick Plate Size</v>
      </c>
      <c r="L2" s="135" t="str">
        <f>+B11</f>
        <v>Kick Plate Location</v>
      </c>
      <c r="M2" s="135" t="str">
        <f>+B12</f>
        <v>ViewPort Window Size</v>
      </c>
      <c r="N2" s="135" t="str">
        <f>+B13</f>
        <v>ViewPort Window Type</v>
      </c>
      <c r="O2" s="135" t="str">
        <f>+B14</f>
        <v>Motion Sensor</v>
      </c>
      <c r="P2" s="135" t="str">
        <f>+B15</f>
        <v>Additional Heater Location</v>
      </c>
      <c r="Q2" s="135" t="str">
        <f>+B16</f>
        <v>Tamper Proof Hardware</v>
      </c>
    </row>
    <row r="3" spans="1:17" x14ac:dyDescent="0.35">
      <c r="A3" s="108" t="str">
        <f>+'Door - Step 2'!$D$30</f>
        <v>Overlap Doors - Swing door</v>
      </c>
      <c r="B3" s="4" t="s">
        <v>50</v>
      </c>
      <c r="C3" s="4"/>
      <c r="D3" s="4" t="str" cm="1">
        <f t="array" aca="1" ref="D3:D6" ca="1">OFFSET(Doors[[#All],[Category]],MATCH(CONCATENATE($A$3,'Door - Step 2'!$C42),Doors[[#All],[Search Function]],0)-1,1,COUNTIF(Doors[[#All],[Search Function]],CONCATENATE($A$3,'Door - Step 2'!$C42)),1)</f>
        <v>26 Ga. White - Stucco Embossed Finish</v>
      </c>
      <c r="E3" s="4" t="str" cm="1">
        <f t="array" aca="1" ref="E3:E13" ca="1">OFFSET(Doors[[#All],[Category]],MATCH(CONCATENATE($A$3,'Door - Step 2'!$C43),Doors[[#All],[Search Function]],0)-1,1,COUNTIF(Doors[[#All],[Search Function]],CONCATENATE($A$3,'Door - Step 2'!$C43)),1)</f>
        <v>Aluminium Frame - Standard</v>
      </c>
      <c r="F3" s="4" t="str" cm="1">
        <f t="array" aca="1" ref="F3:F13" ca="1">OFFSET(Doors[[#All],[Category]],MATCH(CONCATENATE($A$3,'Door - Step 2'!$C44),Doors[[#All],[Search Function]],0)-1,1,COUNTIF(Doors[[#All],[Search Function]],CONCATENATE($A$3,'Door - Step 2'!$C44)),1)</f>
        <v>Aluminium Frame - Standard</v>
      </c>
      <c r="G3" s="4" t="str" cm="1">
        <f t="array" aca="1" ref="G3:G13" ca="1">OFFSET(Doors[[#All],[Category]],MATCH(CONCATENATE($A$3,'Door - Step 2'!$C45),Doors[[#All],[Search Function]],0)-1,1,COUNTIF(Doors[[#All],[Search Function]],CONCATENATE($A$3,'Door - Step 2'!$C45)),1)</f>
        <v>Aluminium Frame - Standard</v>
      </c>
      <c r="H3" s="4" t="e" cm="1">
        <f t="array" aca="1" ref="H3" ca="1">OFFSET(Doors[[#All],[Category]],MATCH(CONCATENATE($A$3,'Door - Step 2'!#REF!),Doors[[#All],[Search Function]],0)-1,1,COUNTIF(Doors[[#All],[Search Function]],CONCATENATE($A$3,'Door - Step 2'!#REF!)),1)</f>
        <v>#REF!</v>
      </c>
      <c r="I3" s="4" t="str" cm="1">
        <f t="array" aca="1" ref="I3:I6" ca="1">OFFSET(Doors[[#All],[Category]],MATCH(CONCATENATE($A$3,'Door - Step 2'!$C46),Doors[[#All],[Search Function]],0)-1,1,COUNTIF(Doors[[#All],[Search Function]],CONCATENATE($A$3,'Door - Step 2'!$C46)),1)</f>
        <v>110V AC/1AMP Electric Defrost System</v>
      </c>
      <c r="J3" s="4" t="str" cm="1">
        <f t="array" aca="1" ref="J3:J6" ca="1">OFFSET(Doors[[#All],[Category]],MATCH(CONCATENATE($A$3,'Door - Step 2'!$C47),Doors[[#All],[Search Function]],0)-1,1,COUNTIF(Doors[[#All],[Search Function]],CONCATENATE($A$3,'Door - Step 2'!$C47)),1)</f>
        <v>18 Ga. Galvanised</v>
      </c>
      <c r="K3" t="str" cm="1">
        <f t="array" aca="1" ref="K3:K6" ca="1">OFFSET(Doors[[#All],[Category]],MATCH(CONCATENATE($A$3,'Door - Step 2'!$C48),Doors[[#All],[Search Function]],0)-1,1,COUNTIF(Doors[[#All],[Search Function]],CONCATENATE($A$3,'Door - Step 2'!$C48)),1)</f>
        <v>18"H</v>
      </c>
      <c r="L3" t="str" cm="1">
        <f t="array" aca="1" ref="L3:L7" ca="1">OFFSET(Doors[[#All],[Category]],MATCH(CONCATENATE($A$3,'Door - Step 2'!$C49),Doors[[#All],[Search Function]],0)-1,1,COUNTIF(Doors[[#All],[Search Function]],CONCATENATE($A$3,'Door - Step 2'!$C49)),1)</f>
        <v xml:space="preserve">Door </v>
      </c>
      <c r="M3" t="str" cm="1">
        <f t="array" aca="1" ref="M3:M6" ca="1">OFFSET(Doors[[#All],[Category]],MATCH(CONCATENATE($A$3,'Door - Step 2'!$C50),Doors[[#All],[Search Function]],0)-1,1,COUNTIF(Doors[[#All],[Search Function]],CONCATENATE($A$3,'Door - Step 2'!$C50)),1)</f>
        <v>3/4" x 14" x 16"</v>
      </c>
      <c r="N3" t="str" cm="1">
        <f t="array" aca="1" ref="N3:N4" ca="1">OFFSET(Doors[[#All],[Category]],MATCH(CONCATENATE($A$3,'Door - Step 2'!$C51),Doors[[#All],[Search Function]],0)-1,1,COUNTIF(Doors[[#All],[Search Function]],CONCATENATE($A$3,'Door - Step 2'!$C51)),1)</f>
        <v>Insulated</v>
      </c>
      <c r="O3" t="e" cm="1">
        <f t="array" aca="1" ref="O3" ca="1">IF(A3="Polyfoam Overlap Doors - Swing door","Not Required",OFFSET(Doors[[#All],[Category]],MATCH(CONCATENATE($A$3,'Door - Step 2'!$C52),Doors[[#All],[Search Function]],0)-1,1,COUNTIF(Doors[[#All],[Search Function]],CONCATENATE($A$3,'Door - Step 2'!$C52)),1))</f>
        <v>#N/A</v>
      </c>
      <c r="Q3" t="s">
        <v>489</v>
      </c>
    </row>
    <row r="4" spans="1:17" x14ac:dyDescent="0.35">
      <c r="A4" s="4"/>
      <c r="B4" s="4" t="s">
        <v>54</v>
      </c>
      <c r="C4" s="4"/>
      <c r="D4" s="4" t="str">
        <f ca="1"/>
        <v>26 Ga. White - Smooth Finish</v>
      </c>
      <c r="E4" s="4" t="str">
        <f ca="1"/>
        <v>Aluminium Clad - Steel</v>
      </c>
      <c r="F4" s="4" t="str">
        <f ca="1"/>
        <v>Aluminium Clad - Steel</v>
      </c>
      <c r="G4" s="4" t="str">
        <f ca="1"/>
        <v>Aluminium Clad - Steel</v>
      </c>
      <c r="H4" s="4"/>
      <c r="I4" s="4" t="str">
        <f ca="1"/>
        <v xml:space="preserve">120VAC/1AMP Electric Defrost system. </v>
      </c>
      <c r="J4" s="4" t="str">
        <f ca="1"/>
        <v>20 Ga. #304 Stainless steel - 2B Finish</v>
      </c>
      <c r="K4" t="str">
        <f ca="1"/>
        <v>24"H</v>
      </c>
      <c r="L4" t="str">
        <f ca="1"/>
        <v xml:space="preserve">Wallside </v>
      </c>
      <c r="M4" t="str">
        <f ca="1"/>
        <v>1-3/8 x 14" x 16"</v>
      </c>
      <c r="N4" t="str">
        <f ca="1"/>
        <v>Heated</v>
      </c>
    </row>
    <row r="5" spans="1:17" x14ac:dyDescent="0.35">
      <c r="A5" s="4"/>
      <c r="B5" s="4" t="s">
        <v>58</v>
      </c>
      <c r="C5" s="4"/>
      <c r="D5" s="4" t="str">
        <f ca="1"/>
        <v>26 Ga. #304 Stainless steel - 2B Finish</v>
      </c>
      <c r="E5" s="4" t="str">
        <f ca="1"/>
        <v>Aluminium Clad - 26 Ga. White - Stucco Embossed</v>
      </c>
      <c r="F5" s="4" t="str">
        <f ca="1"/>
        <v>Aluminium Clad - 26 Ga. White - Stucco Embossed</v>
      </c>
      <c r="G5" s="4" t="str">
        <f ca="1"/>
        <v>Aluminium Clad - 26 Ga. White - Stucco Embossed</v>
      </c>
      <c r="H5" s="4"/>
      <c r="I5" s="4" t="str">
        <f ca="1"/>
        <v xml:space="preserve">208VAC/1AMP Electric Defrost system. </v>
      </c>
      <c r="J5" s="4" t="str">
        <f ca="1"/>
        <v>1/8" T Aluminium Tread Plate</v>
      </c>
      <c r="K5" t="str">
        <f ca="1"/>
        <v>36"H</v>
      </c>
      <c r="L5" t="str">
        <f ca="1"/>
        <v>Exterior</v>
      </c>
      <c r="M5" t="str">
        <f ca="1"/>
        <v>3/4" x 15"x  21"</v>
      </c>
    </row>
    <row r="6" spans="1:17" x14ac:dyDescent="0.35">
      <c r="A6" s="4"/>
      <c r="B6" s="4" t="s">
        <v>60</v>
      </c>
      <c r="C6" s="4"/>
      <c r="D6" s="4" t="str">
        <f ca="1"/>
        <v xml:space="preserve">Other </v>
      </c>
      <c r="E6" s="4" t="str">
        <f ca="1"/>
        <v>Aluminium Clad - 26 Ga. White - Smooth Finished</v>
      </c>
      <c r="F6" s="4" t="str">
        <f ca="1"/>
        <v>Aluminium Clad - 26 Ga. White - Smooth Finished</v>
      </c>
      <c r="G6" s="4" t="str">
        <f ca="1"/>
        <v>Aluminium Clad - 26 Ga. White - Smooth Finished</v>
      </c>
      <c r="H6" s="4"/>
      <c r="I6" s="4" t="str">
        <f ca="1"/>
        <v xml:space="preserve">575VAC/1AMP Electric Defrost system. </v>
      </c>
      <c r="J6" s="4" t="str">
        <f ca="1"/>
        <v>Other</v>
      </c>
      <c r="K6" t="str">
        <f ca="1"/>
        <v>48"H</v>
      </c>
      <c r="L6" t="str">
        <f ca="1"/>
        <v>Interior</v>
      </c>
      <c r="M6" t="str">
        <f ca="1"/>
        <v>1-3/8" x 15" x 21"</v>
      </c>
    </row>
    <row r="7" spans="1:17" x14ac:dyDescent="0.35">
      <c r="A7" s="4"/>
      <c r="B7" s="4" t="s">
        <v>490</v>
      </c>
      <c r="C7" s="4"/>
      <c r="D7" s="4"/>
      <c r="E7" s="4" t="str">
        <f ca="1"/>
        <v>Wood Clad - Steel</v>
      </c>
      <c r="F7" s="4" t="str">
        <f ca="1"/>
        <v>Wood Clad - Steel</v>
      </c>
      <c r="G7" s="4" t="str">
        <f ca="1"/>
        <v>Wood Clad - Steel</v>
      </c>
      <c r="H7" s="4"/>
      <c r="I7" s="4"/>
      <c r="J7" s="4"/>
      <c r="L7" t="str">
        <f ca="1"/>
        <v>Interior and Exterior</v>
      </c>
    </row>
    <row r="8" spans="1:17" x14ac:dyDescent="0.35">
      <c r="A8" s="4"/>
      <c r="B8" s="4" t="s">
        <v>125</v>
      </c>
      <c r="C8" s="4"/>
      <c r="D8" s="4"/>
      <c r="E8" s="4" t="str">
        <f ca="1"/>
        <v>Wood Clad - 26 Ga. White - Stucco Embossed</v>
      </c>
      <c r="F8" s="4" t="str">
        <f ca="1"/>
        <v>Wood Clad - 26 Ga. White - Stucco Embossed</v>
      </c>
      <c r="G8" s="4" t="str">
        <f ca="1"/>
        <v>Wood Clad - 26 Ga. White - Stucco Embossed</v>
      </c>
      <c r="H8" s="4"/>
      <c r="I8" s="4"/>
      <c r="J8" s="4"/>
    </row>
    <row r="9" spans="1:17" x14ac:dyDescent="0.35">
      <c r="A9" s="4"/>
      <c r="B9" s="4" t="s">
        <v>126</v>
      </c>
      <c r="C9" s="4"/>
      <c r="D9" s="4"/>
      <c r="E9" s="4" t="str">
        <f ca="1"/>
        <v>Wood Clad - 26 Ga. White - Smooth Finished</v>
      </c>
      <c r="F9" s="4" t="str">
        <f ca="1"/>
        <v>Wood Clad - 26 Ga. White - Smooth Finished</v>
      </c>
      <c r="G9" s="4" t="str">
        <f ca="1"/>
        <v>Wood Clad - 26 Ga. White - Smooth Finished</v>
      </c>
      <c r="H9" s="4"/>
      <c r="I9" s="4"/>
      <c r="J9" s="4"/>
    </row>
    <row r="10" spans="1:17" x14ac:dyDescent="0.35">
      <c r="A10" s="4"/>
      <c r="B10" s="4" t="s">
        <v>127</v>
      </c>
      <c r="C10" s="4"/>
      <c r="D10" s="4"/>
      <c r="E10" s="4" t="str">
        <f ca="1"/>
        <v>HDPE (Plastic) Clad - Steel</v>
      </c>
      <c r="F10" s="4" t="str">
        <f ca="1"/>
        <v>HDPE (Plastic) Clad - Steel</v>
      </c>
      <c r="G10" s="4" t="str">
        <f ca="1"/>
        <v>HDPE (Plastic) Clad - Steel</v>
      </c>
      <c r="H10" s="4"/>
      <c r="I10" s="4"/>
      <c r="J10" s="4"/>
    </row>
    <row r="11" spans="1:17" x14ac:dyDescent="0.35">
      <c r="A11" s="4"/>
      <c r="B11" s="4" t="s">
        <v>128</v>
      </c>
      <c r="C11" s="4"/>
      <c r="D11" s="4"/>
      <c r="E11" s="4" t="str">
        <f ca="1"/>
        <v>HDPE (Plastic) Clad - 26 Ga. White - Stucco Embossed</v>
      </c>
      <c r="F11" s="4" t="str">
        <f ca="1"/>
        <v>HDPE (Plastic) Clad - 26 Ga. White - Stucco Embossed</v>
      </c>
      <c r="G11" s="4" t="str">
        <f ca="1"/>
        <v>HDPE (Plastic) Clad - 26 Ga. White - Stucco Embossed</v>
      </c>
      <c r="H11" s="4"/>
      <c r="I11" s="4"/>
      <c r="J11" s="4"/>
    </row>
    <row r="12" spans="1:17" x14ac:dyDescent="0.35">
      <c r="A12" s="4"/>
      <c r="B12" s="4" t="s">
        <v>129</v>
      </c>
      <c r="C12" s="4"/>
      <c r="D12" s="4"/>
      <c r="E12" s="4" t="str">
        <f ca="1"/>
        <v>HDPE (Plastic) Clad - 26 Ga. White - Smooth Finished</v>
      </c>
      <c r="F12" s="4" t="str">
        <f ca="1"/>
        <v>HDPE (Plastic) Clad - 26 Ga. White - Smooth Finished</v>
      </c>
      <c r="G12" s="4" t="str">
        <f ca="1"/>
        <v>HDPE (Plastic) Clad - 26 Ga. White - Smooth Finished</v>
      </c>
      <c r="H12" s="4"/>
      <c r="I12" s="4"/>
      <c r="J12" s="4"/>
    </row>
    <row r="13" spans="1:17" x14ac:dyDescent="0.35">
      <c r="A13" s="4"/>
      <c r="B13" s="4" t="s">
        <v>130</v>
      </c>
      <c r="C13" s="4"/>
      <c r="D13" s="4"/>
      <c r="E13" s="4" t="str">
        <f ca="1"/>
        <v xml:space="preserve">Other </v>
      </c>
      <c r="F13" s="4" t="str">
        <f ca="1"/>
        <v xml:space="preserve">Other </v>
      </c>
      <c r="G13" s="4" t="str">
        <f ca="1"/>
        <v xml:space="preserve">Other </v>
      </c>
      <c r="H13" s="4"/>
      <c r="I13" s="4"/>
      <c r="J13" s="4"/>
    </row>
    <row r="14" spans="1:17" x14ac:dyDescent="0.35">
      <c r="A14" s="4"/>
      <c r="B14" s="4" t="s">
        <v>131</v>
      </c>
      <c r="C14" s="4"/>
      <c r="D14" s="4"/>
      <c r="E14" s="4"/>
      <c r="F14" s="4"/>
      <c r="G14" s="4"/>
      <c r="H14" s="4"/>
      <c r="I14" s="4"/>
      <c r="J14" s="4"/>
    </row>
    <row r="15" spans="1:17" x14ac:dyDescent="0.35">
      <c r="A15" s="4"/>
      <c r="B15" s="4" t="s">
        <v>132</v>
      </c>
      <c r="C15" s="4"/>
      <c r="D15" s="4"/>
      <c r="E15" s="4"/>
      <c r="F15" s="4"/>
      <c r="G15" s="4"/>
      <c r="H15" s="4"/>
      <c r="I15" s="4"/>
      <c r="J15" s="4"/>
    </row>
    <row r="16" spans="1:17" x14ac:dyDescent="0.35">
      <c r="A16" s="4"/>
      <c r="B16" s="4" t="s">
        <v>489</v>
      </c>
      <c r="C16" s="4"/>
      <c r="D16" s="4"/>
      <c r="E16" s="4"/>
      <c r="F16" s="4"/>
      <c r="G16" s="4"/>
      <c r="H16" s="4"/>
      <c r="I16" s="4"/>
      <c r="J16" s="4"/>
    </row>
    <row r="17" spans="1:17" x14ac:dyDescent="0.35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7" x14ac:dyDescent="0.35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7" x14ac:dyDescent="0.35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7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7" x14ac:dyDescent="0.35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7" x14ac:dyDescent="0.35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7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  <c r="O23" s="203" t="str">
        <f>+IF('Quotation - Door 2'!$D$30="Polyfoam Overlap Doors - Swing Door","Yes","No")</f>
        <v>No</v>
      </c>
    </row>
    <row r="24" spans="1:17" x14ac:dyDescent="0.35">
      <c r="A24" s="132" t="s">
        <v>487</v>
      </c>
      <c r="B24" s="133" t="s">
        <v>488</v>
      </c>
      <c r="C24" s="134"/>
      <c r="D24" s="135" t="str">
        <f>+B25</f>
        <v>Door Panel</v>
      </c>
      <c r="E24" s="135" t="str">
        <f>+B26</f>
        <v>Face Frame</v>
      </c>
      <c r="F24" s="135" t="str">
        <f>+B27</f>
        <v>Inside Jamb</v>
      </c>
      <c r="G24" s="135" t="str">
        <f>+B28</f>
        <v>Back Frame</v>
      </c>
      <c r="H24" s="135" t="str">
        <f>+B29</f>
        <v xml:space="preserve">Fasteners </v>
      </c>
      <c r="I24" s="135" t="str">
        <f>+B30</f>
        <v>Freezer Door</v>
      </c>
      <c r="J24" s="135" t="str">
        <f>+B31</f>
        <v>Kick Plate Material</v>
      </c>
      <c r="K24" s="135" t="str">
        <f>+B32</f>
        <v>Kick Plate Size</v>
      </c>
      <c r="L24" s="135" t="str">
        <f>+B33</f>
        <v>Kick Plate Location</v>
      </c>
      <c r="M24" s="135" t="str">
        <f>+B34</f>
        <v>ViewPort Window Size</v>
      </c>
      <c r="N24" s="135" t="str">
        <f>+B35</f>
        <v>ViewPort Window Type</v>
      </c>
      <c r="O24" s="135" t="str">
        <f>+B36</f>
        <v>Motion Sensor</v>
      </c>
      <c r="P24" s="135" t="str">
        <f>+B37</f>
        <v>Additional Heater Location</v>
      </c>
      <c r="Q24" s="135" t="str">
        <f>+B38</f>
        <v>Tamper Proof Hardware</v>
      </c>
    </row>
    <row r="25" spans="1:17" x14ac:dyDescent="0.35">
      <c r="A25" s="108" t="str">
        <f>+'Quotation - Door 2'!$D$30</f>
        <v>Power Operated Sliding door - Single horizontal Slide</v>
      </c>
      <c r="B25" s="4" t="s">
        <v>50</v>
      </c>
      <c r="C25" s="4"/>
      <c r="D25" s="4" t="str" cm="1">
        <f t="array" aca="1" ref="D25:D28" ca="1">OFFSET(Doors[[#All],[Category]],MATCH(CONCATENATE($A$25,'Quotation - Door 2'!$C42),Doors[[#All],[Search Function]],0)-1,1,COUNTIF(Doors[[#All],[Search Function]],CONCATENATE($A$25,'Quotation - Door 2'!$C42)),1)</f>
        <v>26 Ga. White - Stucco Embossed Finish</v>
      </c>
      <c r="E25" s="4" t="str" cm="1">
        <f t="array" aca="1" ref="E25:E35" ca="1">OFFSET(Doors[[#All],[Category]],MATCH(CONCATENATE($A$25,'Quotation - Door 2'!$C43),Doors[[#All],[Search Function]],0)-1,1,COUNTIF(Doors[[#All],[Search Function]],CONCATENATE($A$25,'Quotation - Door 2'!$C43)),1)</f>
        <v>Aluminium Frame - Standard</v>
      </c>
      <c r="F25" s="4" t="str" cm="1">
        <f t="array" aca="1" ref="F25:F35" ca="1">OFFSET(Doors[[#All],[Category]],MATCH(CONCATENATE($A$25,'Quotation - Door 2'!$C44),Doors[[#All],[Search Function]],0)-1,1,COUNTIF(Doors[[#All],[Search Function]],CONCATENATE($A$25,'Quotation - Door 2'!$C44)),1)</f>
        <v>Aluminium Frame - Standard</v>
      </c>
      <c r="G25" s="4" t="str" cm="1">
        <f t="array" aca="1" ref="G25:G35" ca="1">OFFSET(Doors[[#All],[Category]],MATCH(CONCATENATE($A$25,'Quotation - Door 2'!$C45),Doors[[#All],[Search Function]],0)-1,1,COUNTIF(Doors[[#All],[Search Function]],CONCATENATE($A$25,'Quotation - Door 2'!$C45)),1)</f>
        <v>Aluminium Frame - Standard</v>
      </c>
      <c r="H25" s="4" t="e" cm="1">
        <f t="array" aca="1" ref="H25" ca="1">OFFSET(Doors[[#All],[Category]],MATCH(CONCATENATE($A$25,'Quotation - Door 2'!#REF!),Doors[[#All],[Search Function]],0)-1,1,COUNTIF(Doors[[#All],[Search Function]],CONCATENATE($A$25,'Quotation - Door 2'!#REF!)),1)</f>
        <v>#REF!</v>
      </c>
      <c r="I25" s="4" t="str" cm="1">
        <f t="array" aca="1" ref="I25:I28" ca="1">OFFSET(Doors[[#All],[Category]],MATCH(CONCATENATE($A25,'Quotation - Door 2'!$C46),Doors[[#All],[Search Function]],0)-1,1,COUNTIF(Doors[[#All],[Search Function]],CONCATENATE($A$25,'Quotation - Door 2'!$C46)),1)</f>
        <v>110V AC/1AMP Electric Defrost System</v>
      </c>
      <c r="J25" s="4" t="str" cm="1">
        <f t="array" aca="1" ref="J25:J28" ca="1">OFFSET(Doors[[#All],[Category]],MATCH(CONCATENATE($A$25,'Quotation - Door 2'!$C47),Doors[[#All],[Search Function]],0)-1,1,COUNTIF(Doors[[#All],[Search Function]],CONCATENATE($A$25,'Quotation - Door 2'!$C47)),1)</f>
        <v>18 Ga. Galvanised</v>
      </c>
      <c r="K25" t="str" cm="1">
        <f t="array" aca="1" ref="K25:K28" ca="1">OFFSET(Doors[[#All],[Category]],MATCH(CONCATENATE($A$25,'Quotation - Door 2'!$C48),Doors[[#All],[Search Function]],0)-1,1,COUNTIF(Doors[[#All],[Search Function]],CONCATENATE($A$25,'Quotation - Door 2'!$C48)),1)</f>
        <v>18"H</v>
      </c>
      <c r="L25" t="str" cm="1">
        <f t="array" aca="1" ref="L25:L29" ca="1">OFFSET(Doors[[#All],[Category]],MATCH(CONCATENATE($A$25,'Quotation - Door 2'!$C49),Doors[[#All],[Search Function]],0)-1,1,COUNTIF(Doors[[#All],[Search Function]],CONCATENATE($A$25,'Quotation - Door 2'!$C49)),1)</f>
        <v xml:space="preserve">Door </v>
      </c>
      <c r="M25" t="str" cm="1">
        <f t="array" aca="1" ref="M25:M28" ca="1">OFFSET(Doors[[#All],[Category]],MATCH(CONCATENATE($A$25,'Quotation - Door 2'!$C50),Doors[[#All],[Search Function]],0)-1,1,COUNTIF(Doors[[#All],[Search Function]],CONCATENATE($A$25,'Quotation - Door 2'!$C50)),1)</f>
        <v>3/4" x 14" x 16"</v>
      </c>
      <c r="N25" t="str" cm="1">
        <f t="array" aca="1" ref="N25:N26" ca="1">OFFSET(Doors[[#All],[Category]],MATCH(CONCATENATE($A$25,'Quotation - Door 2'!$C51),Doors[[#All],[Search Function]],0)-1,1,COUNTIF(Doors[[#All],[Search Function]],CONCATENATE($A$25,'Quotation - Door 2'!$C51)),1)</f>
        <v>Insulated</v>
      </c>
      <c r="O25" t="str" cm="1">
        <f t="array" aca="1" ref="O25:O26" ca="1">IF(A25="Polyfoam Overlap Doors - Swing door","Not Required",OFFSET(Doors[[#All],[Category]],MATCH(CONCATENATE($A$25,'Quotation - Door 2'!$C52),Doors[[#All],[Search Function]],0)-1,1,COUNTIF(Doors[[#All],[Search Function]],CONCATENATE($A$25,'Quotation - Door 2'!$C52)),1))</f>
        <v xml:space="preserve">Altas Rolling System </v>
      </c>
      <c r="Q25" t="str" cm="1">
        <f t="array" aca="1" ref="Q25" ca="1">OFFSET(Doors[[#All],[Category]],MATCH(CONCATENATE($A$25,'Quotation - Door 2'!$C54),Doors[[#All],[Search Function]],0)-1,1,COUNTIF(Doors[[#All],[Search Function]],CONCATENATE($A$25,'Quotation - Door 2'!$C54)),1)</f>
        <v>Tamper Proof Hardware</v>
      </c>
    </row>
    <row r="26" spans="1:17" x14ac:dyDescent="0.35">
      <c r="A26" s="4"/>
      <c r="B26" s="4" t="s">
        <v>54</v>
      </c>
      <c r="C26" s="4"/>
      <c r="D26" s="4" t="str">
        <f ca="1"/>
        <v>26 Ga. White - Smooth Finish</v>
      </c>
      <c r="E26" s="4" t="str">
        <f ca="1"/>
        <v>Aluminium Clad - Steel</v>
      </c>
      <c r="F26" s="4" t="str">
        <f ca="1"/>
        <v>Aluminium Clad - Steel</v>
      </c>
      <c r="G26" s="4" t="str">
        <f ca="1"/>
        <v>Aluminium Clad - Steel</v>
      </c>
      <c r="H26" s="4"/>
      <c r="I26" s="4" t="str">
        <f ca="1"/>
        <v xml:space="preserve">120VAC/1AMP Electric Defrost system. </v>
      </c>
      <c r="J26" s="4" t="str">
        <f ca="1"/>
        <v>20 Ga. #304 Stainless steel - 2B Finish</v>
      </c>
      <c r="K26" t="str">
        <f ca="1"/>
        <v>24"H</v>
      </c>
      <c r="L26" t="str">
        <f ca="1"/>
        <v xml:space="preserve">Wallside </v>
      </c>
      <c r="M26" t="str">
        <f ca="1"/>
        <v>1-3/8 x 14" x 16"</v>
      </c>
      <c r="N26" t="str">
        <f ca="1"/>
        <v>Heated</v>
      </c>
      <c r="O26" t="str">
        <f ca="1"/>
        <v>Photo Eye</v>
      </c>
    </row>
    <row r="27" spans="1:17" x14ac:dyDescent="0.35">
      <c r="A27" s="4"/>
      <c r="B27" s="4" t="s">
        <v>58</v>
      </c>
      <c r="C27" s="4"/>
      <c r="D27" s="4" t="str">
        <f ca="1"/>
        <v>26 Ga. #304 Stainless steel - 2B Finish</v>
      </c>
      <c r="E27" s="4" t="str">
        <f ca="1"/>
        <v>Aluminium Clad - 26 Ga. White - Stucco Embossed</v>
      </c>
      <c r="F27" s="4" t="str">
        <f ca="1"/>
        <v>Aluminium Clad - 26 Ga. White - Stucco Embossed</v>
      </c>
      <c r="G27" s="4" t="str">
        <f ca="1"/>
        <v>Aluminium Clad - 26 Ga. White - Stucco Embossed</v>
      </c>
      <c r="H27" s="4"/>
      <c r="I27" s="4" t="str">
        <f ca="1"/>
        <v xml:space="preserve">208VAC/1AMP Electric Defrost system. </v>
      </c>
      <c r="J27" s="4" t="str">
        <f ca="1"/>
        <v>1/8" T Aluminium Tread Plate</v>
      </c>
      <c r="K27" t="str">
        <f ca="1"/>
        <v>36"H</v>
      </c>
      <c r="L27" t="str">
        <f ca="1"/>
        <v>Exterior</v>
      </c>
      <c r="M27" t="str">
        <f ca="1"/>
        <v>3/4" x 15"x  21"</v>
      </c>
    </row>
    <row r="28" spans="1:17" x14ac:dyDescent="0.35">
      <c r="A28" s="4"/>
      <c r="B28" s="4" t="s">
        <v>60</v>
      </c>
      <c r="C28" s="4"/>
      <c r="D28" s="4" t="str">
        <f ca="1"/>
        <v xml:space="preserve">Other </v>
      </c>
      <c r="E28" s="4" t="str">
        <f ca="1"/>
        <v>Aluminium Clad - 26 Ga. White - Smooth Finished</v>
      </c>
      <c r="F28" s="4" t="str">
        <f ca="1"/>
        <v>Aluminium Clad - 26 Ga. White - Smooth Finished</v>
      </c>
      <c r="G28" s="4" t="str">
        <f ca="1"/>
        <v>Aluminium Clad - 26 Ga. White - Smooth Finished</v>
      </c>
      <c r="H28" s="4"/>
      <c r="I28" s="4" t="str">
        <f ca="1"/>
        <v xml:space="preserve">575VAC/1AMP Electric Defrost system. </v>
      </c>
      <c r="J28" s="4" t="str">
        <f ca="1"/>
        <v>Other</v>
      </c>
      <c r="K28" t="str">
        <f ca="1"/>
        <v>48"H</v>
      </c>
      <c r="L28" t="str">
        <f ca="1"/>
        <v>Interior</v>
      </c>
      <c r="M28" t="str">
        <f ca="1"/>
        <v>1-3/8" x 15" x 21"</v>
      </c>
    </row>
    <row r="29" spans="1:17" x14ac:dyDescent="0.35">
      <c r="A29" s="4"/>
      <c r="B29" s="4" t="s">
        <v>490</v>
      </c>
      <c r="C29" s="4"/>
      <c r="D29" s="4"/>
      <c r="E29" s="4" t="str">
        <f ca="1"/>
        <v>Wood Clad - Steel</v>
      </c>
      <c r="F29" s="4" t="str">
        <f ca="1"/>
        <v>Wood Clad - Steel</v>
      </c>
      <c r="G29" s="4" t="str">
        <f ca="1"/>
        <v>Wood Clad - Steel</v>
      </c>
      <c r="H29" s="4"/>
      <c r="I29" s="4"/>
      <c r="J29" s="4"/>
      <c r="L29" t="str">
        <f ca="1"/>
        <v>Interior and Exterior</v>
      </c>
    </row>
    <row r="30" spans="1:17" x14ac:dyDescent="0.35">
      <c r="A30" s="4"/>
      <c r="B30" s="4" t="s">
        <v>125</v>
      </c>
      <c r="C30" s="4"/>
      <c r="D30" s="4"/>
      <c r="E30" s="4" t="str">
        <f ca="1"/>
        <v>Wood Clad - 26 Ga. White - Stucco Embossed</v>
      </c>
      <c r="F30" s="4" t="str">
        <f ca="1"/>
        <v>Wood Clad - 26 Ga. White - Stucco Embossed</v>
      </c>
      <c r="G30" s="4" t="str">
        <f ca="1"/>
        <v>Wood Clad - 26 Ga. White - Stucco Embossed</v>
      </c>
      <c r="H30" s="4"/>
      <c r="I30" s="4"/>
      <c r="J30" s="4"/>
    </row>
    <row r="31" spans="1:17" x14ac:dyDescent="0.35">
      <c r="A31" s="4"/>
      <c r="B31" s="4" t="s">
        <v>126</v>
      </c>
      <c r="C31" s="4"/>
      <c r="D31" s="4"/>
      <c r="E31" s="4" t="str">
        <f ca="1"/>
        <v>Wood Clad - 26 Ga. White - Smooth Finished</v>
      </c>
      <c r="F31" s="4" t="str">
        <f ca="1"/>
        <v>Wood Clad - 26 Ga. White - Smooth Finished</v>
      </c>
      <c r="G31" s="4" t="str">
        <f ca="1"/>
        <v>Wood Clad - 26 Ga. White - Smooth Finished</v>
      </c>
      <c r="H31" s="4"/>
      <c r="I31" s="4"/>
      <c r="J31" s="4"/>
    </row>
    <row r="32" spans="1:17" x14ac:dyDescent="0.35">
      <c r="A32" s="4"/>
      <c r="B32" s="4" t="s">
        <v>127</v>
      </c>
      <c r="C32" s="4"/>
      <c r="D32" s="4"/>
      <c r="E32" s="4" t="str">
        <f ca="1"/>
        <v>HDPE (Plastic) Clad - Steel</v>
      </c>
      <c r="F32" s="4" t="str">
        <f ca="1"/>
        <v>HDPE (Plastic) Clad - Steel</v>
      </c>
      <c r="G32" s="4" t="str">
        <f ca="1"/>
        <v>HDPE (Plastic) Clad - Steel</v>
      </c>
      <c r="H32" s="4"/>
      <c r="I32" s="4"/>
      <c r="J32" s="4"/>
    </row>
    <row r="33" spans="1:17" x14ac:dyDescent="0.35">
      <c r="A33" s="4"/>
      <c r="B33" s="4" t="s">
        <v>128</v>
      </c>
      <c r="C33" s="4"/>
      <c r="D33" s="4"/>
      <c r="E33" s="4" t="str">
        <f ca="1"/>
        <v>HDPE (Plastic) Clad - 26 Ga. White - Stucco Embossed</v>
      </c>
      <c r="F33" s="4" t="str">
        <f ca="1"/>
        <v>HDPE (Plastic) Clad - 26 Ga. White - Stucco Embossed</v>
      </c>
      <c r="G33" s="4" t="str">
        <f ca="1"/>
        <v>HDPE (Plastic) Clad - 26 Ga. White - Stucco Embossed</v>
      </c>
      <c r="H33" s="4"/>
      <c r="I33" s="4"/>
      <c r="J33" s="4"/>
    </row>
    <row r="34" spans="1:17" x14ac:dyDescent="0.35">
      <c r="A34" s="4"/>
      <c r="B34" s="4" t="s">
        <v>129</v>
      </c>
      <c r="C34" s="4"/>
      <c r="D34" s="4"/>
      <c r="E34" s="4" t="str">
        <f ca="1"/>
        <v>HDPE (Plastic) Clad - 26 Ga. White - Smooth Finished</v>
      </c>
      <c r="F34" s="4" t="str">
        <f ca="1"/>
        <v>HDPE (Plastic) Clad - 26 Ga. White - Smooth Finished</v>
      </c>
      <c r="G34" s="4" t="str">
        <f ca="1"/>
        <v>HDPE (Plastic) Clad - 26 Ga. White - Smooth Finished</v>
      </c>
      <c r="H34" s="4"/>
      <c r="I34" s="4"/>
      <c r="J34" s="4"/>
    </row>
    <row r="35" spans="1:17" x14ac:dyDescent="0.35">
      <c r="A35" s="4"/>
      <c r="B35" s="4" t="s">
        <v>130</v>
      </c>
      <c r="C35" s="4"/>
      <c r="D35" s="4"/>
      <c r="E35" s="4" t="str">
        <f ca="1"/>
        <v xml:space="preserve">Other </v>
      </c>
      <c r="F35" s="4" t="str">
        <f ca="1"/>
        <v xml:space="preserve">Other </v>
      </c>
      <c r="G35" s="4" t="str">
        <f ca="1"/>
        <v xml:space="preserve">Other </v>
      </c>
      <c r="H35" s="4"/>
      <c r="I35" s="4"/>
      <c r="J35" s="4"/>
    </row>
    <row r="36" spans="1:17" x14ac:dyDescent="0.35">
      <c r="A36" s="4"/>
      <c r="B36" s="4" t="s">
        <v>131</v>
      </c>
      <c r="C36" s="4"/>
      <c r="D36" s="4"/>
      <c r="E36" s="4"/>
      <c r="F36" s="4"/>
      <c r="G36" s="4"/>
      <c r="H36" s="4"/>
      <c r="I36" s="4"/>
      <c r="J36" s="4"/>
    </row>
    <row r="37" spans="1:17" x14ac:dyDescent="0.35">
      <c r="A37" s="4"/>
      <c r="B37" s="4" t="s">
        <v>132</v>
      </c>
      <c r="C37" s="4"/>
      <c r="D37" s="4"/>
      <c r="E37" s="4"/>
      <c r="F37" s="4"/>
      <c r="G37" s="4"/>
      <c r="H37" s="4"/>
      <c r="I37" s="4"/>
      <c r="J37" s="4"/>
    </row>
    <row r="38" spans="1:17" x14ac:dyDescent="0.35">
      <c r="A38" s="4"/>
      <c r="B38" s="4" t="s">
        <v>489</v>
      </c>
      <c r="C38" s="4"/>
      <c r="D38" s="4"/>
      <c r="E38" s="4"/>
      <c r="F38" s="4"/>
      <c r="G38" s="4"/>
      <c r="H38" s="4"/>
      <c r="I38" s="4"/>
      <c r="J38" s="4"/>
    </row>
    <row r="39" spans="1:17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7" x14ac:dyDescent="0.35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7" x14ac:dyDescent="0.35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7" x14ac:dyDescent="0.35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7" x14ac:dyDescent="0.35">
      <c r="A43" s="4"/>
      <c r="B43" s="4"/>
      <c r="C43" s="4"/>
      <c r="D43" s="4"/>
      <c r="E43" s="4"/>
      <c r="F43" s="4"/>
      <c r="G43" s="4"/>
      <c r="H43" s="4"/>
      <c r="I43" s="4"/>
      <c r="J43" s="4"/>
    </row>
    <row r="44" spans="1:17" x14ac:dyDescent="0.35">
      <c r="A44" s="4"/>
      <c r="B44" s="4"/>
      <c r="C44" s="4"/>
      <c r="D44" s="4"/>
      <c r="E44" s="4"/>
      <c r="F44" s="4"/>
      <c r="G44" s="4"/>
      <c r="H44" s="4"/>
      <c r="I44" s="4"/>
      <c r="J44" s="4"/>
    </row>
    <row r="45" spans="1:17" x14ac:dyDescent="0.35">
      <c r="A45" s="132" t="s">
        <v>487</v>
      </c>
      <c r="B45" s="133" t="s">
        <v>488</v>
      </c>
      <c r="C45" s="134"/>
      <c r="D45" s="135" t="str">
        <f>+B46</f>
        <v>Door Panel</v>
      </c>
      <c r="E45" s="135" t="str">
        <f>+B47</f>
        <v>Face Frame</v>
      </c>
      <c r="F45" s="135" t="str">
        <f>+B48</f>
        <v>Inside Jamb</v>
      </c>
      <c r="G45" s="135" t="str">
        <f>+B49</f>
        <v>Back Frame</v>
      </c>
      <c r="H45" s="135" t="str">
        <f>+B50</f>
        <v xml:space="preserve">Fasteners </v>
      </c>
      <c r="I45" s="135" t="str">
        <f>+B51</f>
        <v>Freezer Door</v>
      </c>
      <c r="J45" s="135" t="str">
        <f>+B52</f>
        <v>Kick Plate Material</v>
      </c>
      <c r="K45" s="135" t="str">
        <f>+B53</f>
        <v>Kick Plate Size</v>
      </c>
      <c r="L45" s="135" t="str">
        <f>+B54</f>
        <v>Kick Plate Location</v>
      </c>
      <c r="M45" s="135" t="str">
        <f>+B55</f>
        <v>ViewPort Window Size</v>
      </c>
      <c r="N45" s="135" t="str">
        <f>+B56</f>
        <v>ViewPort Window Type</v>
      </c>
      <c r="O45" s="135" t="str">
        <f>+B57</f>
        <v>Motion Sensor</v>
      </c>
      <c r="P45" s="135" t="str">
        <f>+B58</f>
        <v>Additional Heater Location</v>
      </c>
      <c r="Q45" s="135" t="str">
        <f>+B59</f>
        <v>Tamper Proof Hardware</v>
      </c>
    </row>
    <row r="46" spans="1:17" x14ac:dyDescent="0.35">
      <c r="A46" s="108">
        <f>+'Quotation - Door 3'!$D$30</f>
        <v>0</v>
      </c>
      <c r="B46" s="4" t="s">
        <v>50</v>
      </c>
      <c r="C46" s="4"/>
      <c r="D46" s="4" t="e" cm="1">
        <f t="array" aca="1" ref="D46" ca="1">OFFSET(Doors[[#All],[Category]],MATCH(CONCATENATE($A$46,'Quotation - Door 3'!$C42),Doors[[#All],[Search Function]],0)-1,1,COUNTIF(Doors[[#All],[Search Function]],CONCATENATE($A$46,'Quotation - Door 3'!$C42)),1)</f>
        <v>#N/A</v>
      </c>
      <c r="E46" s="4" t="e" cm="1">
        <f t="array" aca="1" ref="E46" ca="1">OFFSET(Doors[[#All],[Category]],MATCH(CONCATENATE($A$46,'Quotation - Door 3'!$C43),Doors[[#All],[Search Function]],0)-1,1,COUNTIF(Doors[[#All],[Search Function]],CONCATENATE($A$46,'Quotation - Door 3'!$C43)),1)</f>
        <v>#N/A</v>
      </c>
      <c r="F46" s="4" t="e" cm="1">
        <f t="array" aca="1" ref="F46" ca="1">OFFSET(Doors[[#All],[Category]],MATCH(CONCATENATE($A$46,'Quotation - Door 3'!$C44),Doors[[#All],[Search Function]],0)-1,1,COUNTIF(Doors[[#All],[Search Function]],CONCATENATE($A$46,'Quotation - Door 3'!$C44)),1)</f>
        <v>#N/A</v>
      </c>
      <c r="G46" s="4" t="e" cm="1">
        <f t="array" aca="1" ref="G46" ca="1">OFFSET(Doors[[#All],[Category]],MATCH(CONCATENATE($A$46,'Quotation - Door 3'!$C45),Doors[[#All],[Search Function]],0)-1,1,COUNTIF(Doors[[#All],[Search Function]],CONCATENATE($A$46,'Quotation - Door 3'!$C45)),1)</f>
        <v>#N/A</v>
      </c>
      <c r="H46" s="4" t="e" cm="1">
        <f t="array" aca="1" ref="H46" ca="1">OFFSET(Doors[[#All],[Category]],MATCH(CONCATENATE($A$46,'Quotation - Door 3'!#REF!),Doors[[#All],[Search Function]],0)-1,1,COUNTIF(Doors[[#All],[Search Function]],CONCATENATE($A$46,'Quotation - Door 3'!#REF!)),1)</f>
        <v>#REF!</v>
      </c>
      <c r="I46" s="4" t="e" cm="1">
        <f t="array" aca="1" ref="I46" ca="1">OFFSET(Doors[[#All],[Category]],MATCH(CONCATENATE($A$46,'Quotation - Door 3'!$C46),Doors[[#All],[Search Function]],0)-1,1,COUNTIF(Doors[[#All],[Search Function]],CONCATENATE($A$46,'Quotation - Door 3'!$C46)),1)</f>
        <v>#N/A</v>
      </c>
      <c r="J46" s="4" t="e" cm="1">
        <f t="array" aca="1" ref="J46" ca="1">OFFSET(Doors[[#All],[Category]],MATCH(CONCATENATE($A$46,'Quotation - Door 3'!$C47),Doors[[#All],[Search Function]],0)-1,1,COUNTIF(Doors[[#All],[Search Function]],CONCATENATE($A$46,'Quotation - Door 3'!$C47)),1)</f>
        <v>#N/A</v>
      </c>
      <c r="K46" t="e" cm="1">
        <f t="array" aca="1" ref="K46" ca="1">OFFSET(Doors[[#All],[Category]],MATCH(CONCATENATE($A$46,'Quotation - Door 3'!$C48),Doors[[#All],[Search Function]],0)-1,1,COUNTIF(Doors[[#All],[Search Function]],CONCATENATE($A$46,'Quotation - Door 3'!$C48)),1)</f>
        <v>#N/A</v>
      </c>
      <c r="L46" t="e" cm="1">
        <f t="array" aca="1" ref="L46" ca="1">OFFSET(Doors[[#All],[Category]],MATCH(CONCATENATE($A$46,'Quotation - Door 3'!$C49),Doors[[#All],[Search Function]],0)-1,1,COUNTIF(Doors[[#All],[Search Function]],CONCATENATE($A$46,'Quotation - Door 3'!$C49)),1)</f>
        <v>#N/A</v>
      </c>
      <c r="M46" t="e" cm="1">
        <f t="array" aca="1" ref="M46" ca="1">OFFSET(Doors[[#All],[Category]],MATCH(CONCATENATE($A$46,'Quotation - Door 3'!$C50),Doors[[#All],[Search Function]],0)-1,1,COUNTIF(Doors[[#All],[Search Function]],CONCATENATE($A$46,'Quotation - Door 3'!$C50)),1)</f>
        <v>#N/A</v>
      </c>
      <c r="N46" t="e" cm="1">
        <f t="array" aca="1" ref="N46" ca="1">OFFSET(Doors[[#All],[Category]],MATCH(CONCATENATE($A$46,'Quotation - Door 3'!$C51),Doors[[#All],[Search Function]],0)-1,1,COUNTIF(Doors[[#All],[Search Function]],CONCATENATE($A$46,'Quotation - Door 3'!$C51)),1)</f>
        <v>#N/A</v>
      </c>
      <c r="O46" t="e" cm="1">
        <f t="array" aca="1" ref="O46" ca="1">IF(A46="Polyfoam Overlap Doors - Swing door","Not Required",OFFSET(Doors[[#All],[Category]],MATCH(CONCATENATE($A$46,'Quotation - Door 3'!$C52),Doors[[#All],[Search Function]],0)-1,1,COUNTIF(Doors[[#All],[Search Function]],CONCATENATE($A$46,'Quotation - Door 3'!$C52)),1))</f>
        <v>#N/A</v>
      </c>
      <c r="Q46" t="e" cm="1">
        <f t="array" aca="1" ref="Q46" ca="1">OFFSET(Doors[[#All],[Category]],MATCH(CONCATENATE($A$46,'Quotation - Door 3'!$C54),Doors[[#All],[Search Function]],0)-1,1,COUNTIF(Doors[[#All],[Search Function]],CONCATENATE($A$46,'Quotation - Door 3'!$C54)),1)</f>
        <v>#N/A</v>
      </c>
    </row>
    <row r="47" spans="1:17" x14ac:dyDescent="0.35">
      <c r="A47" s="4"/>
      <c r="B47" s="4" t="s">
        <v>54</v>
      </c>
      <c r="C47" s="4"/>
      <c r="D47" s="4"/>
      <c r="E47" s="4"/>
      <c r="F47" s="4"/>
      <c r="G47" s="4"/>
      <c r="H47" s="4"/>
      <c r="I47" s="4"/>
      <c r="J47" s="4"/>
    </row>
    <row r="48" spans="1:17" x14ac:dyDescent="0.35">
      <c r="A48" s="4"/>
      <c r="B48" s="4" t="s">
        <v>58</v>
      </c>
      <c r="C48" s="4"/>
      <c r="D48" s="4"/>
      <c r="E48" s="4"/>
      <c r="F48" s="4"/>
      <c r="G48" s="4"/>
      <c r="H48" s="4"/>
      <c r="I48" s="4"/>
      <c r="J48" s="4"/>
    </row>
    <row r="49" spans="1:10" x14ac:dyDescent="0.35">
      <c r="A49" s="4"/>
      <c r="B49" s="4" t="s">
        <v>60</v>
      </c>
      <c r="C49" s="4"/>
      <c r="D49" s="4"/>
      <c r="E49" s="4"/>
      <c r="F49" s="4"/>
      <c r="G49" s="4"/>
      <c r="H49" s="4"/>
      <c r="I49" s="4"/>
      <c r="J49" s="4"/>
    </row>
    <row r="50" spans="1:10" x14ac:dyDescent="0.35">
      <c r="A50" s="4"/>
      <c r="B50" s="4" t="s">
        <v>490</v>
      </c>
      <c r="C50" s="4"/>
      <c r="D50" s="4"/>
      <c r="E50" s="4"/>
      <c r="F50" s="4"/>
      <c r="G50" s="4"/>
      <c r="H50" s="4"/>
      <c r="I50" s="4"/>
      <c r="J50" s="4"/>
    </row>
    <row r="51" spans="1:10" x14ac:dyDescent="0.35">
      <c r="A51" s="4"/>
      <c r="B51" s="4" t="s">
        <v>125</v>
      </c>
      <c r="C51" s="4"/>
      <c r="D51" s="4"/>
      <c r="E51" s="4"/>
      <c r="F51" s="4"/>
      <c r="G51" s="4"/>
      <c r="H51" s="4"/>
      <c r="I51" s="4"/>
      <c r="J51" s="4"/>
    </row>
    <row r="52" spans="1:10" x14ac:dyDescent="0.35">
      <c r="A52" s="4"/>
      <c r="B52" s="4" t="s">
        <v>126</v>
      </c>
      <c r="C52" s="4"/>
      <c r="D52" s="4"/>
      <c r="E52" s="4"/>
      <c r="F52" s="4"/>
      <c r="G52" s="4"/>
      <c r="H52" s="4"/>
      <c r="I52" s="4"/>
      <c r="J52" s="4"/>
    </row>
    <row r="53" spans="1:10" x14ac:dyDescent="0.35">
      <c r="A53" s="4"/>
      <c r="B53" s="4" t="s">
        <v>127</v>
      </c>
      <c r="C53" s="4"/>
      <c r="D53" s="4"/>
      <c r="E53" s="4"/>
      <c r="F53" s="4"/>
      <c r="G53" s="4"/>
      <c r="H53" s="4"/>
      <c r="I53" s="4"/>
      <c r="J53" s="4"/>
    </row>
    <row r="54" spans="1:10" x14ac:dyDescent="0.35">
      <c r="A54" s="4"/>
      <c r="B54" s="4" t="s">
        <v>128</v>
      </c>
      <c r="C54" s="4"/>
      <c r="D54" s="4"/>
      <c r="E54" s="4"/>
      <c r="F54" s="4"/>
      <c r="G54" s="4"/>
      <c r="H54" s="4"/>
      <c r="I54" s="4"/>
      <c r="J54" s="4"/>
    </row>
    <row r="55" spans="1:10" x14ac:dyDescent="0.35">
      <c r="A55" s="4"/>
      <c r="B55" s="4" t="s">
        <v>129</v>
      </c>
      <c r="C55" s="4"/>
      <c r="D55" s="4"/>
      <c r="E55" s="4"/>
      <c r="F55" s="4"/>
      <c r="G55" s="4"/>
      <c r="H55" s="4"/>
      <c r="I55" s="4"/>
      <c r="J55" s="4"/>
    </row>
    <row r="56" spans="1:10" x14ac:dyDescent="0.35">
      <c r="A56" s="4"/>
      <c r="B56" s="4" t="s">
        <v>130</v>
      </c>
      <c r="C56" s="4"/>
      <c r="D56" s="4"/>
      <c r="E56" s="4"/>
      <c r="F56" s="4"/>
      <c r="G56" s="4"/>
      <c r="H56" s="4"/>
      <c r="I56" s="4"/>
      <c r="J56" s="4"/>
    </row>
    <row r="57" spans="1:10" x14ac:dyDescent="0.35">
      <c r="A57" s="4"/>
      <c r="B57" s="4" t="s">
        <v>131</v>
      </c>
      <c r="C57" s="4"/>
      <c r="D57" s="4"/>
      <c r="E57" s="4"/>
      <c r="F57" s="4"/>
      <c r="G57" s="4"/>
      <c r="H57" s="4"/>
      <c r="I57" s="4"/>
      <c r="J57" s="4"/>
    </row>
    <row r="58" spans="1:10" x14ac:dyDescent="0.35">
      <c r="A58" s="4"/>
      <c r="B58" s="4" t="s">
        <v>132</v>
      </c>
      <c r="C58" s="4"/>
      <c r="D58" s="4"/>
      <c r="E58" s="4"/>
      <c r="F58" s="4"/>
      <c r="G58" s="4"/>
      <c r="H58" s="4"/>
      <c r="I58" s="4"/>
      <c r="J58" s="4"/>
    </row>
    <row r="59" spans="1:10" x14ac:dyDescent="0.35">
      <c r="A59" s="4"/>
      <c r="B59" s="4" t="s">
        <v>489</v>
      </c>
      <c r="C59" s="4"/>
      <c r="D59" s="4"/>
      <c r="E59" s="4"/>
      <c r="F59" s="4"/>
      <c r="G59" s="4"/>
      <c r="H59" s="4"/>
      <c r="I59" s="4"/>
      <c r="J59" s="4"/>
    </row>
    <row r="60" spans="1:10" x14ac:dyDescent="0.35">
      <c r="A60" s="4"/>
      <c r="B60" s="4"/>
      <c r="C60" s="4"/>
      <c r="D60" s="4"/>
      <c r="E60" s="4"/>
      <c r="F60" s="4"/>
      <c r="G60" s="4"/>
      <c r="H60" s="4"/>
      <c r="I60" s="4"/>
      <c r="J60" s="4"/>
    </row>
    <row r="61" spans="1:10" x14ac:dyDescent="0.35">
      <c r="A61" s="4"/>
      <c r="B61" s="4"/>
      <c r="C61" s="4"/>
      <c r="D61" s="4"/>
      <c r="E61" s="4"/>
      <c r="F61" s="4"/>
      <c r="G61" s="4"/>
      <c r="H61" s="4"/>
      <c r="I61" s="4"/>
      <c r="J61" s="4"/>
    </row>
    <row r="67" spans="1:17" x14ac:dyDescent="0.35">
      <c r="A67" s="132" t="s">
        <v>487</v>
      </c>
      <c r="B67" s="133" t="s">
        <v>488</v>
      </c>
      <c r="C67" s="134"/>
      <c r="D67" s="135" t="str">
        <f>+B68</f>
        <v>Door Panel</v>
      </c>
      <c r="E67" s="135" t="str">
        <f>+B69</f>
        <v>Face Frame</v>
      </c>
      <c r="F67" s="135" t="str">
        <f>+B70</f>
        <v>Inside Jamb</v>
      </c>
      <c r="G67" s="135" t="str">
        <f>+B71</f>
        <v>Back Frame</v>
      </c>
      <c r="H67" s="135" t="str">
        <f>+B72</f>
        <v xml:space="preserve">Fasteners </v>
      </c>
      <c r="I67" s="135" t="str">
        <f>+B73</f>
        <v>Freezer Door</v>
      </c>
      <c r="J67" s="135" t="str">
        <f>+B74</f>
        <v>Kick Plate Material</v>
      </c>
      <c r="K67" s="135" t="str">
        <f>+B75</f>
        <v>Kick Plate Size</v>
      </c>
      <c r="L67" s="135" t="str">
        <f>+B76</f>
        <v>Kick Plate Location</v>
      </c>
      <c r="M67" s="135" t="str">
        <f>+B77</f>
        <v>ViewPort Window Size</v>
      </c>
      <c r="N67" s="135" t="str">
        <f>+B78</f>
        <v>ViewPort Window Type</v>
      </c>
      <c r="O67" s="135" t="str">
        <f>+B79</f>
        <v>Motion Sensor</v>
      </c>
      <c r="P67" s="135" t="str">
        <f>+B80</f>
        <v>Additional Heater Location</v>
      </c>
      <c r="Q67" s="135" t="str">
        <f>+B81</f>
        <v>Tamper Proof Hardware</v>
      </c>
    </row>
    <row r="68" spans="1:17" x14ac:dyDescent="0.35">
      <c r="A68" s="108">
        <f>+'Quotation - Door 4'!$D$30</f>
        <v>0</v>
      </c>
      <c r="B68" s="4" t="s">
        <v>50</v>
      </c>
      <c r="C68" s="4"/>
      <c r="D68" s="4" t="e" cm="1">
        <f t="array" aca="1" ref="D68" ca="1">OFFSET(Doors[[#All],[Category]],MATCH(CONCATENATE($A$46,'Quotation - Door 4'!$C42),Doors[[#All],[Search Function]],0)-1,1,COUNTIF(Doors[[#All],[Search Function]],CONCATENATE($A$46,'Quotation - Door 4'!$C42)),1)</f>
        <v>#N/A</v>
      </c>
      <c r="E68" s="4" t="e" cm="1">
        <f t="array" aca="1" ref="E68" ca="1">OFFSET(Doors[[#All],[Material/Option Type]],MATCH(CONCATENATE($A$46,'Quotation - Door 4'!$C42),Doors[[#All],[Category]],0)-1,1,COUNTIF(Doors[[#All],[Category]],CONCATENATE($A$46,'Quotation - Door 4'!$C42)),1)</f>
        <v>#N/A</v>
      </c>
      <c r="F68" s="4" t="e" cm="1">
        <f t="array" aca="1" ref="F68" ca="1">OFFSET(Doors[[#All],[Product Type]],MATCH(CONCATENATE($A$46,'Quotation - Door 4'!$C42),Doors[[#All],[Material/Option Type]],0)-1,1,COUNTIF(Doors[[#All],[Material/Option Type]],CONCATENATE($A$46,'Quotation - Door 4'!$C42)),1)</f>
        <v>#N/A</v>
      </c>
      <c r="G68" s="4" t="e" cm="1">
        <f t="array" aca="1" ref="G68" ca="1">OFFSET(Doors[[#All],[Category]],MATCH(CONCATENATE($A$46,'Quotation - Door 3'!$C66),Doors[[#All],[Search Function]],0)-1,1,COUNTIF(Doors[[#All],[Search Function]],CONCATENATE($A$46,'Quotation - Door 3'!$C66)),1)</f>
        <v>#N/A</v>
      </c>
      <c r="H68" s="4" t="e" cm="1">
        <f t="array" aca="1" ref="H68" ca="1">OFFSET(Doors[[#All],[Category]],MATCH(CONCATENATE($A$46,'Quotation - Door 3'!$C67),Doors[[#All],[Search Function]],0)-1,1,COUNTIF(Doors[[#All],[Search Function]],CONCATENATE($A$46,'Quotation - Door 3'!$C67)),1)</f>
        <v>#N/A</v>
      </c>
      <c r="I68" s="4" t="e" cm="1">
        <f t="array" aca="1" ref="I68" ca="1">OFFSET(Doors[[#All],[Category]],MATCH(CONCATENATE($A$46,'Quotation - Door 3'!$C68),Doors[[#All],[Search Function]],0)-1,1,COUNTIF(Doors[[#All],[Search Function]],CONCATENATE($A$46,'Quotation - Door 3'!$C68)),1)</f>
        <v>#N/A</v>
      </c>
      <c r="J68" s="4" t="e" cm="1">
        <f t="array" aca="1" ref="J68" ca="1">OFFSET(Doors[[#All],[Category]],MATCH(CONCATENATE($A$46,'Quotation - Door 3'!$C69),Doors[[#All],[Search Function]],0)-1,1,COUNTIF(Doors[[#All],[Search Function]],CONCATENATE($A$46,'Quotation - Door 3'!$C69)),1)</f>
        <v>#N/A</v>
      </c>
      <c r="K68" t="e" cm="1">
        <f t="array" aca="1" ref="K68" ca="1">OFFSET(Doors[[#All],[Category]],MATCH(CONCATENATE($A$46,'Quotation - Door 3'!$C70),Doors[[#All],[Search Function]],0)-1,1,COUNTIF(Doors[[#All],[Search Function]],CONCATENATE($A$46,'Quotation - Door 3'!$C70)),1)</f>
        <v>#N/A</v>
      </c>
      <c r="L68" t="e" cm="1">
        <f t="array" aca="1" ref="L68" ca="1">OFFSET(Doors[[#All],[Category]],MATCH(CONCATENATE($A$46,'Quotation - Door 3'!$C71),Doors[[#All],[Search Function]],0)-1,1,COUNTIF(Doors[[#All],[Search Function]],CONCATENATE($A$46,'Quotation - Door 3'!$C71)),1)</f>
        <v>#N/A</v>
      </c>
      <c r="M68" t="e" cm="1">
        <f t="array" aca="1" ref="M68" ca="1">OFFSET(Doors[[#All],[Category]],MATCH(CONCATENATE($A$46,'Quotation - Door 3'!$C72),Doors[[#All],[Search Function]],0)-1,1,COUNTIF(Doors[[#All],[Search Function]],CONCATENATE($A$46,'Quotation - Door 3'!$C72)),1)</f>
        <v>#N/A</v>
      </c>
      <c r="N68" t="e" cm="1">
        <f t="array" aca="1" ref="N68" ca="1">OFFSET(Doors[[#All],[Category]],MATCH(CONCATENATE($A$46,'Quotation - Door 3'!$C73),Doors[[#All],[Search Function]],0)-1,1,COUNTIF(Doors[[#All],[Search Function]],CONCATENATE($A$46,'Quotation - Door 3'!$C73)),1)</f>
        <v>#N/A</v>
      </c>
      <c r="O68" t="e" cm="1">
        <f t="array" aca="1" ref="O68" ca="1">IF(A68="Polyfoam Overlap Doors - Swing door","Not Required",OFFSET(Doors[[#All],[Category]],MATCH(CONCATENATE($A$46,'Quotation - Door 3'!$C74),Doors[[#All],[Search Function]],0)-1,1,COUNTIF(Doors[[#All],[Search Function]],CONCATENATE($A$46,'Quotation - Door 3'!$C74)),1))</f>
        <v>#N/A</v>
      </c>
      <c r="Q68" t="e" cm="1">
        <f t="array" aca="1" ref="Q68" ca="1">OFFSET(Doors[[#All],[Category]],MATCH(CONCATENATE($A$46,'Quotation - Door 3'!$C76),Doors[[#All],[Search Function]],0)-1,1,COUNTIF(Doors[[#All],[Search Function]],CONCATENATE($A$46,'Quotation - Door 3'!$C76)),1)</f>
        <v>#N/A</v>
      </c>
    </row>
    <row r="69" spans="1:17" x14ac:dyDescent="0.35">
      <c r="A69" s="4"/>
      <c r="B69" s="4" t="s">
        <v>54</v>
      </c>
      <c r="C69" s="4"/>
      <c r="D69" s="4"/>
      <c r="E69" s="4"/>
      <c r="F69" s="4"/>
      <c r="G69" s="4"/>
      <c r="H69" s="4"/>
      <c r="I69" s="4"/>
      <c r="J69" s="4"/>
    </row>
    <row r="70" spans="1:17" x14ac:dyDescent="0.35">
      <c r="A70" s="4"/>
      <c r="B70" s="4" t="s">
        <v>58</v>
      </c>
      <c r="C70" s="4"/>
      <c r="D70" s="4"/>
      <c r="E70" s="4"/>
      <c r="F70" s="4"/>
      <c r="G70" s="4"/>
      <c r="H70" s="4"/>
      <c r="I70" s="4"/>
      <c r="J70" s="4"/>
    </row>
    <row r="71" spans="1:17" x14ac:dyDescent="0.35">
      <c r="A71" s="4"/>
      <c r="B71" s="4" t="s">
        <v>60</v>
      </c>
      <c r="C71" s="4"/>
      <c r="D71" s="4"/>
      <c r="E71" s="4"/>
      <c r="F71" s="4"/>
      <c r="G71" s="4"/>
      <c r="H71" s="4"/>
      <c r="I71" s="4"/>
      <c r="J71" s="4"/>
    </row>
    <row r="72" spans="1:17" x14ac:dyDescent="0.35">
      <c r="A72" s="4"/>
      <c r="B72" s="4" t="s">
        <v>490</v>
      </c>
      <c r="C72" s="4"/>
      <c r="D72" s="4"/>
      <c r="E72" s="4"/>
      <c r="F72" s="4"/>
      <c r="G72" s="4"/>
      <c r="H72" s="4"/>
      <c r="I72" s="4"/>
      <c r="J72" s="4"/>
    </row>
    <row r="73" spans="1:17" x14ac:dyDescent="0.35">
      <c r="A73" s="4"/>
      <c r="B73" s="4" t="s">
        <v>125</v>
      </c>
      <c r="C73" s="4"/>
      <c r="D73" s="4"/>
      <c r="E73" s="4"/>
      <c r="F73" s="4"/>
      <c r="G73" s="4"/>
      <c r="H73" s="4"/>
      <c r="I73" s="4"/>
      <c r="J73" s="4"/>
    </row>
    <row r="74" spans="1:17" x14ac:dyDescent="0.35">
      <c r="A74" s="4"/>
      <c r="B74" s="4" t="s">
        <v>126</v>
      </c>
      <c r="C74" s="4"/>
      <c r="D74" s="4"/>
      <c r="E74" s="4"/>
      <c r="F74" s="4"/>
      <c r="G74" s="4"/>
      <c r="H74" s="4"/>
      <c r="I74" s="4"/>
      <c r="J74" s="4"/>
    </row>
    <row r="75" spans="1:17" x14ac:dyDescent="0.35">
      <c r="A75" s="4"/>
      <c r="B75" s="4" t="s">
        <v>127</v>
      </c>
      <c r="C75" s="4"/>
      <c r="D75" s="4"/>
      <c r="E75" s="4"/>
      <c r="F75" s="4"/>
      <c r="G75" s="4"/>
      <c r="H75" s="4"/>
      <c r="I75" s="4"/>
      <c r="J75" s="4"/>
    </row>
    <row r="76" spans="1:17" x14ac:dyDescent="0.35">
      <c r="A76" s="4"/>
      <c r="B76" s="4" t="s">
        <v>128</v>
      </c>
      <c r="C76" s="4"/>
      <c r="D76" s="4"/>
      <c r="E76" s="4"/>
      <c r="F76" s="4"/>
      <c r="G76" s="4"/>
      <c r="H76" s="4"/>
      <c r="I76" s="4"/>
      <c r="J76" s="4"/>
    </row>
    <row r="77" spans="1:17" x14ac:dyDescent="0.35">
      <c r="A77" s="4"/>
      <c r="B77" s="4" t="s">
        <v>129</v>
      </c>
      <c r="C77" s="4"/>
      <c r="D77" s="4"/>
      <c r="E77" s="4"/>
      <c r="F77" s="4"/>
      <c r="G77" s="4"/>
      <c r="H77" s="4"/>
      <c r="I77" s="4"/>
      <c r="J77" s="4"/>
    </row>
    <row r="78" spans="1:17" x14ac:dyDescent="0.35">
      <c r="A78" s="4"/>
      <c r="B78" s="4" t="s">
        <v>130</v>
      </c>
      <c r="C78" s="4"/>
      <c r="D78" s="4"/>
      <c r="E78" s="4"/>
      <c r="F78" s="4"/>
      <c r="G78" s="4"/>
      <c r="H78" s="4"/>
      <c r="I78" s="4"/>
      <c r="J78" s="4"/>
    </row>
    <row r="79" spans="1:17" x14ac:dyDescent="0.35">
      <c r="A79" s="4"/>
      <c r="B79" s="4" t="s">
        <v>131</v>
      </c>
      <c r="C79" s="4"/>
      <c r="D79" s="4"/>
      <c r="E79" s="4"/>
      <c r="F79" s="4"/>
      <c r="G79" s="4"/>
      <c r="H79" s="4"/>
      <c r="I79" s="4"/>
      <c r="J79" s="4"/>
    </row>
    <row r="80" spans="1:17" x14ac:dyDescent="0.35">
      <c r="A80" s="4"/>
      <c r="B80" s="4" t="s">
        <v>132</v>
      </c>
      <c r="C80" s="4"/>
      <c r="D80" s="4"/>
      <c r="E80" s="4"/>
      <c r="F80" s="4"/>
      <c r="G80" s="4"/>
      <c r="H80" s="4"/>
      <c r="I80" s="4"/>
      <c r="J80" s="4"/>
    </row>
    <row r="81" spans="1:17" x14ac:dyDescent="0.35">
      <c r="A81" s="4"/>
      <c r="B81" s="4" t="s">
        <v>489</v>
      </c>
      <c r="C81" s="4"/>
      <c r="D81" s="4"/>
      <c r="E81" s="4"/>
      <c r="F81" s="4"/>
      <c r="G81" s="4"/>
      <c r="H81" s="4"/>
      <c r="I81" s="4"/>
      <c r="J81" s="4"/>
    </row>
    <row r="82" spans="1:17" x14ac:dyDescent="0.35">
      <c r="A82" s="4"/>
      <c r="B82" s="4"/>
      <c r="C82" s="4"/>
      <c r="D82" s="4"/>
      <c r="E82" s="4"/>
      <c r="F82" s="4"/>
      <c r="G82" s="4"/>
      <c r="H82" s="4"/>
      <c r="I82" s="4"/>
      <c r="J82" s="4"/>
    </row>
    <row r="83" spans="1:17" x14ac:dyDescent="0.35">
      <c r="A83" s="4"/>
      <c r="B83" s="4"/>
      <c r="C83" s="4"/>
      <c r="D83" s="4"/>
      <c r="E83" s="4"/>
      <c r="F83" s="4"/>
      <c r="G83" s="4"/>
      <c r="H83" s="4"/>
      <c r="I83" s="4"/>
      <c r="J83" s="4"/>
    </row>
    <row r="89" spans="1:17" x14ac:dyDescent="0.35">
      <c r="A89" s="132" t="s">
        <v>487</v>
      </c>
      <c r="B89" s="133" t="s">
        <v>488</v>
      </c>
      <c r="C89" s="134"/>
      <c r="D89" s="135" t="str">
        <f>+B90</f>
        <v>Door Panel</v>
      </c>
      <c r="E89" s="135" t="str">
        <f>+B91</f>
        <v>Face Frame</v>
      </c>
      <c r="F89" s="135" t="str">
        <f>+B92</f>
        <v>Inside Jamb</v>
      </c>
      <c r="G89" s="135" t="str">
        <f>+B93</f>
        <v>Back Frame</v>
      </c>
      <c r="H89" s="135" t="str">
        <f>+B94</f>
        <v xml:space="preserve">Fasteners </v>
      </c>
      <c r="I89" s="135" t="str">
        <f>+B95</f>
        <v>Freezer Door</v>
      </c>
      <c r="J89" s="135" t="str">
        <f>+B96</f>
        <v>Kick Plate Material</v>
      </c>
      <c r="K89" s="135" t="str">
        <f>+B97</f>
        <v>Kick Plate Size</v>
      </c>
      <c r="L89" s="135" t="str">
        <f>+B98</f>
        <v>Kick Plate Location</v>
      </c>
      <c r="M89" s="135" t="str">
        <f>+B99</f>
        <v>ViewPort Window Size</v>
      </c>
      <c r="N89" s="135" t="str">
        <f>+B100</f>
        <v>ViewPort Window Type</v>
      </c>
      <c r="O89" s="135" t="str">
        <f>+B101</f>
        <v>Motion Sensor</v>
      </c>
      <c r="P89" s="135" t="str">
        <f>+B102</f>
        <v>Additional Heater Location</v>
      </c>
      <c r="Q89" s="135" t="str">
        <f>+B103</f>
        <v>Tamper Proof Hardware</v>
      </c>
    </row>
    <row r="90" spans="1:17" x14ac:dyDescent="0.35">
      <c r="A90" s="108">
        <f>+'Quotation - Door 5'!$D$30</f>
        <v>0</v>
      </c>
      <c r="B90" s="4" t="s">
        <v>50</v>
      </c>
      <c r="C90" s="4"/>
      <c r="D90" s="4" t="e" cm="1">
        <f t="array" aca="1" ref="D90" ca="1">OFFSET(Doors[[#All],[Category]],MATCH(CONCATENATE($A$46,'Quotation - Door 3'!$C85),Doors[[#All],[Search Function]],0)-1,1,COUNTIF(Doors[[#All],[Search Function]],CONCATENATE($A$46,'Quotation - Door 3'!$C85)),1)</f>
        <v>#N/A</v>
      </c>
      <c r="E90" s="4" t="e" cm="1">
        <f t="array" aca="1" ref="E90" ca="1">OFFSET(Doors[[#All],[Category]],MATCH(CONCATENATE($A$46,'Quotation - Door 3'!$C86),Doors[[#All],[Search Function]],0)-1,1,COUNTIF(Doors[[#All],[Search Function]],CONCATENATE($A$46,'Quotation - Door 3'!$C86)),1)</f>
        <v>#N/A</v>
      </c>
      <c r="F90" s="4" t="e" cm="1">
        <f t="array" aca="1" ref="F90" ca="1">OFFSET(Doors[[#All],[Category]],MATCH(CONCATENATE($A$46,'Quotation - Door 3'!$C87),Doors[[#All],[Search Function]],0)-1,1,COUNTIF(Doors[[#All],[Search Function]],CONCATENATE($A$46,'Quotation - Door 3'!$C87)),1)</f>
        <v>#N/A</v>
      </c>
      <c r="G90" s="4" t="e" cm="1">
        <f t="array" aca="1" ref="G90" ca="1">OFFSET(Doors[[#All],[Category]],MATCH(CONCATENATE($A$46,'Quotation - Door 3'!$C88),Doors[[#All],[Search Function]],0)-1,1,COUNTIF(Doors[[#All],[Search Function]],CONCATENATE($A$46,'Quotation - Door 3'!$C88)),1)</f>
        <v>#N/A</v>
      </c>
      <c r="H90" s="4" t="e" cm="1">
        <f t="array" aca="1" ref="H90" ca="1">OFFSET(Doors[[#All],[Category]],MATCH(CONCATENATE($A$46,'Quotation - Door 3'!$C89),Doors[[#All],[Search Function]],0)-1,1,COUNTIF(Doors[[#All],[Search Function]],CONCATENATE($A$46,'Quotation - Door 3'!$C89)),1)</f>
        <v>#N/A</v>
      </c>
      <c r="I90" s="4" t="e" cm="1">
        <f t="array" aca="1" ref="I90" ca="1">OFFSET(Doors[[#All],[Category]],MATCH(CONCATENATE($A$46,'Quotation - Door 3'!$C90),Doors[[#All],[Search Function]],0)-1,1,COUNTIF(Doors[[#All],[Search Function]],CONCATENATE($A$46,'Quotation - Door 3'!$C90)),1)</f>
        <v>#N/A</v>
      </c>
      <c r="J90" s="4" t="e" cm="1">
        <f t="array" aca="1" ref="J90" ca="1">OFFSET(Doors[[#All],[Category]],MATCH(CONCATENATE($A$46,'Quotation - Door 3'!$C91),Doors[[#All],[Search Function]],0)-1,1,COUNTIF(Doors[[#All],[Search Function]],CONCATENATE($A$46,'Quotation - Door 3'!$C91)),1)</f>
        <v>#N/A</v>
      </c>
      <c r="K90" t="e" cm="1">
        <f t="array" aca="1" ref="K90" ca="1">OFFSET(Doors[[#All],[Category]],MATCH(CONCATENATE($A$46,'Quotation - Door 3'!$C92),Doors[[#All],[Search Function]],0)-1,1,COUNTIF(Doors[[#All],[Search Function]],CONCATENATE($A$46,'Quotation - Door 3'!$C92)),1)</f>
        <v>#N/A</v>
      </c>
      <c r="L90" t="e" cm="1">
        <f t="array" aca="1" ref="L90" ca="1">OFFSET(Doors[[#All],[Category]],MATCH(CONCATENATE($A$46,'Quotation - Door 3'!$C93),Doors[[#All],[Search Function]],0)-1,1,COUNTIF(Doors[[#All],[Search Function]],CONCATENATE($A$46,'Quotation - Door 3'!$C93)),1)</f>
        <v>#N/A</v>
      </c>
      <c r="M90" t="e" cm="1">
        <f t="array" aca="1" ref="M90" ca="1">OFFSET(Doors[[#All],[Category]],MATCH(CONCATENATE($A$46,'Quotation - Door 3'!$C94),Doors[[#All],[Search Function]],0)-1,1,COUNTIF(Doors[[#All],[Search Function]],CONCATENATE($A$46,'Quotation - Door 3'!$C94)),1)</f>
        <v>#N/A</v>
      </c>
      <c r="N90" t="e" cm="1">
        <f t="array" aca="1" ref="N90" ca="1">OFFSET(Doors[[#All],[Category]],MATCH(CONCATENATE($A$46,'Quotation - Door 3'!$C95),Doors[[#All],[Search Function]],0)-1,1,COUNTIF(Doors[[#All],[Search Function]],CONCATENATE($A$46,'Quotation - Door 3'!$C95)),1)</f>
        <v>#N/A</v>
      </c>
      <c r="O90" t="e" cm="1">
        <f t="array" aca="1" ref="O90" ca="1">IF(A90="Polyfoam Overlap Doors - Swing door","Not Required",OFFSET(Doors[[#All],[Category]],MATCH(CONCATENATE($A$46,'Quotation - Door 3'!$C96),Doors[[#All],[Search Function]],0)-1,1,COUNTIF(Doors[[#All],[Search Function]],CONCATENATE($A$46,'Quotation - Door 3'!$C96)),1))</f>
        <v>#N/A</v>
      </c>
      <c r="Q90" t="e" cm="1">
        <f t="array" aca="1" ref="Q90" ca="1">OFFSET(Doors[[#All],[Category]],MATCH(CONCATENATE($A$46,'Quotation - Door 3'!$C98),Doors[[#All],[Search Function]],0)-1,1,COUNTIF(Doors[[#All],[Search Function]],CONCATENATE($A$46,'Quotation - Door 3'!$C98)),1)</f>
        <v>#N/A</v>
      </c>
    </row>
    <row r="91" spans="1:17" x14ac:dyDescent="0.35">
      <c r="A91" s="4"/>
      <c r="B91" s="4" t="s">
        <v>54</v>
      </c>
      <c r="C91" s="4"/>
      <c r="D91" s="4"/>
      <c r="E91" s="4"/>
      <c r="F91" s="4"/>
      <c r="G91" s="4"/>
      <c r="H91" s="4"/>
      <c r="I91" s="4"/>
      <c r="J91" s="4"/>
    </row>
    <row r="92" spans="1:17" x14ac:dyDescent="0.35">
      <c r="A92" s="4"/>
      <c r="B92" s="4" t="s">
        <v>58</v>
      </c>
      <c r="C92" s="4"/>
      <c r="D92" s="4"/>
      <c r="E92" s="4"/>
      <c r="F92" s="4"/>
      <c r="G92" s="4"/>
      <c r="H92" s="4"/>
      <c r="I92" s="4"/>
      <c r="J92" s="4"/>
    </row>
    <row r="93" spans="1:17" x14ac:dyDescent="0.35">
      <c r="A93" s="4"/>
      <c r="B93" s="4" t="s">
        <v>60</v>
      </c>
      <c r="C93" s="4"/>
      <c r="D93" s="4"/>
      <c r="E93" s="4"/>
      <c r="F93" s="4"/>
      <c r="G93" s="4"/>
      <c r="H93" s="4"/>
      <c r="I93" s="4"/>
      <c r="J93" s="4"/>
    </row>
    <row r="94" spans="1:17" x14ac:dyDescent="0.35">
      <c r="A94" s="4"/>
      <c r="B94" s="4" t="s">
        <v>490</v>
      </c>
      <c r="C94" s="4"/>
      <c r="D94" s="4"/>
      <c r="E94" s="4"/>
      <c r="F94" s="4"/>
      <c r="G94" s="4"/>
      <c r="H94" s="4"/>
      <c r="I94" s="4"/>
      <c r="J94" s="4"/>
    </row>
    <row r="95" spans="1:17" x14ac:dyDescent="0.35">
      <c r="A95" s="4"/>
      <c r="B95" s="4" t="s">
        <v>125</v>
      </c>
      <c r="C95" s="4"/>
      <c r="D95" s="4"/>
      <c r="E95" s="4"/>
      <c r="F95" s="4"/>
      <c r="G95" s="4"/>
      <c r="H95" s="4"/>
      <c r="I95" s="4"/>
      <c r="J95" s="4"/>
    </row>
    <row r="96" spans="1:17" x14ac:dyDescent="0.35">
      <c r="A96" s="4"/>
      <c r="B96" s="4" t="s">
        <v>126</v>
      </c>
      <c r="C96" s="4"/>
      <c r="D96" s="4"/>
      <c r="E96" s="4"/>
      <c r="F96" s="4"/>
      <c r="G96" s="4"/>
      <c r="H96" s="4"/>
      <c r="I96" s="4"/>
      <c r="J96" s="4"/>
    </row>
    <row r="97" spans="1:17" x14ac:dyDescent="0.35">
      <c r="A97" s="4"/>
      <c r="B97" s="4" t="s">
        <v>127</v>
      </c>
      <c r="C97" s="4"/>
      <c r="D97" s="4"/>
      <c r="E97" s="4"/>
      <c r="F97" s="4"/>
      <c r="G97" s="4"/>
      <c r="H97" s="4"/>
      <c r="I97" s="4"/>
      <c r="J97" s="4"/>
    </row>
    <row r="98" spans="1:17" x14ac:dyDescent="0.35">
      <c r="A98" s="4"/>
      <c r="B98" s="4" t="s">
        <v>128</v>
      </c>
      <c r="C98" s="4"/>
      <c r="D98" s="4"/>
      <c r="E98" s="4"/>
      <c r="F98" s="4"/>
      <c r="G98" s="4"/>
      <c r="H98" s="4"/>
      <c r="I98" s="4"/>
      <c r="J98" s="4"/>
    </row>
    <row r="99" spans="1:17" x14ac:dyDescent="0.35">
      <c r="A99" s="4"/>
      <c r="B99" s="4" t="s">
        <v>129</v>
      </c>
      <c r="C99" s="4"/>
      <c r="D99" s="4"/>
      <c r="E99" s="4"/>
      <c r="F99" s="4"/>
      <c r="G99" s="4"/>
      <c r="H99" s="4"/>
      <c r="I99" s="4"/>
      <c r="J99" s="4"/>
    </row>
    <row r="100" spans="1:17" x14ac:dyDescent="0.35">
      <c r="A100" s="4"/>
      <c r="B100" s="4" t="s">
        <v>130</v>
      </c>
      <c r="C100" s="4"/>
      <c r="D100" s="4"/>
      <c r="E100" s="4"/>
      <c r="F100" s="4"/>
      <c r="G100" s="4"/>
      <c r="H100" s="4"/>
      <c r="I100" s="4"/>
      <c r="J100" s="4"/>
    </row>
    <row r="101" spans="1:17" x14ac:dyDescent="0.35">
      <c r="A101" s="4"/>
      <c r="B101" s="4" t="s">
        <v>131</v>
      </c>
      <c r="C101" s="4"/>
      <c r="D101" s="4"/>
      <c r="E101" s="4"/>
      <c r="F101" s="4"/>
      <c r="G101" s="4"/>
      <c r="H101" s="4"/>
      <c r="I101" s="4"/>
      <c r="J101" s="4"/>
    </row>
    <row r="102" spans="1:17" x14ac:dyDescent="0.35">
      <c r="A102" s="4"/>
      <c r="B102" s="4" t="s">
        <v>132</v>
      </c>
      <c r="C102" s="4"/>
      <c r="D102" s="4"/>
      <c r="E102" s="4"/>
      <c r="F102" s="4"/>
      <c r="G102" s="4"/>
      <c r="H102" s="4"/>
      <c r="I102" s="4"/>
      <c r="J102" s="4"/>
    </row>
    <row r="103" spans="1:17" x14ac:dyDescent="0.35">
      <c r="A103" s="4"/>
      <c r="B103" s="4" t="s">
        <v>489</v>
      </c>
      <c r="C103" s="4"/>
      <c r="D103" s="4"/>
      <c r="E103" s="4"/>
      <c r="F103" s="4"/>
      <c r="G103" s="4"/>
      <c r="H103" s="4"/>
      <c r="I103" s="4"/>
      <c r="J103" s="4"/>
    </row>
    <row r="104" spans="1:17" x14ac:dyDescent="0.35">
      <c r="A104" s="4"/>
      <c r="B104" s="4"/>
      <c r="C104" s="4"/>
      <c r="D104" s="4"/>
      <c r="E104" s="4"/>
      <c r="F104" s="4"/>
      <c r="G104" s="4"/>
      <c r="H104" s="4"/>
      <c r="I104" s="4"/>
      <c r="J104" s="4"/>
    </row>
    <row r="105" spans="1:17" x14ac:dyDescent="0.35">
      <c r="A105" s="4"/>
      <c r="B105" s="4"/>
      <c r="C105" s="4"/>
      <c r="D105" s="4"/>
      <c r="E105" s="4"/>
      <c r="F105" s="4"/>
      <c r="G105" s="4"/>
      <c r="H105" s="4"/>
      <c r="I105" s="4"/>
      <c r="J105" s="4"/>
    </row>
    <row r="111" spans="1:17" x14ac:dyDescent="0.35">
      <c r="A111" s="132" t="s">
        <v>487</v>
      </c>
      <c r="B111" s="133" t="s">
        <v>488</v>
      </c>
      <c r="C111" s="134"/>
      <c r="D111" s="135" t="str">
        <f>+B112</f>
        <v>Door Panel</v>
      </c>
      <c r="E111" s="135" t="str">
        <f>+B113</f>
        <v>Face Frame</v>
      </c>
      <c r="F111" s="135" t="str">
        <f>+B114</f>
        <v>Inside Jamb</v>
      </c>
      <c r="G111" s="135" t="str">
        <f>+B115</f>
        <v>Back Frame</v>
      </c>
      <c r="H111" s="135" t="str">
        <f>+B116</f>
        <v xml:space="preserve">Fasteners </v>
      </c>
      <c r="I111" s="135" t="str">
        <f>+B117</f>
        <v>Freezer Door</v>
      </c>
      <c r="J111" s="135" t="str">
        <f>+B118</f>
        <v>Kick Plate Material</v>
      </c>
      <c r="K111" s="135" t="str">
        <f>+B119</f>
        <v>Kick Plate Size</v>
      </c>
      <c r="L111" s="135" t="str">
        <f>+B120</f>
        <v>Kick Plate Location</v>
      </c>
      <c r="M111" s="135" t="str">
        <f>+B121</f>
        <v>ViewPort Window Size</v>
      </c>
      <c r="N111" s="135" t="str">
        <f>+B122</f>
        <v>ViewPort Window Type</v>
      </c>
      <c r="O111" s="135" t="str">
        <f>+B123</f>
        <v>Motion Sensor</v>
      </c>
      <c r="P111" s="135" t="str">
        <f>+B124</f>
        <v>Additional Heater Location</v>
      </c>
      <c r="Q111" s="135" t="str">
        <f>+B125</f>
        <v>Tamper Proof Hardware</v>
      </c>
    </row>
    <row r="112" spans="1:17" x14ac:dyDescent="0.35">
      <c r="A112" s="108">
        <f>+'Quotation - Door 6'!$D$30</f>
        <v>0</v>
      </c>
      <c r="B112" s="4" t="s">
        <v>50</v>
      </c>
      <c r="C112" s="4"/>
      <c r="D112" s="4" t="e" cm="1">
        <f t="array" aca="1" ref="D112" ca="1">OFFSET(Doors[[#All],[Category]],MATCH(CONCATENATE($A$46,'Quotation - Door 3'!$C107),Doors[[#All],[Search Function]],0)-1,1,COUNTIF(Doors[[#All],[Search Function]],CONCATENATE($A$46,'Quotation - Door 3'!$C107)),1)</f>
        <v>#N/A</v>
      </c>
      <c r="E112" s="4" t="e" cm="1">
        <f t="array" aca="1" ref="E112" ca="1">OFFSET(Doors[[#All],[Category]],MATCH(CONCATENATE($A$46,'Quotation - Door 3'!$C108),Doors[[#All],[Search Function]],0)-1,1,COUNTIF(Doors[[#All],[Search Function]],CONCATENATE($A$46,'Quotation - Door 3'!$C108)),1)</f>
        <v>#N/A</v>
      </c>
      <c r="F112" s="4" t="e" cm="1">
        <f t="array" aca="1" ref="F112" ca="1">OFFSET(Doors[[#All],[Category]],MATCH(CONCATENATE($A$46,'Quotation - Door 3'!$C110),Doors[[#All],[Search Function]],0)-1,1,COUNTIF(Doors[[#All],[Search Function]],CONCATENATE($A$46,'Quotation - Door 3'!$C110)),1)</f>
        <v>#N/A</v>
      </c>
      <c r="G112" s="4" t="e" cm="1">
        <f t="array" aca="1" ref="G112" ca="1">OFFSET(Doors[[#All],[Category]],MATCH(CONCATENATE($A$46,'Quotation - Door 3'!$C111),Doors[[#All],[Search Function]],0)-1,1,COUNTIF(Doors[[#All],[Search Function]],CONCATENATE($A$46,'Quotation - Door 3'!$C111)),1)</f>
        <v>#N/A</v>
      </c>
      <c r="H112" s="4" t="e" cm="1">
        <f t="array" aca="1" ref="H112" ca="1">OFFSET(Doors[[#All],[Category]],MATCH(CONCATENATE($A$46,'Quotation - Door 3'!$C112),Doors[[#All],[Search Function]],0)-1,1,COUNTIF(Doors[[#All],[Search Function]],CONCATENATE($A$46,'Quotation - Door 3'!$C112)),1)</f>
        <v>#N/A</v>
      </c>
      <c r="I112" s="4" t="e" cm="1">
        <f t="array" aca="1" ref="I112" ca="1">OFFSET(Doors[[#All],[Category]],MATCH(CONCATENATE($A$46,'Quotation - Door 3'!$C113),Doors[[#All],[Search Function]],0)-1,1,COUNTIF(Doors[[#All],[Search Function]],CONCATENATE($A$46,'Quotation - Door 3'!$C113)),1)</f>
        <v>#N/A</v>
      </c>
      <c r="J112" s="4" t="e" cm="1">
        <f t="array" aca="1" ref="J112" ca="1">OFFSET(Doors[[#All],[Category]],MATCH(CONCATENATE($A$46,'Quotation - Door 3'!$C114),Doors[[#All],[Search Function]],0)-1,1,COUNTIF(Doors[[#All],[Search Function]],CONCATENATE($A$46,'Quotation - Door 3'!$C114)),1)</f>
        <v>#N/A</v>
      </c>
      <c r="K112" t="e" cm="1">
        <f t="array" aca="1" ref="K112" ca="1">OFFSET(Doors[[#All],[Category]],MATCH(CONCATENATE($A$46,'Quotation - Door 3'!$C115),Doors[[#All],[Search Function]],0)-1,1,COUNTIF(Doors[[#All],[Search Function]],CONCATENATE($A$46,'Quotation - Door 3'!$C115)),1)</f>
        <v>#N/A</v>
      </c>
      <c r="L112" t="e" cm="1">
        <f t="array" aca="1" ref="L112" ca="1">OFFSET(Doors[[#All],[Category]],MATCH(CONCATENATE($A$46,'Quotation - Door 3'!$C116),Doors[[#All],[Search Function]],0)-1,1,COUNTIF(Doors[[#All],[Search Function]],CONCATENATE($A$46,'Quotation - Door 3'!$C116)),1)</f>
        <v>#N/A</v>
      </c>
      <c r="M112" t="e" cm="1">
        <f t="array" aca="1" ref="M112" ca="1">OFFSET(Doors[[#All],[Category]],MATCH(CONCATENATE($A$46,'Quotation - Door 3'!$C117),Doors[[#All],[Search Function]],0)-1,1,COUNTIF(Doors[[#All],[Search Function]],CONCATENATE($A$46,'Quotation - Door 3'!$C117)),1)</f>
        <v>#N/A</v>
      </c>
      <c r="N112" t="e" cm="1">
        <f t="array" aca="1" ref="N112" ca="1">OFFSET(Doors[[#All],[Category]],MATCH(CONCATENATE($A$46,'Quotation - Door 3'!$C118),Doors[[#All],[Search Function]],0)-1,1,COUNTIF(Doors[[#All],[Search Function]],CONCATENATE($A$46,'Quotation - Door 3'!$C118)),1)</f>
        <v>#N/A</v>
      </c>
      <c r="O112" t="e" cm="1">
        <f t="array" aca="1" ref="O112" ca="1">IF(A112="Polyfoam Overlap Doors - Swing door","Not Required",OFFSET(Doors[[#All],[Category]],MATCH(CONCATENATE($A$46,'Quotation - Door 3'!$C119),Doors[[#All],[Search Function]],0)-1,1,COUNTIF(Doors[[#All],[Search Function]],CONCATENATE($A$46,'Quotation - Door 3'!$C119)),1))</f>
        <v>#N/A</v>
      </c>
      <c r="Q112" t="e" cm="1">
        <f t="array" aca="1" ref="Q112" ca="1">OFFSET(Doors[[#All],[Category]],MATCH(CONCATENATE($A$46,'Quotation - Door 3'!$C121),Doors[[#All],[Search Function]],0)-1,1,COUNTIF(Doors[[#All],[Search Function]],CONCATENATE($A$46,'Quotation - Door 3'!$C121)),1)</f>
        <v>#N/A</v>
      </c>
    </row>
    <row r="113" spans="1:10" x14ac:dyDescent="0.35">
      <c r="A113" s="4"/>
      <c r="B113" s="4" t="s">
        <v>54</v>
      </c>
      <c r="C113" s="4"/>
      <c r="D113" s="4"/>
      <c r="E113" s="4"/>
      <c r="F113" s="4"/>
      <c r="G113" s="4"/>
      <c r="H113" s="4"/>
      <c r="I113" s="4"/>
      <c r="J113" s="4"/>
    </row>
    <row r="114" spans="1:10" x14ac:dyDescent="0.35">
      <c r="A114" s="4"/>
      <c r="B114" s="4" t="s">
        <v>58</v>
      </c>
      <c r="C114" s="4"/>
      <c r="D114" s="4"/>
      <c r="E114" s="4"/>
      <c r="F114" s="4"/>
      <c r="G114" s="4"/>
      <c r="H114" s="4"/>
      <c r="I114" s="4"/>
      <c r="J114" s="4"/>
    </row>
    <row r="115" spans="1:10" x14ac:dyDescent="0.35">
      <c r="A115" s="4"/>
      <c r="B115" s="4" t="s">
        <v>60</v>
      </c>
      <c r="C115" s="4"/>
      <c r="D115" s="4"/>
      <c r="E115" s="4"/>
      <c r="F115" s="4"/>
      <c r="G115" s="4"/>
      <c r="H115" s="4"/>
      <c r="I115" s="4"/>
      <c r="J115" s="4"/>
    </row>
    <row r="116" spans="1:10" x14ac:dyDescent="0.35">
      <c r="A116" s="4"/>
      <c r="B116" s="4" t="s">
        <v>490</v>
      </c>
      <c r="C116" s="4"/>
      <c r="D116" s="4"/>
      <c r="E116" s="4"/>
      <c r="F116" s="4"/>
      <c r="G116" s="4"/>
      <c r="H116" s="4"/>
      <c r="I116" s="4"/>
      <c r="J116" s="4"/>
    </row>
    <row r="117" spans="1:10" x14ac:dyDescent="0.35">
      <c r="A117" s="4"/>
      <c r="B117" s="4" t="s">
        <v>125</v>
      </c>
      <c r="C117" s="4"/>
      <c r="D117" s="4"/>
      <c r="E117" s="4"/>
      <c r="F117" s="4"/>
      <c r="G117" s="4"/>
      <c r="H117" s="4"/>
      <c r="I117" s="4"/>
      <c r="J117" s="4"/>
    </row>
    <row r="118" spans="1:10" x14ac:dyDescent="0.35">
      <c r="A118" s="4"/>
      <c r="B118" s="4" t="s">
        <v>126</v>
      </c>
      <c r="C118" s="4"/>
      <c r="D118" s="4"/>
      <c r="E118" s="4"/>
      <c r="F118" s="4"/>
      <c r="G118" s="4"/>
      <c r="H118" s="4"/>
      <c r="I118" s="4"/>
      <c r="J118" s="4"/>
    </row>
    <row r="119" spans="1:10" x14ac:dyDescent="0.35">
      <c r="A119" s="4"/>
      <c r="B119" s="4" t="s">
        <v>127</v>
      </c>
      <c r="C119" s="4"/>
      <c r="D119" s="4"/>
      <c r="E119" s="4"/>
      <c r="F119" s="4"/>
      <c r="G119" s="4"/>
      <c r="H119" s="4"/>
      <c r="I119" s="4"/>
      <c r="J119" s="4"/>
    </row>
    <row r="120" spans="1:10" x14ac:dyDescent="0.35">
      <c r="A120" s="4"/>
      <c r="B120" s="4" t="s">
        <v>128</v>
      </c>
      <c r="C120" s="4"/>
      <c r="D120" s="4"/>
      <c r="E120" s="4"/>
      <c r="F120" s="4"/>
      <c r="G120" s="4"/>
      <c r="H120" s="4"/>
      <c r="I120" s="4"/>
      <c r="J120" s="4"/>
    </row>
    <row r="121" spans="1:10" x14ac:dyDescent="0.35">
      <c r="A121" s="4"/>
      <c r="B121" s="4" t="s">
        <v>129</v>
      </c>
      <c r="C121" s="4"/>
      <c r="D121" s="4"/>
      <c r="E121" s="4"/>
      <c r="F121" s="4"/>
      <c r="G121" s="4"/>
      <c r="H121" s="4"/>
      <c r="I121" s="4"/>
      <c r="J121" s="4"/>
    </row>
    <row r="122" spans="1:10" x14ac:dyDescent="0.35">
      <c r="A122" s="4"/>
      <c r="B122" s="4" t="s">
        <v>130</v>
      </c>
      <c r="C122" s="4"/>
      <c r="D122" s="4"/>
      <c r="E122" s="4"/>
      <c r="F122" s="4"/>
      <c r="G122" s="4"/>
      <c r="H122" s="4"/>
      <c r="I122" s="4"/>
      <c r="J122" s="4"/>
    </row>
    <row r="123" spans="1:10" x14ac:dyDescent="0.35">
      <c r="A123" s="4"/>
      <c r="B123" s="4" t="s">
        <v>131</v>
      </c>
      <c r="C123" s="4"/>
      <c r="D123" s="4"/>
      <c r="E123" s="4"/>
      <c r="F123" s="4"/>
      <c r="G123" s="4"/>
      <c r="H123" s="4"/>
      <c r="I123" s="4"/>
      <c r="J123" s="4"/>
    </row>
    <row r="124" spans="1:10" x14ac:dyDescent="0.35">
      <c r="A124" s="4"/>
      <c r="B124" s="4" t="s">
        <v>132</v>
      </c>
      <c r="C124" s="4"/>
      <c r="D124" s="4"/>
      <c r="E124" s="4"/>
      <c r="F124" s="4"/>
      <c r="G124" s="4"/>
      <c r="H124" s="4"/>
      <c r="I124" s="4"/>
      <c r="J124" s="4"/>
    </row>
    <row r="125" spans="1:10" x14ac:dyDescent="0.35">
      <c r="A125" s="4"/>
      <c r="B125" s="4" t="s">
        <v>489</v>
      </c>
      <c r="C125" s="4"/>
      <c r="D125" s="4"/>
      <c r="E125" s="4"/>
      <c r="F125" s="4"/>
      <c r="G125" s="4"/>
      <c r="H125" s="4"/>
      <c r="I125" s="4"/>
      <c r="J125" s="4"/>
    </row>
    <row r="126" spans="1:10" x14ac:dyDescent="0.35">
      <c r="A126" s="4"/>
      <c r="B126" s="4"/>
      <c r="C126" s="4"/>
      <c r="D126" s="4"/>
      <c r="E126" s="4"/>
      <c r="F126" s="4"/>
      <c r="G126" s="4"/>
      <c r="H126" s="4"/>
      <c r="I126" s="4"/>
      <c r="J126" s="4"/>
    </row>
    <row r="127" spans="1:10" x14ac:dyDescent="0.35">
      <c r="A127" s="4"/>
      <c r="B127" s="4"/>
      <c r="C127" s="4"/>
      <c r="D127" s="4"/>
      <c r="E127" s="4"/>
      <c r="F127" s="4"/>
      <c r="G127" s="4"/>
      <c r="H127" s="4"/>
      <c r="I127" s="4"/>
      <c r="J127" s="4"/>
    </row>
    <row r="133" spans="1:30" x14ac:dyDescent="0.35">
      <c r="A133" s="132" t="s">
        <v>491</v>
      </c>
      <c r="B133" s="133" t="s">
        <v>488</v>
      </c>
      <c r="C133" s="134"/>
      <c r="D133" s="135" t="s">
        <v>146</v>
      </c>
      <c r="E133" s="135" t="s">
        <v>146</v>
      </c>
      <c r="F133" s="135" t="s">
        <v>146</v>
      </c>
      <c r="G133" s="135" t="s">
        <v>146</v>
      </c>
      <c r="H133" s="135" t="s">
        <v>150</v>
      </c>
      <c r="I133" s="135" t="s">
        <v>150</v>
      </c>
      <c r="J133" s="135" t="s">
        <v>150</v>
      </c>
      <c r="K133" s="135" t="s">
        <v>153</v>
      </c>
      <c r="L133" s="135" t="s">
        <v>154</v>
      </c>
      <c r="M133" s="135" t="s">
        <v>492</v>
      </c>
      <c r="N133" s="135" t="s">
        <v>159</v>
      </c>
      <c r="O133" s="135" t="s">
        <v>160</v>
      </c>
      <c r="P133" s="135" t="s">
        <v>156</v>
      </c>
      <c r="Q133" s="135" t="s">
        <v>161</v>
      </c>
      <c r="R133" s="135" t="s">
        <v>493</v>
      </c>
      <c r="S133" s="135" t="s">
        <v>158</v>
      </c>
      <c r="T133" s="135" t="s">
        <v>494</v>
      </c>
      <c r="U133" s="135" t="s">
        <v>495</v>
      </c>
      <c r="V133" s="135" t="s">
        <v>496</v>
      </c>
      <c r="W133" s="135" t="s">
        <v>165</v>
      </c>
      <c r="X133" s="135" t="s">
        <v>497</v>
      </c>
      <c r="Y133" s="135" t="s">
        <v>168</v>
      </c>
      <c r="Z133" s="135" t="s">
        <v>169</v>
      </c>
      <c r="AA133" s="135" t="s">
        <v>170</v>
      </c>
      <c r="AB133" s="135" t="s">
        <v>143</v>
      </c>
    </row>
    <row r="134" spans="1:30" x14ac:dyDescent="0.35">
      <c r="D134" t="str" cm="1">
        <f t="array" aca="1" ref="D134:D140" ca="1">OFFSET('Cost Sheet'!$B:$B,MATCH('Door Table'!D$133,'Cost Sheet'!$B:$B,0)-1,1,COUNTIF('Cost Sheet'!$B:$B,'Door Table'!D$133))</f>
        <v>Heavy Duty - Zinc Plated Large strap hinges</v>
      </c>
      <c r="E134" t="str" cm="1">
        <f t="array" aca="1" ref="E134:E140" ca="1">OFFSET('Cost Sheet'!$B:$B,MATCH('Door Table'!E$133,'Cost Sheet'!$B:$B,0)-1,1,COUNTIF('Cost Sheet'!$B:$B,'Door Table'!E$133))</f>
        <v>Heavy Duty - Zinc Plated Large strap hinges</v>
      </c>
      <c r="F134" t="str" cm="1">
        <f t="array" aca="1" ref="F134:F140" ca="1">OFFSET('Cost Sheet'!$B:$B,MATCH('Door Table'!F$133,'Cost Sheet'!$B:$B,0)-1,1,COUNTIF('Cost Sheet'!$B:$B,'Door Table'!F$133))</f>
        <v>Heavy Duty - Zinc Plated Large strap hinges</v>
      </c>
      <c r="G134" t="str" cm="1">
        <f t="array" aca="1" ref="G134:G140" ca="1">OFFSET('Cost Sheet'!$B:$B,MATCH('Door Table'!G$133,'Cost Sheet'!$B:$B,0)-1,1,COUNTIF('Cost Sheet'!$B:$B,'Door Table'!G$133))</f>
        <v>Heavy Duty - Zinc Plated Large strap hinges</v>
      </c>
      <c r="H134" t="str" cm="1">
        <f t="array" aca="1" ref="H134:H140" ca="1">OFFSET('Cost Sheet'!$B:$B,MATCH('Door Table'!H$133,'Cost Sheet'!$B:$B,0)-1,1,COUNTIF('Cost Sheet'!$B:$B,'Door Table'!H$133))</f>
        <v>Stainless Steel</v>
      </c>
      <c r="I134" t="str" cm="1">
        <f t="array" aca="1" ref="I134:I140" ca="1">OFFSET('Cost Sheet'!$B:$B,MATCH('Door Table'!I$133,'Cost Sheet'!$B:$B,0)-1,1,COUNTIF('Cost Sheet'!$B:$B,'Door Table'!I$133))</f>
        <v>Stainless Steel</v>
      </c>
      <c r="J134" t="str" cm="1">
        <f t="array" aca="1" ref="J134:J140" ca="1">OFFSET('Cost Sheet'!$B:$B,MATCH('Door Table'!J$133,'Cost Sheet'!$B:$B,0)-1,1,COUNTIF('Cost Sheet'!$B:$B,'Door Table'!J$133))</f>
        <v>Stainless Steel</v>
      </c>
      <c r="K134" t="str" cm="1">
        <f t="array" aca="1" ref="K134:K140" ca="1">OFFSET('Cost Sheet'!$B:$B,MATCH('Door Table'!K$133,'Cost Sheet'!$B:$B,0)-1,1,COUNTIF('Cost Sheet'!$B:$B,'Door Table'!K$133))</f>
        <v>Mushroom Button</v>
      </c>
      <c r="L134" t="str" cm="1">
        <f t="array" aca="1" ref="L134:L135" ca="1">OFFSET('Cost Sheet'!$B:$B,MATCH('Door Table'!L$133,'Cost Sheet'!$B:$B,0)-1,1,COUNTIF('Cost Sheet'!$B:$B,'Door Table'!L$133))</f>
        <v>Flush Hook</v>
      </c>
      <c r="M134" t="str" cm="1">
        <f t="array" aca="1" ref="M134:M136" ca="1">OFFSET('Cost Sheet'!$B:$B,MATCH('Door Table'!M$133,'Cost Sheet'!$B:$B,0)-1,1,COUNTIF('Cost Sheet'!$B:$B,'Door Table'!M$133))</f>
        <v>Hydraulic Door Closer</v>
      </c>
      <c r="N134" t="str" cm="1">
        <f t="array" aca="1" ref="N134" ca="1">OFFSET('Cost Sheet'!$B:$B,MATCH('Door Table'!N$133,'Cost Sheet'!$B:$B,0)-1,1,COUNTIF('Cost Sheet'!$B:$B,'Door Table'!N$133))</f>
        <v>Internal Vapor Proof Lights - Freezer/Cooler</v>
      </c>
      <c r="O134" t="str" cm="1">
        <f t="array" aca="1" ref="O134" ca="1">OFFSET('Cost Sheet'!$B:$B,MATCH('Door Table'!O$133,'Cost Sheet'!$B:$B,0)-1,1,COUNTIF('Cost Sheet'!$B:$B,'Door Table'!O$133))</f>
        <v>Single Pole Pilot Light Switch</v>
      </c>
      <c r="P134" t="str" cm="1">
        <f t="array" aca="1" ref="P134:P138" ca="1">OFFSET('Cost Sheet'!$B:$B,MATCH('Door Table'!P$133,'Cost Sheet'!$B:$B,0)-1,1,COUNTIF('Cost Sheet'!$B:$B,'Door Table'!P$133))</f>
        <v>K56 Strike Chrome  1/8 Bel x 1/4</v>
      </c>
      <c r="Q134" t="str" cm="1">
        <f t="array" aca="1" ref="Q134:Q135" ca="1">OFFSET('Cost Sheet'!$B:$B,MATCH('Door Table'!Q$133,'Cost Sheet'!$B:$B,0)-1,1,COUNTIF('Cost Sheet'!$B:$B,'Door Table'!Q$133))</f>
        <v>Heat Vent 3"</v>
      </c>
      <c r="R134" t="str" cm="1">
        <f t="array" aca="1" ref="R134" ca="1">OFFSET('Cost Sheet'!$B:$B,MATCH('Door Table'!R$133,'Cost Sheet'!$B:$B,0)-1,1,COUNTIF('Cost Sheet'!$B:$B,'Door Table'!R$133))</f>
        <v>Temperature Gauge (Dial Thermometer)</v>
      </c>
      <c r="S134" t="e" cm="1">
        <f t="array" aca="1" ref="S134" ca="1">OFFSET('Cost Sheet'!$B:$B,MATCH('Door Table'!S$133,'Cost Sheet'!$B:$B,0)-1,1,COUNTIF('Cost Sheet'!$B:$B,'Door Table'!S$133))</f>
        <v>#N/A</v>
      </c>
      <c r="V134" t="str" cm="1">
        <f t="array" aca="1" ref="V134:V139" ca="1">OFFSET('Cost Sheet'!$B:$B,MATCH('Door Table'!V$133,'Cost Sheet'!$B:$B,0)-1,1,COUNTIF('Cost Sheet'!$B:$B,'Door Table'!V$133))</f>
        <v>16/3 SJOOW</v>
      </c>
      <c r="W134" t="str" cm="1">
        <f t="array" aca="1" ref="W134" ca="1">OFFSET('Cost Sheet'!$B:$B,MATCH('Door Table'!W$133,'Cost Sheet'!$B:$B,0)-1,1,COUNTIF('Cost Sheet'!$B:$B,'Door Table'!W$133))</f>
        <v xml:space="preserve">Receptacle Box </v>
      </c>
      <c r="X134" t="str" cm="1">
        <f t="array" aca="1" ref="X134:X135" ca="1">OFFSET('Cost Sheet'!$B:$B,MATCH('Door Table'!X$133,'Cost Sheet'!$B:$B,0)-1,1,COUNTIF('Cost Sheet'!$B:$B,'Door Table'!X$133))</f>
        <v xml:space="preserve">Metal - Octagon (Hexagon) Box 4" x 4" x 1-1/2" </v>
      </c>
      <c r="Y134" t="str" cm="1">
        <f t="array" aca="1" ref="Y134" ca="1">OFFSET('Cost Sheet'!$B:$B,MATCH('Door Table'!Y$133,'Cost Sheet'!$B:$B,0)-1,1,COUNTIF('Cost Sheet'!$B:$B,'Door Table'!Y$133))</f>
        <v>3 Way Pole Pilot Light Switch</v>
      </c>
      <c r="Z134" t="str" cm="1">
        <f t="array" aca="1" ref="Z134:Z136" ca="1">OFFSET('Cost Sheet'!$B:$B,MATCH('Door Table'!Z$133,'Cost Sheet'!$B:$B,0)-1,1,COUNTIF('Cost Sheet'!$B:$B,'Door Table'!Z$133))</f>
        <v>SS Plain Cover</v>
      </c>
      <c r="AA134" t="str" cm="1">
        <f t="array" aca="1" ref="AA134:AA136" ca="1">OFFSET('Cost Sheet'!$B:$B,MATCH('Door Table'!AA$133,'Cost Sheet'!$B:$B,0)-1,1,COUNTIF('Cost Sheet'!$B:$B,'Door Table'!AA$133))</f>
        <v xml:space="preserve">White </v>
      </c>
      <c r="AB134" t="s">
        <v>498</v>
      </c>
      <c r="AC134" t="s">
        <v>499</v>
      </c>
    </row>
    <row r="135" spans="1:30" x14ac:dyDescent="0.35">
      <c r="D135" t="str">
        <f ca="1"/>
        <v>K1245 Hinge Chrome  Flush RH</v>
      </c>
      <c r="E135" t="str">
        <f ca="1"/>
        <v>K1245 Hinge Chrome  Flush RH</v>
      </c>
      <c r="F135" t="str">
        <f ca="1"/>
        <v>K1245 Hinge Chrome  Flush RH</v>
      </c>
      <c r="G135" t="str">
        <f ca="1"/>
        <v>K1245 Hinge Chrome  Flush RH</v>
      </c>
      <c r="H135" t="str">
        <f ca="1"/>
        <v xml:space="preserve">Padlockable </v>
      </c>
      <c r="I135" t="str">
        <f ca="1"/>
        <v xml:space="preserve">Padlockable </v>
      </c>
      <c r="J135" t="str">
        <f ca="1"/>
        <v xml:space="preserve">Padlockable </v>
      </c>
      <c r="K135" t="str">
        <f ca="1"/>
        <v xml:space="preserve">Kason #489 Recessed Release </v>
      </c>
      <c r="L135" t="str">
        <f ca="1"/>
        <v>Hook Overlap Chr 1-1/8</v>
      </c>
      <c r="M135" t="str">
        <f ca="1"/>
        <v>Spring Door Closer</v>
      </c>
      <c r="P135" t="str">
        <f ca="1"/>
        <v>K56 Strike Chrome  3/4 x 1-5/8</v>
      </c>
      <c r="Q135" t="str">
        <f ca="1"/>
        <v>Heat Vent 4"</v>
      </c>
      <c r="V135" t="str">
        <f ca="1"/>
        <v>18/4 SJOOW</v>
      </c>
      <c r="X135" t="str">
        <f ca="1"/>
        <v>PVC - 4" X 4" X 2"</v>
      </c>
      <c r="Z135" t="str">
        <f ca="1"/>
        <v>SS Receptacle Cover</v>
      </c>
      <c r="AA135" t="str">
        <f ca="1"/>
        <v xml:space="preserve">Clear </v>
      </c>
      <c r="AB135" t="s">
        <v>500</v>
      </c>
      <c r="AC135" t="s">
        <v>499</v>
      </c>
    </row>
    <row r="136" spans="1:30" x14ac:dyDescent="0.35">
      <c r="D136" t="str">
        <f ca="1"/>
        <v>K1245 Hinge Chrome  1-1/2 RH</v>
      </c>
      <c r="E136" t="str">
        <f ca="1"/>
        <v>K1245 Hinge Chrome  1-1/2 RH</v>
      </c>
      <c r="F136" t="str">
        <f ca="1"/>
        <v>K1245 Hinge Chrome  1-1/2 RH</v>
      </c>
      <c r="G136" t="str">
        <f ca="1"/>
        <v>K1245 Hinge Chrome  1-1/2 RH</v>
      </c>
      <c r="H136" t="str">
        <f ca="1"/>
        <v xml:space="preserve">K56 Keyed Cylinder Lock </v>
      </c>
      <c r="I136" t="str">
        <f ca="1"/>
        <v xml:space="preserve">K56 Keyed Cylinder Lock </v>
      </c>
      <c r="J136" t="str">
        <f ca="1"/>
        <v xml:space="preserve">K56 Keyed Cylinder Lock </v>
      </c>
      <c r="K136" t="str">
        <f ca="1"/>
        <v xml:space="preserve">Bump Bar </v>
      </c>
      <c r="M136" t="str">
        <f ca="1"/>
        <v>LCN - 1460 Interior Mounted</v>
      </c>
      <c r="P136" t="str">
        <f ca="1"/>
        <v>K56 Strike Chrome  1-3/4 x 2-1/2</v>
      </c>
      <c r="V136" t="str">
        <f ca="1"/>
        <v>16 gauge White</v>
      </c>
      <c r="Z136" t="str">
        <f ca="1"/>
        <v>Plastic Receptacle Cover</v>
      </c>
      <c r="AA136" t="str">
        <f ca="1"/>
        <v xml:space="preserve">Aluminium  </v>
      </c>
      <c r="AB136" t="s">
        <v>501</v>
      </c>
      <c r="AC136" t="s">
        <v>502</v>
      </c>
    </row>
    <row r="137" spans="1:30" x14ac:dyDescent="0.35">
      <c r="D137" t="str">
        <f ca="1"/>
        <v>K1245 Hinge Chrome  1-5/8  RH</v>
      </c>
      <c r="E137" t="str">
        <f ca="1"/>
        <v>K1245 Hinge Chrome  1-5/8  RH</v>
      </c>
      <c r="F137" t="str">
        <f ca="1"/>
        <v>K1245 Hinge Chrome  1-5/8  RH</v>
      </c>
      <c r="G137" t="str">
        <f ca="1"/>
        <v>K1245 Hinge Chrome  1-5/8  RH</v>
      </c>
      <c r="H137" t="str">
        <f ca="1"/>
        <v>K56 Latch Body Chrome</v>
      </c>
      <c r="I137" t="str">
        <f ca="1"/>
        <v>K56 Latch Body Chrome</v>
      </c>
      <c r="J137" t="str">
        <f ca="1"/>
        <v>K56 Latch Body Chrome</v>
      </c>
      <c r="K137" t="str">
        <f ca="1"/>
        <v>Bump Bar &amp; Mushroom Button</v>
      </c>
      <c r="P137" t="str">
        <f ca="1"/>
        <v>K59 Strike Chrome  1/8 Bel x 1/4</v>
      </c>
      <c r="V137" t="str">
        <f ca="1"/>
        <v>16 gauge Black</v>
      </c>
      <c r="AB137" t="s">
        <v>503</v>
      </c>
      <c r="AC137" t="s">
        <v>502</v>
      </c>
    </row>
    <row r="138" spans="1:30" x14ac:dyDescent="0.35">
      <c r="D138" t="str">
        <f ca="1"/>
        <v>K1248 Hinge Chrome  Flush LH</v>
      </c>
      <c r="E138" t="str">
        <f ca="1"/>
        <v>K1248 Hinge Chrome  Flush LH</v>
      </c>
      <c r="F138" t="str">
        <f ca="1"/>
        <v>K1248 Hinge Chrome  Flush LH</v>
      </c>
      <c r="G138" t="str">
        <f ca="1"/>
        <v>K1248 Hinge Chrome  Flush LH</v>
      </c>
      <c r="H138" t="str">
        <f ca="1"/>
        <v xml:space="preserve">K58 Keyed Cylinder Lock </v>
      </c>
      <c r="I138" t="str">
        <f ca="1"/>
        <v xml:space="preserve">K58 Keyed Cylinder Lock </v>
      </c>
      <c r="J138" t="str">
        <f ca="1"/>
        <v xml:space="preserve">K58 Keyed Cylinder Lock </v>
      </c>
      <c r="K138" t="str">
        <f ca="1"/>
        <v>Panic Bar - (No exterior Re-entry)</v>
      </c>
      <c r="P138" t="str">
        <f ca="1"/>
        <v>K59 Strike Chrome  3/4 x 1-5/8</v>
      </c>
      <c r="V138" t="str">
        <f ca="1"/>
        <v>16 gauge Green</v>
      </c>
      <c r="AB138" t="s">
        <v>504</v>
      </c>
      <c r="AC138" t="s">
        <v>502</v>
      </c>
    </row>
    <row r="139" spans="1:30" x14ac:dyDescent="0.35">
      <c r="D139" t="str">
        <f ca="1"/>
        <v>K1248 Hinge Chrome  1-1/2  LH</v>
      </c>
      <c r="E139" t="str">
        <f ca="1"/>
        <v>K1248 Hinge Chrome  1-1/2  LH</v>
      </c>
      <c r="F139" t="str">
        <f ca="1"/>
        <v>K1248 Hinge Chrome  1-1/2  LH</v>
      </c>
      <c r="G139" t="str">
        <f ca="1"/>
        <v>K1248 Hinge Chrome  1-1/2  LH</v>
      </c>
      <c r="H139" t="str">
        <f ca="1"/>
        <v xml:space="preserve">K58 Latch Body Polished Chrome </v>
      </c>
      <c r="I139" t="str">
        <f ca="1"/>
        <v xml:space="preserve">K58 Latch Body Polished Chrome </v>
      </c>
      <c r="J139" t="str">
        <f ca="1"/>
        <v xml:space="preserve">K58 Latch Body Polished Chrome </v>
      </c>
      <c r="K139" t="str">
        <f ca="1"/>
        <v>Panic Bar with lever Latch</v>
      </c>
      <c r="V139" t="str">
        <f ca="1"/>
        <v>Bushing  #6  SB 500-6</v>
      </c>
      <c r="AB139" t="s">
        <v>505</v>
      </c>
      <c r="AC139" t="s">
        <v>144</v>
      </c>
    </row>
    <row r="140" spans="1:30" x14ac:dyDescent="0.35">
      <c r="D140" t="str">
        <f ca="1"/>
        <v>K1248 Hinge Chrome   1-5/8  LH</v>
      </c>
      <c r="E140" t="str">
        <f ca="1"/>
        <v>K1248 Hinge Chrome   1-5/8  LH</v>
      </c>
      <c r="F140" t="str">
        <f ca="1"/>
        <v>K1248 Hinge Chrome   1-5/8  LH</v>
      </c>
      <c r="G140" t="str">
        <f ca="1"/>
        <v>K1248 Hinge Chrome   1-5/8  LH</v>
      </c>
      <c r="H140" t="str">
        <f ca="1"/>
        <v>K1238 Latch no Panel Chr w/ cyl Chr</v>
      </c>
      <c r="I140" t="str">
        <f ca="1"/>
        <v>K1238 Latch no Panel Chr w/ cyl Chr</v>
      </c>
      <c r="J140" t="str">
        <f ca="1"/>
        <v>K1238 Latch no Panel Chr w/ cyl Chr</v>
      </c>
      <c r="K140" t="str">
        <f ca="1"/>
        <v xml:space="preserve">Kason #483 Release </v>
      </c>
      <c r="AB140" t="s">
        <v>506</v>
      </c>
      <c r="AC140" t="s">
        <v>502</v>
      </c>
    </row>
    <row r="141" spans="1:30" x14ac:dyDescent="0.35">
      <c r="AB141" t="s">
        <v>507</v>
      </c>
    </row>
    <row r="142" spans="1:30" x14ac:dyDescent="0.35">
      <c r="AB142" s="456" t="s">
        <v>492</v>
      </c>
    </row>
    <row r="143" spans="1:30" x14ac:dyDescent="0.35">
      <c r="AB143" t="s">
        <v>508</v>
      </c>
      <c r="AC143" t="s">
        <v>144</v>
      </c>
    </row>
    <row r="144" spans="1:30" x14ac:dyDescent="0.35">
      <c r="AB144" t="s">
        <v>509</v>
      </c>
      <c r="AC144" t="s">
        <v>144</v>
      </c>
      <c r="AD144" t="s">
        <v>510</v>
      </c>
    </row>
    <row r="145" spans="1:30" x14ac:dyDescent="0.35">
      <c r="AB145" t="s">
        <v>511</v>
      </c>
      <c r="AC145" t="s">
        <v>144</v>
      </c>
      <c r="AD145" t="s">
        <v>510</v>
      </c>
    </row>
    <row r="146" spans="1:30" x14ac:dyDescent="0.35">
      <c r="AB146" t="s">
        <v>505</v>
      </c>
      <c r="AC146" t="s">
        <v>144</v>
      </c>
    </row>
    <row r="147" spans="1:30" x14ac:dyDescent="0.35">
      <c r="A147" s="132" t="s">
        <v>512</v>
      </c>
      <c r="B147" s="133" t="s">
        <v>488</v>
      </c>
      <c r="C147" s="134"/>
      <c r="D147" s="135" t="s">
        <v>390</v>
      </c>
      <c r="E147" s="135" t="s">
        <v>212</v>
      </c>
      <c r="F147" s="135" t="s">
        <v>392</v>
      </c>
      <c r="G147" s="135" t="s">
        <v>513</v>
      </c>
      <c r="H147" s="568" t="s">
        <v>1015</v>
      </c>
      <c r="I147" s="568" t="s">
        <v>1016</v>
      </c>
      <c r="J147" s="568" t="s">
        <v>1017</v>
      </c>
      <c r="K147" s="568" t="s">
        <v>1006</v>
      </c>
      <c r="L147" s="568" t="s">
        <v>1008</v>
      </c>
      <c r="M147" s="568"/>
      <c r="N147" s="568"/>
    </row>
    <row r="148" spans="1:30" x14ac:dyDescent="0.35">
      <c r="D148" s="4" t="s">
        <v>51</v>
      </c>
      <c r="E148" t="s">
        <v>51</v>
      </c>
      <c r="F148" s="28" t="s">
        <v>51</v>
      </c>
      <c r="G148" s="567" t="s">
        <v>514</v>
      </c>
      <c r="H148" s="28" t="s">
        <v>969</v>
      </c>
      <c r="I148" s="28" t="s">
        <v>991</v>
      </c>
      <c r="J148" s="28" t="s">
        <v>994</v>
      </c>
      <c r="K148" s="28" t="s">
        <v>1006</v>
      </c>
      <c r="L148" s="28" t="s">
        <v>1009</v>
      </c>
      <c r="M148" s="28"/>
      <c r="N148" s="28"/>
    </row>
    <row r="149" spans="1:30" x14ac:dyDescent="0.35">
      <c r="D149" t="s">
        <v>1007</v>
      </c>
      <c r="E149" t="s">
        <v>1007</v>
      </c>
      <c r="F149" s="28" t="s">
        <v>370</v>
      </c>
      <c r="G149" s="28" t="s">
        <v>515</v>
      </c>
      <c r="H149" t="s">
        <v>973</v>
      </c>
      <c r="L149" t="s">
        <v>1010</v>
      </c>
    </row>
    <row r="150" spans="1:30" x14ac:dyDescent="0.35">
      <c r="D150" t="s">
        <v>370</v>
      </c>
      <c r="E150" t="s">
        <v>370</v>
      </c>
      <c r="F150" s="28" t="s">
        <v>516</v>
      </c>
      <c r="H150" t="s">
        <v>974</v>
      </c>
      <c r="L150" t="s">
        <v>1011</v>
      </c>
    </row>
    <row r="151" spans="1:30" x14ac:dyDescent="0.35">
      <c r="D151" t="s">
        <v>516</v>
      </c>
      <c r="E151" t="s">
        <v>516</v>
      </c>
      <c r="F151" s="28" t="s">
        <v>518</v>
      </c>
      <c r="H151" t="s">
        <v>975</v>
      </c>
      <c r="L151" t="s">
        <v>1012</v>
      </c>
    </row>
    <row r="152" spans="1:30" x14ac:dyDescent="0.35">
      <c r="D152" t="s">
        <v>971</v>
      </c>
      <c r="E152" t="s">
        <v>971</v>
      </c>
      <c r="F152" s="28" t="s">
        <v>519</v>
      </c>
      <c r="H152" t="s">
        <v>976</v>
      </c>
    </row>
    <row r="153" spans="1:30" x14ac:dyDescent="0.35">
      <c r="D153" t="s">
        <v>972</v>
      </c>
      <c r="E153" t="s">
        <v>972</v>
      </c>
      <c r="F153" s="28" t="s">
        <v>520</v>
      </c>
      <c r="H153" t="s">
        <v>977</v>
      </c>
    </row>
    <row r="154" spans="1:30" x14ac:dyDescent="0.35">
      <c r="D154" t="s">
        <v>595</v>
      </c>
      <c r="E154" t="s">
        <v>595</v>
      </c>
      <c r="F154" s="28" t="s">
        <v>521</v>
      </c>
      <c r="H154" t="s">
        <v>978</v>
      </c>
    </row>
    <row r="155" spans="1:30" x14ac:dyDescent="0.35">
      <c r="F155" s="28" t="s">
        <v>522</v>
      </c>
      <c r="H155" t="s">
        <v>979</v>
      </c>
    </row>
    <row r="156" spans="1:30" x14ac:dyDescent="0.35">
      <c r="F156" s="28" t="s">
        <v>523</v>
      </c>
      <c r="H156" t="s">
        <v>980</v>
      </c>
    </row>
    <row r="157" spans="1:30" x14ac:dyDescent="0.35">
      <c r="H157" t="s">
        <v>981</v>
      </c>
      <c r="O157" t="str" cm="1">
        <f t="array" aca="1" ref="O157" ca="1">OFFSET('Cost Sheet'!$B:$B,MATCH('Door Table'!N$133,'Cost Sheet'!$B:$B,0)-1,1,COUNTIF('Cost Sheet'!$B:$B,'Door Table'!N$133))</f>
        <v>Internal Vapor Proof Lights - Freezer/Cooler</v>
      </c>
    </row>
    <row r="158" spans="1:30" x14ac:dyDescent="0.35">
      <c r="A158" s="132" t="s">
        <v>524</v>
      </c>
      <c r="H158" t="s">
        <v>982</v>
      </c>
      <c r="O158" t="str" cm="1">
        <f t="array" aca="1" ref="O158" ca="1">OFFSET('Cost Sheet'!$B:$B,MATCH('Door Table'!O$133,'Cost Sheet'!$B:$B,0)-1,1,COUNTIF('Cost Sheet'!$B:$B,'Door Table'!O$133))</f>
        <v>Single Pole Pilot Light Switch</v>
      </c>
    </row>
    <row r="159" spans="1:30" x14ac:dyDescent="0.35">
      <c r="H159" t="s">
        <v>983</v>
      </c>
      <c r="O159" t="e" cm="1" vm="1">
        <f t="array" aca="1" ref="O159" ca="1">OFFSET('Cost Sheet'!$B:$B,MATCH('Door Table'!Q$133,'Cost Sheet'!$B:$B,0)-1,1,COUNTIF('Cost Sheet'!$B:$B,'Door Table'!Q$133))</f>
        <v>#VALUE!</v>
      </c>
    </row>
    <row r="160" spans="1:30" x14ac:dyDescent="0.35">
      <c r="A160" s="135" t="s">
        <v>525</v>
      </c>
      <c r="H160" t="s">
        <v>984</v>
      </c>
      <c r="O160" t="str" cm="1">
        <f t="array" aca="1" ref="O160" ca="1">OFFSET('Cost Sheet'!$B:$B,MATCH('Door Table'!R$133,'Cost Sheet'!$B:$B,0)-1,1,COUNTIF('Cost Sheet'!$B:$B,'Door Table'!R$133))</f>
        <v>Temperature Gauge (Dial Thermometer)</v>
      </c>
    </row>
    <row r="161" spans="1:8" x14ac:dyDescent="0.35">
      <c r="A161" s="11" t="str">
        <f>+IF(OR('Door - Step 2'!$D$30=Controller!$A$13, 'Door - Step 2'!$D$30=Controller!$A$14, 'Door - Step 2'!$D$30=Controller!$A$15), "Splin gasket", "Magnet Gasket")</f>
        <v>Magnet Gasket</v>
      </c>
      <c r="H161" t="s">
        <v>985</v>
      </c>
    </row>
    <row r="162" spans="1:8" x14ac:dyDescent="0.35">
      <c r="A162" s="11"/>
      <c r="H162" t="s">
        <v>986</v>
      </c>
    </row>
    <row r="163" spans="1:8" x14ac:dyDescent="0.35">
      <c r="C163" t="s">
        <v>526</v>
      </c>
      <c r="H163" t="s">
        <v>987</v>
      </c>
    </row>
    <row r="164" spans="1:8" x14ac:dyDescent="0.35">
      <c r="A164" s="135" t="s">
        <v>527</v>
      </c>
      <c r="C164" t="s">
        <v>528</v>
      </c>
      <c r="H164" t="s">
        <v>988</v>
      </c>
    </row>
    <row r="165" spans="1:8" x14ac:dyDescent="0.35">
      <c r="A165" s="11" t="str">
        <f>+IF(OR('Quotation - Door 2'!$D$30=Controller!$A$13, 'Quotation - Door 2'!$D$30=Controller!$A$14, 'Quotation - Door 2'!$D$30=Controller!$A$15), "Splin gasket", "Magnet Gasket")</f>
        <v>Splin gasket</v>
      </c>
      <c r="C165" t="s">
        <v>529</v>
      </c>
      <c r="H165" t="s">
        <v>989</v>
      </c>
    </row>
    <row r="166" spans="1:8" x14ac:dyDescent="0.35">
      <c r="A166" s="11"/>
    </row>
    <row r="168" spans="1:8" x14ac:dyDescent="0.35">
      <c r="A168" s="135" t="s">
        <v>530</v>
      </c>
    </row>
    <row r="169" spans="1:8" x14ac:dyDescent="0.35">
      <c r="A169" s="11" t="str">
        <f>+IF(OR('Quotation - Door 3'!$D$30=Controller!$A$13, 'Quotation - Door 3'!$D$30=Controller!$A$14, 'Quotation - Door 3'!$D$30=Controller!$A$15), "Splin gasket", "Magnet Gasket")</f>
        <v>Magnet Gasket</v>
      </c>
    </row>
    <row r="170" spans="1:8" x14ac:dyDescent="0.35">
      <c r="A170" s="11"/>
    </row>
    <row r="172" spans="1:8" x14ac:dyDescent="0.35">
      <c r="B172" t="s">
        <v>531</v>
      </c>
    </row>
    <row r="173" spans="1:8" ht="18.649999999999999" customHeight="1" x14ac:dyDescent="0.35">
      <c r="A173" s="953" t="s">
        <v>532</v>
      </c>
      <c r="B173" s="954"/>
      <c r="C173" s="954"/>
      <c r="D173" s="955"/>
    </row>
    <row r="174" spans="1:8" x14ac:dyDescent="0.35">
      <c r="A174" s="21" t="s">
        <v>533</v>
      </c>
      <c r="B174" s="118" t="s">
        <v>534</v>
      </c>
      <c r="C174" s="118" t="s">
        <v>528</v>
      </c>
      <c r="D174" s="118" t="s">
        <v>535</v>
      </c>
      <c r="E174" s="324"/>
      <c r="F174" s="324"/>
    </row>
    <row r="175" spans="1:8" x14ac:dyDescent="0.35">
      <c r="A175" s="21" t="s">
        <v>536</v>
      </c>
      <c r="B175" s="554" t="s">
        <v>537</v>
      </c>
      <c r="C175" s="554" t="s">
        <v>537</v>
      </c>
      <c r="D175" s="554" t="str">
        <f>+A161</f>
        <v>Magnet Gasket</v>
      </c>
      <c r="E175" s="324"/>
      <c r="F175" s="324"/>
    </row>
    <row r="176" spans="1:8" x14ac:dyDescent="0.35">
      <c r="A176" s="21" t="s">
        <v>146</v>
      </c>
      <c r="B176" s="554" t="s">
        <v>538</v>
      </c>
      <c r="C176" s="554" t="s">
        <v>538</v>
      </c>
      <c r="D176" s="554" t="s">
        <v>538</v>
      </c>
      <c r="E176" s="324"/>
      <c r="F176" s="324"/>
    </row>
    <row r="177" spans="1:6" x14ac:dyDescent="0.35">
      <c r="A177" s="21" t="s">
        <v>492</v>
      </c>
      <c r="B177" s="554"/>
      <c r="C177" s="554" t="s">
        <v>189</v>
      </c>
      <c r="D177" s="554" t="s">
        <v>189</v>
      </c>
      <c r="E177" s="324"/>
      <c r="F177" s="324"/>
    </row>
    <row r="178" spans="1:6" x14ac:dyDescent="0.35">
      <c r="A178" s="21" t="s">
        <v>150</v>
      </c>
      <c r="B178" s="554" t="s">
        <v>539</v>
      </c>
      <c r="C178" s="554" t="s">
        <v>539</v>
      </c>
      <c r="D178" s="554" t="str">
        <f ca="1">+H139</f>
        <v xml:space="preserve">K58 Latch Body Polished Chrome </v>
      </c>
      <c r="E178" s="324"/>
      <c r="F178" s="324"/>
    </row>
    <row r="179" spans="1:6" x14ac:dyDescent="0.35">
      <c r="B179" s="92"/>
      <c r="C179" s="92"/>
      <c r="D179" s="92"/>
      <c r="E179" s="324"/>
      <c r="F179" s="324"/>
    </row>
    <row r="180" spans="1:6" x14ac:dyDescent="0.35">
      <c r="B180" s="92"/>
      <c r="C180" s="92"/>
      <c r="D180" s="92"/>
      <c r="E180" s="324"/>
      <c r="F180" s="324"/>
    </row>
    <row r="181" spans="1:6" ht="18.5" x14ac:dyDescent="0.35">
      <c r="A181" s="956" t="s">
        <v>71</v>
      </c>
      <c r="B181" s="956"/>
      <c r="C181" s="956"/>
      <c r="D181" s="92"/>
      <c r="E181" s="324"/>
      <c r="F181" s="324"/>
    </row>
    <row r="182" spans="1:6" x14ac:dyDescent="0.35">
      <c r="A182" s="21" t="s">
        <v>533</v>
      </c>
      <c r="B182" s="118" t="s">
        <v>72</v>
      </c>
      <c r="C182" s="118" t="s">
        <v>540</v>
      </c>
      <c r="D182" s="92"/>
      <c r="E182" s="118" t="s">
        <v>72</v>
      </c>
      <c r="F182" s="324"/>
    </row>
    <row r="183" spans="1:6" x14ac:dyDescent="0.35">
      <c r="A183" s="11"/>
      <c r="B183" s="11" t="s">
        <v>498</v>
      </c>
      <c r="C183" s="11" t="s">
        <v>500</v>
      </c>
      <c r="D183" s="92"/>
      <c r="E183" s="118" t="s">
        <v>540</v>
      </c>
      <c r="F183" s="324"/>
    </row>
    <row r="184" spans="1:6" x14ac:dyDescent="0.35">
      <c r="A184" s="11"/>
      <c r="B184" s="11" t="s">
        <v>501</v>
      </c>
      <c r="C184" s="11" t="s">
        <v>501</v>
      </c>
      <c r="D184" s="92"/>
      <c r="E184" s="118" t="s">
        <v>541</v>
      </c>
      <c r="F184" s="324"/>
    </row>
    <row r="185" spans="1:6" x14ac:dyDescent="0.35">
      <c r="A185" s="11"/>
      <c r="B185" s="11" t="s">
        <v>503</v>
      </c>
      <c r="C185" s="11" t="s">
        <v>503</v>
      </c>
      <c r="E185" s="118" t="s">
        <v>542</v>
      </c>
    </row>
    <row r="186" spans="1:6" x14ac:dyDescent="0.35">
      <c r="A186" s="11"/>
      <c r="B186" s="11" t="s">
        <v>504</v>
      </c>
      <c r="C186" s="11" t="s">
        <v>504</v>
      </c>
    </row>
    <row r="187" spans="1:6" x14ac:dyDescent="0.35">
      <c r="A187" t="s">
        <v>536</v>
      </c>
      <c r="B187" s="327" t="s">
        <v>543</v>
      </c>
      <c r="C187" s="327" t="s">
        <v>543</v>
      </c>
    </row>
    <row r="191" spans="1:6" x14ac:dyDescent="0.35">
      <c r="A191" t="s">
        <v>544</v>
      </c>
      <c r="B191" t="s">
        <v>545</v>
      </c>
    </row>
    <row r="192" spans="1:6" x14ac:dyDescent="0.35">
      <c r="A192">
        <v>8</v>
      </c>
      <c r="B192">
        <f>+A192*12</f>
        <v>96</v>
      </c>
    </row>
    <row r="193" spans="1:2" x14ac:dyDescent="0.35">
      <c r="A193">
        <v>9</v>
      </c>
      <c r="B193">
        <f t="shared" ref="B193:B195" si="0">+A193*12</f>
        <v>108</v>
      </c>
    </row>
    <row r="194" spans="1:2" x14ac:dyDescent="0.35">
      <c r="A194">
        <v>10</v>
      </c>
      <c r="B194">
        <f t="shared" si="0"/>
        <v>120</v>
      </c>
    </row>
    <row r="195" spans="1:2" x14ac:dyDescent="0.35">
      <c r="A195">
        <v>12</v>
      </c>
      <c r="B195">
        <f t="shared" si="0"/>
        <v>144</v>
      </c>
    </row>
    <row r="197" spans="1:2" x14ac:dyDescent="0.35">
      <c r="A197" t="s">
        <v>546</v>
      </c>
    </row>
    <row r="198" spans="1:2" x14ac:dyDescent="0.35">
      <c r="A198" t="s">
        <v>547</v>
      </c>
    </row>
    <row r="199" spans="1:2" x14ac:dyDescent="0.35">
      <c r="A199" t="s">
        <v>548</v>
      </c>
    </row>
    <row r="200" spans="1:2" x14ac:dyDescent="0.35">
      <c r="A200" t="s">
        <v>549</v>
      </c>
    </row>
    <row r="201" spans="1:2" x14ac:dyDescent="0.35">
      <c r="A201" t="s">
        <v>550</v>
      </c>
    </row>
    <row r="202" spans="1:2" x14ac:dyDescent="0.35">
      <c r="A202" t="s">
        <v>551</v>
      </c>
    </row>
    <row r="205" spans="1:2" x14ac:dyDescent="0.35">
      <c r="A205" t="s">
        <v>552</v>
      </c>
    </row>
  </sheetData>
  <mergeCells count="2">
    <mergeCell ref="A173:D173"/>
    <mergeCell ref="A181:C181"/>
  </mergeCells>
  <phoneticPr fontId="10" type="noConversion"/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09449C-08DA-496A-8214-A6E953832F9E}">
          <x14:formula1>
            <xm:f>Controller!$A$13:$A$21</xm:f>
          </x14:formula1>
          <xm:sqref>A3 A25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2EA70-8419-4CB7-8BDD-3276848090C8}">
  <sheetPr codeName="Sheet22">
    <tabColor rgb="FFFF0000"/>
  </sheetPr>
  <dimension ref="B3:H11"/>
  <sheetViews>
    <sheetView showGridLines="0" zoomScale="145" zoomScaleNormal="145" workbookViewId="0">
      <selection activeCell="F10" sqref="F10"/>
    </sheetView>
  </sheetViews>
  <sheetFormatPr defaultRowHeight="15.5" x14ac:dyDescent="0.35"/>
  <cols>
    <col min="2" max="2" width="8.58203125" bestFit="1" customWidth="1"/>
    <col min="3" max="3" width="44.58203125" bestFit="1" customWidth="1"/>
    <col min="4" max="5" width="18.58203125" hidden="1" customWidth="1"/>
    <col min="6" max="6" width="13.08203125" customWidth="1"/>
  </cols>
  <sheetData>
    <row r="3" spans="2:8" x14ac:dyDescent="0.35">
      <c r="B3" s="157" t="s">
        <v>73</v>
      </c>
      <c r="C3" s="157" t="s">
        <v>39</v>
      </c>
      <c r="D3" s="157" t="s">
        <v>938</v>
      </c>
      <c r="E3" s="508" t="s">
        <v>939</v>
      </c>
      <c r="F3" s="64" t="s">
        <v>940</v>
      </c>
      <c r="G3" s="64" t="s">
        <v>113</v>
      </c>
    </row>
    <row r="4" spans="2:8" x14ac:dyDescent="0.35">
      <c r="B4" s="11" t="s">
        <v>485</v>
      </c>
      <c r="C4" s="11" t="s">
        <v>84</v>
      </c>
      <c r="D4" s="505">
        <v>0.25</v>
      </c>
      <c r="E4" s="507">
        <v>0.25</v>
      </c>
      <c r="F4" s="552">
        <v>0</v>
      </c>
      <c r="G4" s="552">
        <f t="shared" ref="G4:G9" si="0">+F4/(1+F4)</f>
        <v>0</v>
      </c>
    </row>
    <row r="5" spans="2:8" x14ac:dyDescent="0.35">
      <c r="B5" s="11" t="s">
        <v>485</v>
      </c>
      <c r="C5" s="11" t="s">
        <v>941</v>
      </c>
      <c r="D5" s="505">
        <v>0.25</v>
      </c>
      <c r="E5" s="507">
        <v>0.25</v>
      </c>
      <c r="F5" s="552">
        <v>0</v>
      </c>
      <c r="G5" s="552">
        <f t="shared" si="0"/>
        <v>0</v>
      </c>
    </row>
    <row r="6" spans="2:8" x14ac:dyDescent="0.35">
      <c r="B6" s="11" t="s">
        <v>485</v>
      </c>
      <c r="C6" s="11" t="s">
        <v>38</v>
      </c>
      <c r="D6" s="505">
        <v>0.25</v>
      </c>
      <c r="E6" s="507">
        <v>0.25</v>
      </c>
      <c r="F6" s="552">
        <v>0</v>
      </c>
      <c r="G6" s="552">
        <f t="shared" si="0"/>
        <v>0</v>
      </c>
    </row>
    <row r="7" spans="2:8" x14ac:dyDescent="0.35">
      <c r="B7" s="11" t="s">
        <v>485</v>
      </c>
      <c r="C7" s="11" t="s">
        <v>942</v>
      </c>
      <c r="D7" s="505">
        <v>0.25</v>
      </c>
      <c r="E7" s="507">
        <v>0.25</v>
      </c>
      <c r="F7" s="552">
        <v>0</v>
      </c>
      <c r="G7" s="552">
        <f t="shared" si="0"/>
        <v>0</v>
      </c>
    </row>
    <row r="8" spans="2:8" x14ac:dyDescent="0.35">
      <c r="B8" s="11" t="s">
        <v>485</v>
      </c>
      <c r="C8" s="11" t="s">
        <v>78</v>
      </c>
      <c r="D8" s="505">
        <v>0.25</v>
      </c>
      <c r="E8" s="507">
        <v>0.25</v>
      </c>
      <c r="F8" s="552">
        <v>0</v>
      </c>
      <c r="G8" s="552">
        <f t="shared" si="0"/>
        <v>0</v>
      </c>
    </row>
    <row r="9" spans="2:8" x14ac:dyDescent="0.35">
      <c r="B9" s="972" t="s">
        <v>943</v>
      </c>
      <c r="C9" s="972"/>
      <c r="F9" s="552">
        <v>0</v>
      </c>
      <c r="G9" s="552">
        <f t="shared" si="0"/>
        <v>0</v>
      </c>
    </row>
    <row r="10" spans="2:8" x14ac:dyDescent="0.35">
      <c r="H10" s="509"/>
    </row>
    <row r="11" spans="2:8" x14ac:dyDescent="0.35">
      <c r="G11" s="560"/>
    </row>
  </sheetData>
  <mergeCells count="1">
    <mergeCell ref="B9:C9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D8E91-651F-403C-B846-99E194A7EE57}">
  <sheetPr codeName="Sheet7">
    <tabColor rgb="FFFF0000"/>
  </sheetPr>
  <dimension ref="A2:P600"/>
  <sheetViews>
    <sheetView showGridLines="0" zoomScale="85" zoomScaleNormal="85" zoomScaleSheetLayoutView="90" workbookViewId="0">
      <selection activeCell="H165" sqref="H165"/>
    </sheetView>
  </sheetViews>
  <sheetFormatPr defaultColWidth="8.58203125" defaultRowHeight="15.5" x14ac:dyDescent="0.35"/>
  <cols>
    <col min="1" max="1" width="44.58203125" style="4" bestFit="1" customWidth="1"/>
    <col min="2" max="2" width="6.08203125" style="4" bestFit="1" customWidth="1"/>
    <col min="3" max="3" width="4.33203125" style="4" customWidth="1"/>
    <col min="4" max="4" width="15.33203125" style="4" customWidth="1"/>
    <col min="5" max="5" width="47.75" style="4" bestFit="1" customWidth="1"/>
    <col min="6" max="6" width="10.33203125" style="4" customWidth="1"/>
    <col min="7" max="7" width="69.75" style="4" bestFit="1" customWidth="1"/>
    <col min="8" max="8" width="23.75" style="3" customWidth="1"/>
    <col min="9" max="9" width="52.58203125" style="15" customWidth="1"/>
    <col min="10" max="11" width="15.33203125" style="4" customWidth="1"/>
    <col min="12" max="12" width="21.75" style="4" bestFit="1" customWidth="1"/>
    <col min="13" max="13" width="14.1640625" style="4" bestFit="1" customWidth="1"/>
    <col min="14" max="14" width="11.58203125" style="4" bestFit="1" customWidth="1"/>
    <col min="15" max="15" width="14.5" style="4" bestFit="1" customWidth="1"/>
    <col min="16" max="16384" width="8.58203125" style="4"/>
  </cols>
  <sheetData>
    <row r="2" spans="1:16" x14ac:dyDescent="0.35">
      <c r="K2" s="617" t="s">
        <v>1043</v>
      </c>
      <c r="L2"/>
      <c r="M2"/>
      <c r="N2"/>
      <c r="O2"/>
      <c r="P2"/>
    </row>
    <row r="3" spans="1:16" x14ac:dyDescent="0.35">
      <c r="K3" s="11" t="str">
        <f>+'Quote Summary Sheet'!$E$4</f>
        <v>SR-0511 Frost WIC with 38" X 78" infitting door</v>
      </c>
      <c r="L3"/>
      <c r="M3"/>
      <c r="N3"/>
      <c r="O3"/>
      <c r="P3"/>
    </row>
    <row r="4" spans="1:16" x14ac:dyDescent="0.35">
      <c r="K4"/>
      <c r="L4"/>
      <c r="M4" s="973" t="s">
        <v>1044</v>
      </c>
      <c r="N4" s="973"/>
      <c r="O4" s="973"/>
      <c r="P4" s="973"/>
    </row>
    <row r="5" spans="1:16" x14ac:dyDescent="0.35">
      <c r="K5"/>
      <c r="L5" t="s">
        <v>1045</v>
      </c>
      <c r="M5" s="616" t="s">
        <v>1046</v>
      </c>
      <c r="N5" s="616" t="s">
        <v>1047</v>
      </c>
      <c r="O5" s="618" t="s">
        <v>1052</v>
      </c>
      <c r="P5" s="614" t="s">
        <v>1048</v>
      </c>
    </row>
    <row r="6" spans="1:16" x14ac:dyDescent="0.35">
      <c r="K6"/>
      <c r="L6" t="s">
        <v>1049</v>
      </c>
      <c r="M6" s="619" t="s">
        <v>1050</v>
      </c>
      <c r="N6" s="11" t="s">
        <v>964</v>
      </c>
      <c r="O6" s="619"/>
      <c r="P6" s="615"/>
    </row>
    <row r="7" spans="1:16" x14ac:dyDescent="0.35">
      <c r="K7"/>
      <c r="L7" t="s">
        <v>1049</v>
      </c>
      <c r="M7" s="619"/>
      <c r="N7" s="11" t="s">
        <v>1051</v>
      </c>
      <c r="O7" s="11"/>
      <c r="P7" s="620"/>
    </row>
    <row r="8" spans="1:16" x14ac:dyDescent="0.35">
      <c r="K8"/>
      <c r="L8" t="s">
        <v>1049</v>
      </c>
      <c r="M8" s="615"/>
      <c r="N8" s="11"/>
      <c r="O8" s="621"/>
      <c r="P8" s="620"/>
    </row>
    <row r="11" spans="1:16" x14ac:dyDescent="0.35">
      <c r="D11" s="20"/>
      <c r="E11" s="20"/>
      <c r="F11" s="20"/>
      <c r="G11" s="20"/>
      <c r="H11" s="19"/>
      <c r="I11" s="49"/>
    </row>
    <row r="12" spans="1:16" x14ac:dyDescent="0.35">
      <c r="A12" s="136" t="s">
        <v>944</v>
      </c>
      <c r="B12" s="136"/>
      <c r="D12" s="114" t="s">
        <v>945</v>
      </c>
      <c r="E12" s="115" t="s">
        <v>94</v>
      </c>
      <c r="F12" s="115" t="s">
        <v>946</v>
      </c>
      <c r="G12" s="115" t="s">
        <v>947</v>
      </c>
      <c r="H12" s="116" t="s">
        <v>433</v>
      </c>
      <c r="I12" s="117" t="s">
        <v>948</v>
      </c>
    </row>
    <row r="13" spans="1:16" x14ac:dyDescent="0.35">
      <c r="A13" s="4" t="s">
        <v>84</v>
      </c>
      <c r="D13" s="74" t="s">
        <v>485</v>
      </c>
      <c r="E13" s="545" t="s">
        <v>84</v>
      </c>
      <c r="F13" s="545" t="s">
        <v>949</v>
      </c>
      <c r="G13" s="545" t="str">
        <f>+CONCATENATE(Doors[[#This Row],[Door Type ]],Doors[[#This Row],[Category]])</f>
        <v>Manual Bi-Part Sliding door - Horizontal SlideDoor Panel</v>
      </c>
      <c r="H13" s="19" t="s">
        <v>50</v>
      </c>
      <c r="I13" s="113" t="s">
        <v>51</v>
      </c>
    </row>
    <row r="14" spans="1:16" x14ac:dyDescent="0.35">
      <c r="A14" s="4" t="s">
        <v>941</v>
      </c>
      <c r="D14" s="74" t="s">
        <v>485</v>
      </c>
      <c r="E14" s="545" t="s">
        <v>84</v>
      </c>
      <c r="F14" s="545" t="s">
        <v>949</v>
      </c>
      <c r="G14" s="545" t="str">
        <f>+CONCATENATE(Doors[[#This Row],[Door Type ]],Doors[[#This Row],[Category]])</f>
        <v>Manual Bi-Part Sliding door - Horizontal SlideDoor Panel</v>
      </c>
      <c r="H14" s="19" t="s">
        <v>50</v>
      </c>
      <c r="I14" s="113" t="s">
        <v>370</v>
      </c>
    </row>
    <row r="15" spans="1:16" x14ac:dyDescent="0.35">
      <c r="A15" s="4" t="s">
        <v>38</v>
      </c>
      <c r="D15" s="74" t="s">
        <v>485</v>
      </c>
      <c r="E15" s="545" t="s">
        <v>84</v>
      </c>
      <c r="F15" s="545" t="s">
        <v>949</v>
      </c>
      <c r="G15" s="545" t="str">
        <f>+CONCATENATE(Doors[[#This Row],[Door Type ]],Doors[[#This Row],[Category]])</f>
        <v>Manual Bi-Part Sliding door - Horizontal SlideDoor Panel</v>
      </c>
      <c r="H15" s="19" t="s">
        <v>50</v>
      </c>
      <c r="I15" s="113" t="s">
        <v>516</v>
      </c>
    </row>
    <row r="16" spans="1:16" x14ac:dyDescent="0.35">
      <c r="A16" s="4" t="s">
        <v>942</v>
      </c>
      <c r="D16" s="74" t="s">
        <v>485</v>
      </c>
      <c r="E16" s="545" t="s">
        <v>84</v>
      </c>
      <c r="F16" s="545" t="s">
        <v>949</v>
      </c>
      <c r="G16" s="545" t="str">
        <f>+CONCATENATE(Doors[[#This Row],[Door Type ]],Doors[[#This Row],[Category]])</f>
        <v>Manual Bi-Part Sliding door - Horizontal SlideDoor Panel</v>
      </c>
      <c r="H16" s="19" t="s">
        <v>50</v>
      </c>
      <c r="I16" s="113" t="s">
        <v>517</v>
      </c>
    </row>
    <row r="17" spans="1:9" x14ac:dyDescent="0.35">
      <c r="A17" s="4" t="s">
        <v>78</v>
      </c>
      <c r="D17" s="74" t="s">
        <v>485</v>
      </c>
      <c r="E17" s="545" t="s">
        <v>84</v>
      </c>
      <c r="F17" s="545" t="s">
        <v>949</v>
      </c>
      <c r="G17" s="545" t="str">
        <f>+CONCATENATE(Doors[[#This Row],[Door Type ]],Doors[[#This Row],[Category]])</f>
        <v>Manual Bi-Part Sliding door - Horizontal SlideFace Frame</v>
      </c>
      <c r="H17" s="19" t="s">
        <v>54</v>
      </c>
      <c r="I17" s="113" t="s">
        <v>344</v>
      </c>
    </row>
    <row r="18" spans="1:9" x14ac:dyDescent="0.35">
      <c r="D18" s="74" t="s">
        <v>485</v>
      </c>
      <c r="E18" s="545" t="s">
        <v>84</v>
      </c>
      <c r="F18" s="545" t="s">
        <v>949</v>
      </c>
      <c r="G18" s="545" t="str">
        <f>+CONCATENATE(Doors[[#This Row],[Door Type ]],Doors[[#This Row],[Category]])</f>
        <v>Manual Bi-Part Sliding door - Horizontal SlideFace Frame</v>
      </c>
      <c r="H18" s="19" t="s">
        <v>54</v>
      </c>
      <c r="I18" s="113" t="s">
        <v>346</v>
      </c>
    </row>
    <row r="19" spans="1:9" x14ac:dyDescent="0.35">
      <c r="D19" s="74" t="s">
        <v>485</v>
      </c>
      <c r="E19" s="545" t="s">
        <v>84</v>
      </c>
      <c r="F19" s="545" t="s">
        <v>949</v>
      </c>
      <c r="G19" s="545" t="str">
        <f>+CONCATENATE(Doors[[#This Row],[Door Type ]],Doors[[#This Row],[Category]])</f>
        <v>Manual Bi-Part Sliding door - Horizontal SlideFace Frame</v>
      </c>
      <c r="H19" s="19" t="s">
        <v>54</v>
      </c>
      <c r="I19" s="113" t="s">
        <v>348</v>
      </c>
    </row>
    <row r="20" spans="1:9" x14ac:dyDescent="0.35">
      <c r="D20" s="74" t="s">
        <v>485</v>
      </c>
      <c r="E20" s="545" t="s">
        <v>84</v>
      </c>
      <c r="F20" s="545" t="s">
        <v>949</v>
      </c>
      <c r="G20" s="545" t="str">
        <f>+CONCATENATE(Doors[[#This Row],[Door Type ]],Doors[[#This Row],[Category]])</f>
        <v>Manual Bi-Part Sliding door - Horizontal SlideFace Frame</v>
      </c>
      <c r="H20" s="19" t="s">
        <v>54</v>
      </c>
      <c r="I20" s="113" t="s">
        <v>350</v>
      </c>
    </row>
    <row r="21" spans="1:9" x14ac:dyDescent="0.35">
      <c r="D21" s="74" t="s">
        <v>485</v>
      </c>
      <c r="E21" s="545" t="s">
        <v>84</v>
      </c>
      <c r="F21" s="545" t="s">
        <v>949</v>
      </c>
      <c r="G21" s="545" t="str">
        <f>+CONCATENATE(Doors[[#This Row],[Door Type ]],Doors[[#This Row],[Category]])</f>
        <v>Manual Bi-Part Sliding door - Horizontal SlideFace Frame</v>
      </c>
      <c r="H21" s="19" t="s">
        <v>54</v>
      </c>
      <c r="I21" s="113" t="s">
        <v>351</v>
      </c>
    </row>
    <row r="22" spans="1:9" x14ac:dyDescent="0.35">
      <c r="D22" s="74" t="s">
        <v>485</v>
      </c>
      <c r="E22" s="545" t="s">
        <v>84</v>
      </c>
      <c r="F22" s="545" t="s">
        <v>949</v>
      </c>
      <c r="G22" s="545" t="str">
        <f>+CONCATENATE(Doors[[#This Row],[Door Type ]],Doors[[#This Row],[Category]])</f>
        <v>Manual Bi-Part Sliding door - Horizontal SlideFace Frame</v>
      </c>
      <c r="H22" s="19" t="s">
        <v>54</v>
      </c>
      <c r="I22" s="113" t="s">
        <v>353</v>
      </c>
    </row>
    <row r="23" spans="1:9" x14ac:dyDescent="0.35">
      <c r="D23" s="74" t="s">
        <v>485</v>
      </c>
      <c r="E23" s="545" t="s">
        <v>84</v>
      </c>
      <c r="F23" s="545" t="s">
        <v>949</v>
      </c>
      <c r="G23" s="545" t="str">
        <f>+CONCATENATE(Doors[[#This Row],[Door Type ]],Doors[[#This Row],[Category]])</f>
        <v>Manual Bi-Part Sliding door - Horizontal SlideFace Frame</v>
      </c>
      <c r="H23" s="19" t="s">
        <v>54</v>
      </c>
      <c r="I23" s="113" t="s">
        <v>355</v>
      </c>
    </row>
    <row r="24" spans="1:9" x14ac:dyDescent="0.35">
      <c r="D24" s="74" t="s">
        <v>485</v>
      </c>
      <c r="E24" s="545" t="s">
        <v>84</v>
      </c>
      <c r="F24" s="545" t="s">
        <v>949</v>
      </c>
      <c r="G24" s="545" t="str">
        <f>+CONCATENATE(Doors[[#This Row],[Door Type ]],Doors[[#This Row],[Category]])</f>
        <v>Manual Bi-Part Sliding door - Horizontal SlideFace Frame</v>
      </c>
      <c r="H24" s="19" t="s">
        <v>54</v>
      </c>
      <c r="I24" s="113" t="s">
        <v>356</v>
      </c>
    </row>
    <row r="25" spans="1:9" x14ac:dyDescent="0.35">
      <c r="D25" s="74" t="s">
        <v>485</v>
      </c>
      <c r="E25" s="545" t="s">
        <v>84</v>
      </c>
      <c r="F25" s="545" t="s">
        <v>949</v>
      </c>
      <c r="G25" s="545" t="str">
        <f>+CONCATENATE(Doors[[#This Row],[Door Type ]],Doors[[#This Row],[Category]])</f>
        <v>Manual Bi-Part Sliding door - Horizontal SlideFace Frame</v>
      </c>
      <c r="H25" s="19" t="s">
        <v>54</v>
      </c>
      <c r="I25" s="113" t="s">
        <v>55</v>
      </c>
    </row>
    <row r="26" spans="1:9" x14ac:dyDescent="0.35">
      <c r="D26" s="74" t="s">
        <v>485</v>
      </c>
      <c r="E26" s="545" t="s">
        <v>84</v>
      </c>
      <c r="F26" s="545" t="s">
        <v>949</v>
      </c>
      <c r="G26" s="545" t="str">
        <f>+CONCATENATE(Doors[[#This Row],[Door Type ]],Doors[[#This Row],[Category]])</f>
        <v>Manual Bi-Part Sliding door - Horizontal SlideFace Frame</v>
      </c>
      <c r="H26" s="19" t="s">
        <v>54</v>
      </c>
      <c r="I26" s="113" t="s">
        <v>357</v>
      </c>
    </row>
    <row r="27" spans="1:9" x14ac:dyDescent="0.35">
      <c r="D27" s="74" t="s">
        <v>485</v>
      </c>
      <c r="E27" s="545" t="s">
        <v>84</v>
      </c>
      <c r="F27" s="545" t="s">
        <v>949</v>
      </c>
      <c r="G27" s="545" t="str">
        <f>+CONCATENATE(Doors[[#This Row],[Door Type ]],Doors[[#This Row],[Category]])</f>
        <v>Manual Bi-Part Sliding door - Horizontal SlideFace Frame</v>
      </c>
      <c r="H27" s="19" t="s">
        <v>54</v>
      </c>
      <c r="I27" s="113" t="s">
        <v>517</v>
      </c>
    </row>
    <row r="28" spans="1:9" x14ac:dyDescent="0.35">
      <c r="D28" s="74" t="s">
        <v>485</v>
      </c>
      <c r="E28" s="545" t="s">
        <v>84</v>
      </c>
      <c r="F28" s="545" t="s">
        <v>949</v>
      </c>
      <c r="G28" s="545" t="str">
        <f>+CONCATENATE(Doors[[#This Row],[Door Type ]],Doors[[#This Row],[Category]])</f>
        <v>Manual Bi-Part Sliding door - Horizontal SlideInside Jamb</v>
      </c>
      <c r="H28" s="19" t="s">
        <v>58</v>
      </c>
      <c r="I28" s="113" t="s">
        <v>344</v>
      </c>
    </row>
    <row r="29" spans="1:9" x14ac:dyDescent="0.35">
      <c r="D29" s="74" t="s">
        <v>485</v>
      </c>
      <c r="E29" s="545" t="s">
        <v>84</v>
      </c>
      <c r="F29" s="545" t="s">
        <v>949</v>
      </c>
      <c r="G29" s="545" t="str">
        <f>+CONCATENATE(Doors[[#This Row],[Door Type ]],Doors[[#This Row],[Category]])</f>
        <v>Manual Bi-Part Sliding door - Horizontal SlideInside Jamb</v>
      </c>
      <c r="H29" s="19" t="s">
        <v>58</v>
      </c>
      <c r="I29" s="113" t="s">
        <v>346</v>
      </c>
    </row>
    <row r="30" spans="1:9" x14ac:dyDescent="0.35">
      <c r="D30" s="74" t="s">
        <v>485</v>
      </c>
      <c r="E30" s="545" t="s">
        <v>84</v>
      </c>
      <c r="F30" s="545" t="s">
        <v>949</v>
      </c>
      <c r="G30" s="545" t="str">
        <f>+CONCATENATE(Doors[[#This Row],[Door Type ]],Doors[[#This Row],[Category]])</f>
        <v>Manual Bi-Part Sliding door - Horizontal SlideInside Jamb</v>
      </c>
      <c r="H30" s="19" t="s">
        <v>58</v>
      </c>
      <c r="I30" s="113" t="s">
        <v>348</v>
      </c>
    </row>
    <row r="31" spans="1:9" x14ac:dyDescent="0.35">
      <c r="D31" s="74" t="s">
        <v>485</v>
      </c>
      <c r="E31" s="545" t="s">
        <v>84</v>
      </c>
      <c r="F31" s="545" t="s">
        <v>949</v>
      </c>
      <c r="G31" s="545" t="str">
        <f>+CONCATENATE(Doors[[#This Row],[Door Type ]],Doors[[#This Row],[Category]])</f>
        <v>Manual Bi-Part Sliding door - Horizontal SlideInside Jamb</v>
      </c>
      <c r="H31" s="19" t="s">
        <v>58</v>
      </c>
      <c r="I31" s="113" t="s">
        <v>350</v>
      </c>
    </row>
    <row r="32" spans="1:9" x14ac:dyDescent="0.35">
      <c r="D32" s="74" t="s">
        <v>485</v>
      </c>
      <c r="E32" s="545" t="s">
        <v>84</v>
      </c>
      <c r="F32" s="545" t="s">
        <v>949</v>
      </c>
      <c r="G32" s="545" t="str">
        <f>+CONCATENATE(Doors[[#This Row],[Door Type ]],Doors[[#This Row],[Category]])</f>
        <v>Manual Bi-Part Sliding door - Horizontal SlideInside Jamb</v>
      </c>
      <c r="H32" s="19" t="s">
        <v>58</v>
      </c>
      <c r="I32" s="113" t="s">
        <v>351</v>
      </c>
    </row>
    <row r="33" spans="4:9" x14ac:dyDescent="0.35">
      <c r="D33" s="74" t="s">
        <v>485</v>
      </c>
      <c r="E33" s="545" t="s">
        <v>84</v>
      </c>
      <c r="F33" s="545" t="s">
        <v>949</v>
      </c>
      <c r="G33" s="545" t="str">
        <f>+CONCATENATE(Doors[[#This Row],[Door Type ]],Doors[[#This Row],[Category]])</f>
        <v>Manual Bi-Part Sliding door - Horizontal SlideInside Jamb</v>
      </c>
      <c r="H33" s="19" t="s">
        <v>58</v>
      </c>
      <c r="I33" s="113" t="s">
        <v>353</v>
      </c>
    </row>
    <row r="34" spans="4:9" x14ac:dyDescent="0.35">
      <c r="D34" s="74" t="s">
        <v>485</v>
      </c>
      <c r="E34" s="545" t="s">
        <v>84</v>
      </c>
      <c r="F34" s="545" t="s">
        <v>949</v>
      </c>
      <c r="G34" s="545" t="str">
        <f>+CONCATENATE(Doors[[#This Row],[Door Type ]],Doors[[#This Row],[Category]])</f>
        <v>Manual Bi-Part Sliding door - Horizontal SlideInside Jamb</v>
      </c>
      <c r="H34" s="19" t="s">
        <v>58</v>
      </c>
      <c r="I34" s="113" t="s">
        <v>355</v>
      </c>
    </row>
    <row r="35" spans="4:9" x14ac:dyDescent="0.35">
      <c r="D35" s="74" t="s">
        <v>485</v>
      </c>
      <c r="E35" s="545" t="s">
        <v>84</v>
      </c>
      <c r="F35" s="545" t="s">
        <v>949</v>
      </c>
      <c r="G35" s="545" t="str">
        <f>+CONCATENATE(Doors[[#This Row],[Door Type ]],Doors[[#This Row],[Category]])</f>
        <v>Manual Bi-Part Sliding door - Horizontal SlideInside Jamb</v>
      </c>
      <c r="H35" s="19" t="s">
        <v>58</v>
      </c>
      <c r="I35" s="113" t="s">
        <v>356</v>
      </c>
    </row>
    <row r="36" spans="4:9" x14ac:dyDescent="0.35">
      <c r="D36" s="74" t="s">
        <v>485</v>
      </c>
      <c r="E36" s="545" t="s">
        <v>84</v>
      </c>
      <c r="F36" s="545" t="s">
        <v>949</v>
      </c>
      <c r="G36" s="545" t="str">
        <f>+CONCATENATE(Doors[[#This Row],[Door Type ]],Doors[[#This Row],[Category]])</f>
        <v>Manual Bi-Part Sliding door - Horizontal SlideInside Jamb</v>
      </c>
      <c r="H36" s="19" t="s">
        <v>58</v>
      </c>
      <c r="I36" s="113" t="s">
        <v>55</v>
      </c>
    </row>
    <row r="37" spans="4:9" x14ac:dyDescent="0.35">
      <c r="D37" s="74" t="s">
        <v>485</v>
      </c>
      <c r="E37" s="545" t="s">
        <v>84</v>
      </c>
      <c r="F37" s="545" t="s">
        <v>949</v>
      </c>
      <c r="G37" s="545" t="str">
        <f>+CONCATENATE(Doors[[#This Row],[Door Type ]],Doors[[#This Row],[Category]])</f>
        <v>Manual Bi-Part Sliding door - Horizontal SlideInside Jamb</v>
      </c>
      <c r="H37" s="19" t="s">
        <v>58</v>
      </c>
      <c r="I37" s="113" t="s">
        <v>357</v>
      </c>
    </row>
    <row r="38" spans="4:9" x14ac:dyDescent="0.35">
      <c r="D38" s="74" t="s">
        <v>485</v>
      </c>
      <c r="E38" s="545" t="s">
        <v>84</v>
      </c>
      <c r="F38" s="545" t="s">
        <v>949</v>
      </c>
      <c r="G38" s="545" t="str">
        <f>+CONCATENATE(Doors[[#This Row],[Door Type ]],Doors[[#This Row],[Category]])</f>
        <v>Manual Bi-Part Sliding door - Horizontal SlideInside Jamb</v>
      </c>
      <c r="H38" s="19" t="s">
        <v>58</v>
      </c>
      <c r="I38" s="113" t="s">
        <v>517</v>
      </c>
    </row>
    <row r="39" spans="4:9" x14ac:dyDescent="0.35">
      <c r="D39" s="74" t="s">
        <v>485</v>
      </c>
      <c r="E39" s="545" t="s">
        <v>84</v>
      </c>
      <c r="F39" s="545" t="s">
        <v>949</v>
      </c>
      <c r="G39" s="545" t="str">
        <f>+CONCATENATE(Doors[[#This Row],[Door Type ]],Doors[[#This Row],[Category]])</f>
        <v>Manual Bi-Part Sliding door - Horizontal SlideBack Frame</v>
      </c>
      <c r="H39" s="19" t="s">
        <v>60</v>
      </c>
      <c r="I39" s="113" t="s">
        <v>344</v>
      </c>
    </row>
    <row r="40" spans="4:9" x14ac:dyDescent="0.35">
      <c r="D40" s="74" t="s">
        <v>485</v>
      </c>
      <c r="E40" s="545" t="s">
        <v>84</v>
      </c>
      <c r="F40" s="545" t="s">
        <v>949</v>
      </c>
      <c r="G40" s="545" t="str">
        <f>+CONCATENATE(Doors[[#This Row],[Door Type ]],Doors[[#This Row],[Category]])</f>
        <v>Manual Bi-Part Sliding door - Horizontal SlideBack Frame</v>
      </c>
      <c r="H40" s="19" t="s">
        <v>60</v>
      </c>
      <c r="I40" s="113" t="s">
        <v>346</v>
      </c>
    </row>
    <row r="41" spans="4:9" x14ac:dyDescent="0.35">
      <c r="D41" s="74" t="s">
        <v>485</v>
      </c>
      <c r="E41" s="545" t="s">
        <v>84</v>
      </c>
      <c r="F41" s="545" t="s">
        <v>949</v>
      </c>
      <c r="G41" s="545" t="str">
        <f>+CONCATENATE(Doors[[#This Row],[Door Type ]],Doors[[#This Row],[Category]])</f>
        <v>Manual Bi-Part Sliding door - Horizontal SlideBack Frame</v>
      </c>
      <c r="H41" s="19" t="s">
        <v>60</v>
      </c>
      <c r="I41" s="113" t="s">
        <v>348</v>
      </c>
    </row>
    <row r="42" spans="4:9" x14ac:dyDescent="0.35">
      <c r="D42" s="74" t="s">
        <v>485</v>
      </c>
      <c r="E42" s="545" t="s">
        <v>84</v>
      </c>
      <c r="F42" s="545" t="s">
        <v>949</v>
      </c>
      <c r="G42" s="545" t="str">
        <f>+CONCATENATE(Doors[[#This Row],[Door Type ]],Doors[[#This Row],[Category]])</f>
        <v>Manual Bi-Part Sliding door - Horizontal SlideBack Frame</v>
      </c>
      <c r="H42" s="19" t="s">
        <v>60</v>
      </c>
      <c r="I42" s="113" t="s">
        <v>350</v>
      </c>
    </row>
    <row r="43" spans="4:9" x14ac:dyDescent="0.35">
      <c r="D43" s="74" t="s">
        <v>485</v>
      </c>
      <c r="E43" s="545" t="s">
        <v>84</v>
      </c>
      <c r="F43" s="545" t="s">
        <v>949</v>
      </c>
      <c r="G43" s="545" t="str">
        <f>+CONCATENATE(Doors[[#This Row],[Door Type ]],Doors[[#This Row],[Category]])</f>
        <v>Manual Bi-Part Sliding door - Horizontal SlideBack Frame</v>
      </c>
      <c r="H43" s="19" t="s">
        <v>60</v>
      </c>
      <c r="I43" s="113" t="s">
        <v>351</v>
      </c>
    </row>
    <row r="44" spans="4:9" x14ac:dyDescent="0.35">
      <c r="D44" s="74" t="s">
        <v>485</v>
      </c>
      <c r="E44" s="545" t="s">
        <v>84</v>
      </c>
      <c r="F44" s="545" t="s">
        <v>949</v>
      </c>
      <c r="G44" s="545" t="str">
        <f>+CONCATENATE(Doors[[#This Row],[Door Type ]],Doors[[#This Row],[Category]])</f>
        <v>Manual Bi-Part Sliding door - Horizontal SlideBack Frame</v>
      </c>
      <c r="H44" s="19" t="s">
        <v>60</v>
      </c>
      <c r="I44" s="113" t="s">
        <v>353</v>
      </c>
    </row>
    <row r="45" spans="4:9" x14ac:dyDescent="0.35">
      <c r="D45" s="74" t="s">
        <v>485</v>
      </c>
      <c r="E45" s="545" t="s">
        <v>84</v>
      </c>
      <c r="F45" s="545" t="s">
        <v>949</v>
      </c>
      <c r="G45" s="545" t="str">
        <f>+CONCATENATE(Doors[[#This Row],[Door Type ]],Doors[[#This Row],[Category]])</f>
        <v>Manual Bi-Part Sliding door - Horizontal SlideBack Frame</v>
      </c>
      <c r="H45" s="19" t="s">
        <v>60</v>
      </c>
      <c r="I45" s="113" t="s">
        <v>355</v>
      </c>
    </row>
    <row r="46" spans="4:9" x14ac:dyDescent="0.35">
      <c r="D46" s="74" t="s">
        <v>485</v>
      </c>
      <c r="E46" s="545" t="s">
        <v>84</v>
      </c>
      <c r="F46" s="545" t="s">
        <v>949</v>
      </c>
      <c r="G46" s="545" t="str">
        <f>+CONCATENATE(Doors[[#This Row],[Door Type ]],Doors[[#This Row],[Category]])</f>
        <v>Manual Bi-Part Sliding door - Horizontal SlideBack Frame</v>
      </c>
      <c r="H46" s="19" t="s">
        <v>60</v>
      </c>
      <c r="I46" s="113" t="s">
        <v>356</v>
      </c>
    </row>
    <row r="47" spans="4:9" x14ac:dyDescent="0.35">
      <c r="D47" s="74" t="s">
        <v>485</v>
      </c>
      <c r="E47" s="545" t="s">
        <v>84</v>
      </c>
      <c r="F47" s="545" t="s">
        <v>949</v>
      </c>
      <c r="G47" s="545" t="str">
        <f>+CONCATENATE(Doors[[#This Row],[Door Type ]],Doors[[#This Row],[Category]])</f>
        <v>Manual Bi-Part Sliding door - Horizontal SlideBack Frame</v>
      </c>
      <c r="H47" s="19" t="s">
        <v>60</v>
      </c>
      <c r="I47" s="113" t="s">
        <v>55</v>
      </c>
    </row>
    <row r="48" spans="4:9" x14ac:dyDescent="0.35">
      <c r="D48" s="74" t="s">
        <v>485</v>
      </c>
      <c r="E48" s="545" t="s">
        <v>84</v>
      </c>
      <c r="F48" s="545" t="s">
        <v>949</v>
      </c>
      <c r="G48" s="545" t="str">
        <f>+CONCATENATE(Doors[[#This Row],[Door Type ]],Doors[[#This Row],[Category]])</f>
        <v>Manual Bi-Part Sliding door - Horizontal SlideBack Frame</v>
      </c>
      <c r="H48" s="19" t="s">
        <v>60</v>
      </c>
      <c r="I48" s="113" t="s">
        <v>357</v>
      </c>
    </row>
    <row r="49" spans="4:9" x14ac:dyDescent="0.35">
      <c r="D49" s="74" t="s">
        <v>485</v>
      </c>
      <c r="E49" s="545" t="s">
        <v>84</v>
      </c>
      <c r="F49" s="545" t="s">
        <v>949</v>
      </c>
      <c r="G49" s="545" t="str">
        <f>+CONCATENATE(Doors[[#This Row],[Door Type ]],Doors[[#This Row],[Category]])</f>
        <v>Manual Bi-Part Sliding door - Horizontal SlideBack Frame</v>
      </c>
      <c r="H49" s="19" t="s">
        <v>60</v>
      </c>
      <c r="I49" s="113" t="s">
        <v>517</v>
      </c>
    </row>
    <row r="50" spans="4:9" x14ac:dyDescent="0.35">
      <c r="D50" s="74" t="s">
        <v>485</v>
      </c>
      <c r="E50" s="545" t="s">
        <v>84</v>
      </c>
      <c r="F50" s="20" t="s">
        <v>950</v>
      </c>
      <c r="G50" s="20" t="str">
        <f>+CONCATENATE(Doors[[#This Row],[Door Type ]],Doors[[#This Row],[Category]])</f>
        <v>Manual Bi-Part Sliding door - Horizontal SlideFreezer Door</v>
      </c>
      <c r="H50" s="19" t="s">
        <v>125</v>
      </c>
      <c r="I50" s="113" t="s">
        <v>951</v>
      </c>
    </row>
    <row r="51" spans="4:9" x14ac:dyDescent="0.35">
      <c r="D51" s="74" t="s">
        <v>485</v>
      </c>
      <c r="E51" s="545" t="s">
        <v>84</v>
      </c>
      <c r="F51" s="20" t="s">
        <v>950</v>
      </c>
      <c r="G51" s="20" t="str">
        <f>+CONCATENATE(Doors[[#This Row],[Door Type ]],Doors[[#This Row],[Category]])</f>
        <v>Manual Bi-Part Sliding door - Horizontal SlideFreezer Door</v>
      </c>
      <c r="H51" s="19" t="s">
        <v>125</v>
      </c>
      <c r="I51" s="113" t="s">
        <v>63</v>
      </c>
    </row>
    <row r="52" spans="4:9" x14ac:dyDescent="0.35">
      <c r="D52" s="74" t="s">
        <v>485</v>
      </c>
      <c r="E52" s="545" t="s">
        <v>84</v>
      </c>
      <c r="F52" s="20" t="s">
        <v>950</v>
      </c>
      <c r="G52" s="20" t="str">
        <f>+CONCATENATE(Doors[[#This Row],[Door Type ]],Doors[[#This Row],[Category]])</f>
        <v>Manual Bi-Part Sliding door - Horizontal SlideFreezer Door</v>
      </c>
      <c r="H52" s="19" t="s">
        <v>125</v>
      </c>
      <c r="I52" s="113" t="s">
        <v>952</v>
      </c>
    </row>
    <row r="53" spans="4:9" x14ac:dyDescent="0.35">
      <c r="D53" s="74" t="s">
        <v>485</v>
      </c>
      <c r="E53" s="545" t="s">
        <v>84</v>
      </c>
      <c r="F53" s="20" t="s">
        <v>950</v>
      </c>
      <c r="G53" s="20" t="str">
        <f>+CONCATENATE(Doors[[#This Row],[Door Type ]],Doors[[#This Row],[Category]])</f>
        <v>Manual Bi-Part Sliding door - Horizontal SlideFreezer Door</v>
      </c>
      <c r="H53" s="19" t="s">
        <v>125</v>
      </c>
      <c r="I53" s="113" t="s">
        <v>953</v>
      </c>
    </row>
    <row r="54" spans="4:9" x14ac:dyDescent="0.35">
      <c r="D54" s="74" t="s">
        <v>485</v>
      </c>
      <c r="E54" s="545" t="s">
        <v>84</v>
      </c>
      <c r="F54" s="20" t="s">
        <v>950</v>
      </c>
      <c r="G54" s="20" t="str">
        <f>+CONCATENATE(Doors[[#This Row],[Door Type ]],Doors[[#This Row],[Category]])</f>
        <v>Manual Bi-Part Sliding door - Horizontal SlideKick Plate Material</v>
      </c>
      <c r="H54" s="19" t="s">
        <v>126</v>
      </c>
      <c r="I54" s="113" t="s">
        <v>518</v>
      </c>
    </row>
    <row r="55" spans="4:9" x14ac:dyDescent="0.35">
      <c r="D55" s="74" t="s">
        <v>485</v>
      </c>
      <c r="E55" s="545" t="s">
        <v>84</v>
      </c>
      <c r="F55" s="20" t="s">
        <v>950</v>
      </c>
      <c r="G55" s="20" t="str">
        <f>+CONCATENATE(Doors[[#This Row],[Door Type ]],Doors[[#This Row],[Category]])</f>
        <v>Manual Bi-Part Sliding door - Horizontal SlideKick Plate Material</v>
      </c>
      <c r="H55" s="19" t="s">
        <v>126</v>
      </c>
      <c r="I55" s="113" t="s">
        <v>595</v>
      </c>
    </row>
    <row r="56" spans="4:9" x14ac:dyDescent="0.35">
      <c r="D56" s="74" t="s">
        <v>485</v>
      </c>
      <c r="E56" s="545" t="s">
        <v>84</v>
      </c>
      <c r="F56" s="20" t="s">
        <v>950</v>
      </c>
      <c r="G56" s="20" t="str">
        <f>+CONCATENATE(Doors[[#This Row],[Door Type ]],Doors[[#This Row],[Category]])</f>
        <v>Manual Bi-Part Sliding door - Horizontal SlideKick Plate Material</v>
      </c>
      <c r="H56" s="19" t="s">
        <v>126</v>
      </c>
      <c r="I56" s="113" t="s">
        <v>522</v>
      </c>
    </row>
    <row r="57" spans="4:9" x14ac:dyDescent="0.35">
      <c r="D57" s="74" t="s">
        <v>485</v>
      </c>
      <c r="E57" s="545" t="s">
        <v>84</v>
      </c>
      <c r="F57" s="20" t="s">
        <v>950</v>
      </c>
      <c r="G57" s="20" t="str">
        <f>+CONCATENATE(Doors[[#This Row],[Door Type ]],Doors[[#This Row],[Category]])</f>
        <v>Manual Bi-Part Sliding door - Horizontal SlideKick Plate Material</v>
      </c>
      <c r="H57" s="19" t="s">
        <v>126</v>
      </c>
      <c r="I57" s="113" t="s">
        <v>954</v>
      </c>
    </row>
    <row r="58" spans="4:9" x14ac:dyDescent="0.35">
      <c r="D58" s="74" t="s">
        <v>485</v>
      </c>
      <c r="E58" s="545" t="s">
        <v>84</v>
      </c>
      <c r="F58" s="20" t="s">
        <v>950</v>
      </c>
      <c r="G58" s="20" t="str">
        <f>+CONCATENATE(Doors[[#This Row],[Door Type ]],Doors[[#This Row],[Category]])</f>
        <v>Manual Bi-Part Sliding door - Horizontal SlideKick Plate Size</v>
      </c>
      <c r="H58" s="19" t="s">
        <v>127</v>
      </c>
      <c r="I58" s="113" t="s">
        <v>295</v>
      </c>
    </row>
    <row r="59" spans="4:9" x14ac:dyDescent="0.35">
      <c r="D59" s="74" t="s">
        <v>485</v>
      </c>
      <c r="E59" s="545" t="s">
        <v>84</v>
      </c>
      <c r="F59" s="20" t="s">
        <v>950</v>
      </c>
      <c r="G59" s="20" t="str">
        <f>+CONCATENATE(Doors[[#This Row],[Door Type ]],Doors[[#This Row],[Category]])</f>
        <v>Manual Bi-Part Sliding door - Horizontal SlideKick Plate Size</v>
      </c>
      <c r="H59" s="19" t="s">
        <v>127</v>
      </c>
      <c r="I59" s="113" t="s">
        <v>303</v>
      </c>
    </row>
    <row r="60" spans="4:9" x14ac:dyDescent="0.35">
      <c r="D60" s="74" t="s">
        <v>485</v>
      </c>
      <c r="E60" s="545" t="s">
        <v>84</v>
      </c>
      <c r="F60" s="20" t="s">
        <v>950</v>
      </c>
      <c r="G60" s="20" t="str">
        <f>+CONCATENATE(Doors[[#This Row],[Door Type ]],Doors[[#This Row],[Category]])</f>
        <v>Manual Bi-Part Sliding door - Horizontal SlideKick Plate Size</v>
      </c>
      <c r="H60" s="19" t="s">
        <v>127</v>
      </c>
      <c r="I60" s="113" t="s">
        <v>310</v>
      </c>
    </row>
    <row r="61" spans="4:9" x14ac:dyDescent="0.35">
      <c r="D61" s="74" t="s">
        <v>485</v>
      </c>
      <c r="E61" s="545" t="s">
        <v>84</v>
      </c>
      <c r="F61" s="20" t="s">
        <v>950</v>
      </c>
      <c r="G61" s="20" t="str">
        <f>+CONCATENATE(Doors[[#This Row],[Door Type ]],Doors[[#This Row],[Category]])</f>
        <v>Manual Bi-Part Sliding door - Horizontal SlideKick Plate Size</v>
      </c>
      <c r="H61" s="19" t="s">
        <v>127</v>
      </c>
      <c r="I61" s="113" t="s">
        <v>318</v>
      </c>
    </row>
    <row r="62" spans="4:9" x14ac:dyDescent="0.35">
      <c r="D62" s="74" t="s">
        <v>485</v>
      </c>
      <c r="E62" s="545" t="s">
        <v>84</v>
      </c>
      <c r="F62" s="20" t="s">
        <v>950</v>
      </c>
      <c r="G62" s="20" t="str">
        <f>+CONCATENATE(Doors[[#This Row],[Door Type ]],Doors[[#This Row],[Category]])</f>
        <v>Manual Bi-Part Sliding door - Horizontal SlideKick Plate Location</v>
      </c>
      <c r="H62" s="19" t="s">
        <v>128</v>
      </c>
      <c r="I62" s="113" t="s">
        <v>485</v>
      </c>
    </row>
    <row r="63" spans="4:9" x14ac:dyDescent="0.35">
      <c r="D63" s="74" t="s">
        <v>485</v>
      </c>
      <c r="E63" s="545" t="s">
        <v>84</v>
      </c>
      <c r="F63" s="20" t="s">
        <v>950</v>
      </c>
      <c r="G63" s="20" t="str">
        <f>+CONCATENATE(Doors[[#This Row],[Door Type ]],Doors[[#This Row],[Category]])</f>
        <v>Manual Bi-Part Sliding door - Horizontal SlideKick Plate Location</v>
      </c>
      <c r="H63" s="19" t="s">
        <v>128</v>
      </c>
      <c r="I63" s="113" t="s">
        <v>955</v>
      </c>
    </row>
    <row r="64" spans="4:9" x14ac:dyDescent="0.35">
      <c r="D64" s="74" t="s">
        <v>485</v>
      </c>
      <c r="E64" s="545" t="s">
        <v>84</v>
      </c>
      <c r="F64" s="20" t="s">
        <v>950</v>
      </c>
      <c r="G64" s="20" t="str">
        <f>+CONCATENATE(Doors[[#This Row],[Door Type ]],Doors[[#This Row],[Category]])</f>
        <v>Manual Bi-Part Sliding door - Horizontal SlideKick Plate Location</v>
      </c>
      <c r="H64" s="19" t="s">
        <v>128</v>
      </c>
      <c r="I64" s="113" t="s">
        <v>304</v>
      </c>
    </row>
    <row r="65" spans="4:9" x14ac:dyDescent="0.35">
      <c r="D65" s="74" t="s">
        <v>485</v>
      </c>
      <c r="E65" s="545" t="s">
        <v>84</v>
      </c>
      <c r="F65" s="20" t="s">
        <v>950</v>
      </c>
      <c r="G65" s="20" t="str">
        <f>+CONCATENATE(Doors[[#This Row],[Door Type ]],Doors[[#This Row],[Category]])</f>
        <v>Manual Bi-Part Sliding door - Horizontal SlideKick Plate Location</v>
      </c>
      <c r="H65" s="19" t="s">
        <v>128</v>
      </c>
      <c r="I65" s="113" t="s">
        <v>40</v>
      </c>
    </row>
    <row r="66" spans="4:9" x14ac:dyDescent="0.35">
      <c r="D66" s="74" t="s">
        <v>485</v>
      </c>
      <c r="E66" s="545" t="s">
        <v>84</v>
      </c>
      <c r="F66" s="20" t="s">
        <v>950</v>
      </c>
      <c r="G66" s="20" t="str">
        <f>+CONCATENATE(Doors[[#This Row],[Door Type ]],Doors[[#This Row],[Category]])</f>
        <v>Manual Bi-Part Sliding door - Horizontal SlideKick Plate Location</v>
      </c>
      <c r="H66" s="19" t="s">
        <v>128</v>
      </c>
      <c r="I66" s="113" t="s">
        <v>956</v>
      </c>
    </row>
    <row r="67" spans="4:9" x14ac:dyDescent="0.35">
      <c r="D67" s="74" t="s">
        <v>485</v>
      </c>
      <c r="E67" s="545" t="s">
        <v>84</v>
      </c>
      <c r="F67" s="20" t="s">
        <v>950</v>
      </c>
      <c r="G67" s="20" t="str">
        <f>+CONCATENATE(Doors[[#This Row],[Door Type ]],Doors[[#This Row],[Category]])</f>
        <v>Manual Bi-Part Sliding door - Horizontal SlideViewPort Window Size</v>
      </c>
      <c r="H67" s="19" t="s">
        <v>129</v>
      </c>
      <c r="I67" s="113" t="s">
        <v>629</v>
      </c>
    </row>
    <row r="68" spans="4:9" x14ac:dyDescent="0.35">
      <c r="D68" s="74" t="s">
        <v>485</v>
      </c>
      <c r="E68" s="545" t="s">
        <v>84</v>
      </c>
      <c r="F68" s="20" t="s">
        <v>950</v>
      </c>
      <c r="G68" s="20" t="str">
        <f>+CONCATENATE(Doors[[#This Row],[Door Type ]],Doors[[#This Row],[Category]])</f>
        <v>Manual Bi-Part Sliding door - Horizontal SlideViewPort Window Size</v>
      </c>
      <c r="H68" s="19" t="s">
        <v>129</v>
      </c>
      <c r="I68" s="113" t="s">
        <v>630</v>
      </c>
    </row>
    <row r="69" spans="4:9" x14ac:dyDescent="0.35">
      <c r="D69" s="74" t="s">
        <v>485</v>
      </c>
      <c r="E69" s="545" t="s">
        <v>84</v>
      </c>
      <c r="F69" s="20" t="s">
        <v>950</v>
      </c>
      <c r="G69" s="20" t="str">
        <f>+CONCATENATE(Doors[[#This Row],[Door Type ]],Doors[[#This Row],[Category]])</f>
        <v>Manual Bi-Part Sliding door - Horizontal SlideViewPort Window Size</v>
      </c>
      <c r="H69" s="19" t="s">
        <v>129</v>
      </c>
      <c r="I69" s="113" t="s">
        <v>631</v>
      </c>
    </row>
    <row r="70" spans="4:9" x14ac:dyDescent="0.35">
      <c r="D70" s="74" t="s">
        <v>485</v>
      </c>
      <c r="E70" s="545" t="s">
        <v>84</v>
      </c>
      <c r="F70" s="20" t="s">
        <v>950</v>
      </c>
      <c r="G70" s="20" t="str">
        <f>+CONCATENATE(Doors[[#This Row],[Door Type ]],Doors[[#This Row],[Category]])</f>
        <v>Manual Bi-Part Sliding door - Horizontal SlideViewPort Window Size</v>
      </c>
      <c r="H70" s="19" t="s">
        <v>129</v>
      </c>
      <c r="I70" s="113" t="s">
        <v>632</v>
      </c>
    </row>
    <row r="71" spans="4:9" x14ac:dyDescent="0.35">
      <c r="D71" s="74" t="s">
        <v>485</v>
      </c>
      <c r="E71" s="545" t="s">
        <v>84</v>
      </c>
      <c r="F71" s="20" t="s">
        <v>950</v>
      </c>
      <c r="G71" s="20" t="str">
        <f>+CONCATENATE(Doors[[#This Row],[Door Type ]],Doors[[#This Row],[Category]])</f>
        <v>Manual Bi-Part Sliding door - Horizontal SlideViewPort Window Type</v>
      </c>
      <c r="H71" s="19" t="s">
        <v>130</v>
      </c>
      <c r="I71" s="113" t="s">
        <v>957</v>
      </c>
    </row>
    <row r="72" spans="4:9" x14ac:dyDescent="0.35">
      <c r="D72" s="74" t="s">
        <v>485</v>
      </c>
      <c r="E72" s="545" t="s">
        <v>84</v>
      </c>
      <c r="F72" s="20" t="s">
        <v>950</v>
      </c>
      <c r="G72" s="20" t="str">
        <f>+CONCATENATE(Doors[[#This Row],[Door Type ]],Doors[[#This Row],[Category]])</f>
        <v>Manual Bi-Part Sliding door - Horizontal SlideViewPort Window Type</v>
      </c>
      <c r="H72" s="19" t="s">
        <v>130</v>
      </c>
      <c r="I72" s="113" t="s">
        <v>958</v>
      </c>
    </row>
    <row r="73" spans="4:9" x14ac:dyDescent="0.35">
      <c r="D73" s="74" t="s">
        <v>485</v>
      </c>
      <c r="E73" s="545" t="s">
        <v>84</v>
      </c>
      <c r="F73" s="20" t="s">
        <v>950</v>
      </c>
      <c r="G73" s="20" t="str">
        <f>+CONCATENATE(Doors[[#This Row],[Door Type ]],Doors[[#This Row],[Category]])</f>
        <v>Manual Bi-Part Sliding door - Horizontal SlideMotion Sensor</v>
      </c>
      <c r="H73" s="19" t="s">
        <v>131</v>
      </c>
      <c r="I73" s="28" t="s">
        <v>635</v>
      </c>
    </row>
    <row r="74" spans="4:9" x14ac:dyDescent="0.35">
      <c r="D74" s="74" t="s">
        <v>485</v>
      </c>
      <c r="E74" s="545" t="s">
        <v>84</v>
      </c>
      <c r="F74" s="20" t="s">
        <v>950</v>
      </c>
      <c r="G74" s="20" t="str">
        <f>+CONCATENATE(Doors[[#This Row],[Door Type ]],Doors[[#This Row],[Category]])</f>
        <v>Manual Bi-Part Sliding door - Horizontal SlideMotion Sensor</v>
      </c>
      <c r="H74" s="19" t="s">
        <v>131</v>
      </c>
      <c r="I74" s="28" t="s">
        <v>959</v>
      </c>
    </row>
    <row r="75" spans="4:9" x14ac:dyDescent="0.35">
      <c r="D75" s="74" t="s">
        <v>485</v>
      </c>
      <c r="E75" s="545" t="s">
        <v>84</v>
      </c>
      <c r="F75" s="20" t="s">
        <v>950</v>
      </c>
      <c r="G75" s="20" t="str">
        <f>+CONCATENATE(Doors[[#This Row],[Door Type ]],Doors[[#This Row],[Category]])</f>
        <v>Manual Bi-Part Sliding door - Horizontal SlideTamper Proof Hardware</v>
      </c>
      <c r="H75" s="19" t="s">
        <v>489</v>
      </c>
      <c r="I75" s="113" t="s">
        <v>489</v>
      </c>
    </row>
    <row r="76" spans="4:9" x14ac:dyDescent="0.35">
      <c r="D76" s="74" t="s">
        <v>485</v>
      </c>
      <c r="E76" s="20" t="s">
        <v>38</v>
      </c>
      <c r="F76" s="545" t="s">
        <v>949</v>
      </c>
      <c r="G76" s="545" t="str">
        <f>+CONCATENATE(Doors[[#This Row],[Door Type ]],Doors[[#This Row],[Category]])</f>
        <v>Power Operated Sliding door - Single horizontal SlideDoor Panel</v>
      </c>
      <c r="H76" s="19" t="s">
        <v>50</v>
      </c>
      <c r="I76" s="113" t="s">
        <v>51</v>
      </c>
    </row>
    <row r="77" spans="4:9" x14ac:dyDescent="0.35">
      <c r="D77" s="74" t="s">
        <v>485</v>
      </c>
      <c r="E77" s="20" t="s">
        <v>38</v>
      </c>
      <c r="F77" s="545" t="s">
        <v>949</v>
      </c>
      <c r="G77" s="545" t="str">
        <f>+CONCATENATE(Doors[[#This Row],[Door Type ]],Doors[[#This Row],[Category]])</f>
        <v>Power Operated Sliding door - Single horizontal SlideDoor Panel</v>
      </c>
      <c r="H77" s="19" t="s">
        <v>50</v>
      </c>
      <c r="I77" s="113" t="s">
        <v>370</v>
      </c>
    </row>
    <row r="78" spans="4:9" x14ac:dyDescent="0.35">
      <c r="D78" s="74" t="s">
        <v>485</v>
      </c>
      <c r="E78" s="20" t="s">
        <v>38</v>
      </c>
      <c r="F78" s="545" t="s">
        <v>949</v>
      </c>
      <c r="G78" s="545" t="str">
        <f>+CONCATENATE(Doors[[#This Row],[Door Type ]],Doors[[#This Row],[Category]])</f>
        <v>Power Operated Sliding door - Single horizontal SlideDoor Panel</v>
      </c>
      <c r="H78" s="19" t="s">
        <v>50</v>
      </c>
      <c r="I78" s="113" t="s">
        <v>516</v>
      </c>
    </row>
    <row r="79" spans="4:9" x14ac:dyDescent="0.35">
      <c r="D79" s="74" t="s">
        <v>485</v>
      </c>
      <c r="E79" s="20" t="s">
        <v>38</v>
      </c>
      <c r="F79" s="545" t="s">
        <v>949</v>
      </c>
      <c r="G79" s="545" t="str">
        <f>+CONCATENATE(Doors[[#This Row],[Door Type ]],Doors[[#This Row],[Category]])</f>
        <v>Power Operated Sliding door - Single horizontal SlideDoor Panel</v>
      </c>
      <c r="H79" s="19" t="s">
        <v>50</v>
      </c>
      <c r="I79" s="113" t="s">
        <v>517</v>
      </c>
    </row>
    <row r="80" spans="4:9" x14ac:dyDescent="0.35">
      <c r="D80" s="74" t="s">
        <v>485</v>
      </c>
      <c r="E80" s="20" t="s">
        <v>38</v>
      </c>
      <c r="F80" s="545" t="s">
        <v>949</v>
      </c>
      <c r="G80" s="545" t="str">
        <f>+CONCATENATE(Doors[[#This Row],[Door Type ]],Doors[[#This Row],[Category]])</f>
        <v>Power Operated Sliding door - Single horizontal SlideFace Frame</v>
      </c>
      <c r="H80" s="19" t="s">
        <v>54</v>
      </c>
      <c r="I80" s="113" t="s">
        <v>344</v>
      </c>
    </row>
    <row r="81" spans="4:9" x14ac:dyDescent="0.35">
      <c r="D81" s="74" t="s">
        <v>485</v>
      </c>
      <c r="E81" s="20" t="s">
        <v>38</v>
      </c>
      <c r="F81" s="545" t="s">
        <v>949</v>
      </c>
      <c r="G81" s="545" t="str">
        <f>+CONCATENATE(Doors[[#This Row],[Door Type ]],Doors[[#This Row],[Category]])</f>
        <v>Power Operated Sliding door - Single horizontal SlideFace Frame</v>
      </c>
      <c r="H81" s="19" t="s">
        <v>54</v>
      </c>
      <c r="I81" s="113" t="s">
        <v>346</v>
      </c>
    </row>
    <row r="82" spans="4:9" x14ac:dyDescent="0.35">
      <c r="D82" s="74" t="s">
        <v>485</v>
      </c>
      <c r="E82" s="20" t="s">
        <v>38</v>
      </c>
      <c r="F82" s="545" t="s">
        <v>949</v>
      </c>
      <c r="G82" s="545" t="str">
        <f>+CONCATENATE(Doors[[#This Row],[Door Type ]],Doors[[#This Row],[Category]])</f>
        <v>Power Operated Sliding door - Single horizontal SlideFace Frame</v>
      </c>
      <c r="H82" s="19" t="s">
        <v>54</v>
      </c>
      <c r="I82" s="113" t="s">
        <v>348</v>
      </c>
    </row>
    <row r="83" spans="4:9" x14ac:dyDescent="0.35">
      <c r="D83" s="74" t="s">
        <v>485</v>
      </c>
      <c r="E83" s="20" t="s">
        <v>38</v>
      </c>
      <c r="F83" s="545" t="s">
        <v>949</v>
      </c>
      <c r="G83" s="545" t="str">
        <f>+CONCATENATE(Doors[[#This Row],[Door Type ]],Doors[[#This Row],[Category]])</f>
        <v>Power Operated Sliding door - Single horizontal SlideFace Frame</v>
      </c>
      <c r="H83" s="19" t="s">
        <v>54</v>
      </c>
      <c r="I83" s="113" t="s">
        <v>350</v>
      </c>
    </row>
    <row r="84" spans="4:9" x14ac:dyDescent="0.35">
      <c r="D84" s="74" t="s">
        <v>485</v>
      </c>
      <c r="E84" s="20" t="s">
        <v>38</v>
      </c>
      <c r="F84" s="545" t="s">
        <v>949</v>
      </c>
      <c r="G84" s="545" t="str">
        <f>+CONCATENATE(Doors[[#This Row],[Door Type ]],Doors[[#This Row],[Category]])</f>
        <v>Power Operated Sliding door - Single horizontal SlideFace Frame</v>
      </c>
      <c r="H84" s="19" t="s">
        <v>54</v>
      </c>
      <c r="I84" s="113" t="s">
        <v>351</v>
      </c>
    </row>
    <row r="85" spans="4:9" x14ac:dyDescent="0.35">
      <c r="D85" s="74" t="s">
        <v>485</v>
      </c>
      <c r="E85" s="20" t="s">
        <v>38</v>
      </c>
      <c r="F85" s="545" t="s">
        <v>949</v>
      </c>
      <c r="G85" s="545" t="str">
        <f>+CONCATENATE(Doors[[#This Row],[Door Type ]],Doors[[#This Row],[Category]])</f>
        <v>Power Operated Sliding door - Single horizontal SlideFace Frame</v>
      </c>
      <c r="H85" s="19" t="s">
        <v>54</v>
      </c>
      <c r="I85" s="113" t="s">
        <v>353</v>
      </c>
    </row>
    <row r="86" spans="4:9" x14ac:dyDescent="0.35">
      <c r="D86" s="74" t="s">
        <v>485</v>
      </c>
      <c r="E86" s="20" t="s">
        <v>38</v>
      </c>
      <c r="F86" s="545" t="s">
        <v>949</v>
      </c>
      <c r="G86" s="545" t="str">
        <f>+CONCATENATE(Doors[[#This Row],[Door Type ]],Doors[[#This Row],[Category]])</f>
        <v>Power Operated Sliding door - Single horizontal SlideFace Frame</v>
      </c>
      <c r="H86" s="19" t="s">
        <v>54</v>
      </c>
      <c r="I86" s="113" t="s">
        <v>355</v>
      </c>
    </row>
    <row r="87" spans="4:9" x14ac:dyDescent="0.35">
      <c r="D87" s="74" t="s">
        <v>485</v>
      </c>
      <c r="E87" s="20" t="s">
        <v>38</v>
      </c>
      <c r="F87" s="545" t="s">
        <v>949</v>
      </c>
      <c r="G87" s="545" t="str">
        <f>+CONCATENATE(Doors[[#This Row],[Door Type ]],Doors[[#This Row],[Category]])</f>
        <v>Power Operated Sliding door - Single horizontal SlideFace Frame</v>
      </c>
      <c r="H87" s="19" t="s">
        <v>54</v>
      </c>
      <c r="I87" s="113" t="s">
        <v>356</v>
      </c>
    </row>
    <row r="88" spans="4:9" x14ac:dyDescent="0.35">
      <c r="D88" s="74" t="s">
        <v>485</v>
      </c>
      <c r="E88" s="20" t="s">
        <v>38</v>
      </c>
      <c r="F88" s="545" t="s">
        <v>949</v>
      </c>
      <c r="G88" s="545" t="str">
        <f>+CONCATENATE(Doors[[#This Row],[Door Type ]],Doors[[#This Row],[Category]])</f>
        <v>Power Operated Sliding door - Single horizontal SlideFace Frame</v>
      </c>
      <c r="H88" s="19" t="s">
        <v>54</v>
      </c>
      <c r="I88" s="113" t="s">
        <v>55</v>
      </c>
    </row>
    <row r="89" spans="4:9" x14ac:dyDescent="0.35">
      <c r="D89" s="74" t="s">
        <v>485</v>
      </c>
      <c r="E89" s="20" t="s">
        <v>38</v>
      </c>
      <c r="F89" s="545" t="s">
        <v>949</v>
      </c>
      <c r="G89" s="545" t="str">
        <f>+CONCATENATE(Doors[[#This Row],[Door Type ]],Doors[[#This Row],[Category]])</f>
        <v>Power Operated Sliding door - Single horizontal SlideFace Frame</v>
      </c>
      <c r="H89" s="19" t="s">
        <v>54</v>
      </c>
      <c r="I89" s="113" t="s">
        <v>357</v>
      </c>
    </row>
    <row r="90" spans="4:9" x14ac:dyDescent="0.35">
      <c r="D90" s="74" t="s">
        <v>485</v>
      </c>
      <c r="E90" s="20" t="s">
        <v>38</v>
      </c>
      <c r="F90" s="545" t="s">
        <v>949</v>
      </c>
      <c r="G90" s="545" t="str">
        <f>+CONCATENATE(Doors[[#This Row],[Door Type ]],Doors[[#This Row],[Category]])</f>
        <v>Power Operated Sliding door - Single horizontal SlideFace Frame</v>
      </c>
      <c r="H90" s="19" t="s">
        <v>54</v>
      </c>
      <c r="I90" s="113" t="s">
        <v>517</v>
      </c>
    </row>
    <row r="91" spans="4:9" x14ac:dyDescent="0.35">
      <c r="D91" s="74" t="s">
        <v>485</v>
      </c>
      <c r="E91" s="20" t="s">
        <v>38</v>
      </c>
      <c r="F91" s="545" t="s">
        <v>949</v>
      </c>
      <c r="G91" s="545" t="str">
        <f>+CONCATENATE(Doors[[#This Row],[Door Type ]],Doors[[#This Row],[Category]])</f>
        <v>Power Operated Sliding door - Single horizontal SlideInside Jamb</v>
      </c>
      <c r="H91" s="19" t="s">
        <v>58</v>
      </c>
      <c r="I91" s="113" t="s">
        <v>344</v>
      </c>
    </row>
    <row r="92" spans="4:9" x14ac:dyDescent="0.35">
      <c r="D92" s="74" t="s">
        <v>485</v>
      </c>
      <c r="E92" s="20" t="s">
        <v>38</v>
      </c>
      <c r="F92" s="545" t="s">
        <v>949</v>
      </c>
      <c r="G92" s="545" t="str">
        <f>+CONCATENATE(Doors[[#This Row],[Door Type ]],Doors[[#This Row],[Category]])</f>
        <v>Power Operated Sliding door - Single horizontal SlideInside Jamb</v>
      </c>
      <c r="H92" s="19" t="s">
        <v>58</v>
      </c>
      <c r="I92" s="113" t="s">
        <v>346</v>
      </c>
    </row>
    <row r="93" spans="4:9" x14ac:dyDescent="0.35">
      <c r="D93" s="74" t="s">
        <v>485</v>
      </c>
      <c r="E93" s="20" t="s">
        <v>38</v>
      </c>
      <c r="F93" s="545" t="s">
        <v>949</v>
      </c>
      <c r="G93" s="545" t="str">
        <f>+CONCATENATE(Doors[[#This Row],[Door Type ]],Doors[[#This Row],[Category]])</f>
        <v>Power Operated Sliding door - Single horizontal SlideInside Jamb</v>
      </c>
      <c r="H93" s="19" t="s">
        <v>58</v>
      </c>
      <c r="I93" s="113" t="s">
        <v>348</v>
      </c>
    </row>
    <row r="94" spans="4:9" x14ac:dyDescent="0.35">
      <c r="D94" s="74" t="s">
        <v>485</v>
      </c>
      <c r="E94" s="20" t="s">
        <v>38</v>
      </c>
      <c r="F94" s="545" t="s">
        <v>949</v>
      </c>
      <c r="G94" s="545" t="str">
        <f>+CONCATENATE(Doors[[#This Row],[Door Type ]],Doors[[#This Row],[Category]])</f>
        <v>Power Operated Sliding door - Single horizontal SlideInside Jamb</v>
      </c>
      <c r="H94" s="19" t="s">
        <v>58</v>
      </c>
      <c r="I94" s="113" t="s">
        <v>350</v>
      </c>
    </row>
    <row r="95" spans="4:9" x14ac:dyDescent="0.35">
      <c r="D95" s="74" t="s">
        <v>485</v>
      </c>
      <c r="E95" s="20" t="s">
        <v>38</v>
      </c>
      <c r="F95" s="545" t="s">
        <v>949</v>
      </c>
      <c r="G95" s="545" t="str">
        <f>+CONCATENATE(Doors[[#This Row],[Door Type ]],Doors[[#This Row],[Category]])</f>
        <v>Power Operated Sliding door - Single horizontal SlideInside Jamb</v>
      </c>
      <c r="H95" s="19" t="s">
        <v>58</v>
      </c>
      <c r="I95" s="113" t="s">
        <v>351</v>
      </c>
    </row>
    <row r="96" spans="4:9" x14ac:dyDescent="0.35">
      <c r="D96" s="74" t="s">
        <v>485</v>
      </c>
      <c r="E96" s="20" t="s">
        <v>38</v>
      </c>
      <c r="F96" s="545" t="s">
        <v>949</v>
      </c>
      <c r="G96" s="545" t="str">
        <f>+CONCATENATE(Doors[[#This Row],[Door Type ]],Doors[[#This Row],[Category]])</f>
        <v>Power Operated Sliding door - Single horizontal SlideInside Jamb</v>
      </c>
      <c r="H96" s="19" t="s">
        <v>58</v>
      </c>
      <c r="I96" s="113" t="s">
        <v>353</v>
      </c>
    </row>
    <row r="97" spans="4:9" x14ac:dyDescent="0.35">
      <c r="D97" s="74" t="s">
        <v>485</v>
      </c>
      <c r="E97" s="20" t="s">
        <v>38</v>
      </c>
      <c r="F97" s="545" t="s">
        <v>949</v>
      </c>
      <c r="G97" s="545" t="str">
        <f>+CONCATENATE(Doors[[#This Row],[Door Type ]],Doors[[#This Row],[Category]])</f>
        <v>Power Operated Sliding door - Single horizontal SlideInside Jamb</v>
      </c>
      <c r="H97" s="19" t="s">
        <v>58</v>
      </c>
      <c r="I97" s="113" t="s">
        <v>355</v>
      </c>
    </row>
    <row r="98" spans="4:9" x14ac:dyDescent="0.35">
      <c r="D98" s="74" t="s">
        <v>485</v>
      </c>
      <c r="E98" s="20" t="s">
        <v>38</v>
      </c>
      <c r="F98" s="545" t="s">
        <v>949</v>
      </c>
      <c r="G98" s="545" t="str">
        <f>+CONCATENATE(Doors[[#This Row],[Door Type ]],Doors[[#This Row],[Category]])</f>
        <v>Power Operated Sliding door - Single horizontal SlideInside Jamb</v>
      </c>
      <c r="H98" s="19" t="s">
        <v>58</v>
      </c>
      <c r="I98" s="113" t="s">
        <v>356</v>
      </c>
    </row>
    <row r="99" spans="4:9" x14ac:dyDescent="0.35">
      <c r="D99" s="74" t="s">
        <v>485</v>
      </c>
      <c r="E99" s="20" t="s">
        <v>38</v>
      </c>
      <c r="F99" s="545" t="s">
        <v>949</v>
      </c>
      <c r="G99" s="545" t="str">
        <f>+CONCATENATE(Doors[[#This Row],[Door Type ]],Doors[[#This Row],[Category]])</f>
        <v>Power Operated Sliding door - Single horizontal SlideInside Jamb</v>
      </c>
      <c r="H99" s="19" t="s">
        <v>58</v>
      </c>
      <c r="I99" s="113" t="s">
        <v>55</v>
      </c>
    </row>
    <row r="100" spans="4:9" x14ac:dyDescent="0.35">
      <c r="D100" s="74" t="s">
        <v>485</v>
      </c>
      <c r="E100" s="20" t="s">
        <v>38</v>
      </c>
      <c r="F100" s="545" t="s">
        <v>949</v>
      </c>
      <c r="G100" s="545" t="str">
        <f>+CONCATENATE(Doors[[#This Row],[Door Type ]],Doors[[#This Row],[Category]])</f>
        <v>Power Operated Sliding door - Single horizontal SlideInside Jamb</v>
      </c>
      <c r="H100" s="19" t="s">
        <v>58</v>
      </c>
      <c r="I100" s="113" t="s">
        <v>357</v>
      </c>
    </row>
    <row r="101" spans="4:9" x14ac:dyDescent="0.35">
      <c r="D101" s="74" t="s">
        <v>485</v>
      </c>
      <c r="E101" s="20" t="s">
        <v>38</v>
      </c>
      <c r="F101" s="545" t="s">
        <v>949</v>
      </c>
      <c r="G101" s="545" t="str">
        <f>+CONCATENATE(Doors[[#This Row],[Door Type ]],Doors[[#This Row],[Category]])</f>
        <v>Power Operated Sliding door - Single horizontal SlideInside Jamb</v>
      </c>
      <c r="H101" s="19" t="s">
        <v>58</v>
      </c>
      <c r="I101" s="113" t="s">
        <v>517</v>
      </c>
    </row>
    <row r="102" spans="4:9" x14ac:dyDescent="0.35">
      <c r="D102" s="74" t="s">
        <v>485</v>
      </c>
      <c r="E102" s="20" t="s">
        <v>38</v>
      </c>
      <c r="F102" s="545" t="s">
        <v>949</v>
      </c>
      <c r="G102" s="545" t="str">
        <f>+CONCATENATE(Doors[[#This Row],[Door Type ]],Doors[[#This Row],[Category]])</f>
        <v>Power Operated Sliding door - Single horizontal SlideBack Frame</v>
      </c>
      <c r="H102" s="19" t="s">
        <v>60</v>
      </c>
      <c r="I102" s="113" t="s">
        <v>344</v>
      </c>
    </row>
    <row r="103" spans="4:9" x14ac:dyDescent="0.35">
      <c r="D103" s="74" t="s">
        <v>485</v>
      </c>
      <c r="E103" s="20" t="s">
        <v>38</v>
      </c>
      <c r="F103" s="545" t="s">
        <v>949</v>
      </c>
      <c r="G103" s="545" t="str">
        <f>+CONCATENATE(Doors[[#This Row],[Door Type ]],Doors[[#This Row],[Category]])</f>
        <v>Power Operated Sliding door - Single horizontal SlideBack Frame</v>
      </c>
      <c r="H103" s="19" t="s">
        <v>60</v>
      </c>
      <c r="I103" s="113" t="s">
        <v>346</v>
      </c>
    </row>
    <row r="104" spans="4:9" x14ac:dyDescent="0.35">
      <c r="D104" s="74" t="s">
        <v>485</v>
      </c>
      <c r="E104" s="20" t="s">
        <v>38</v>
      </c>
      <c r="F104" s="545" t="s">
        <v>949</v>
      </c>
      <c r="G104" s="545" t="str">
        <f>+CONCATENATE(Doors[[#This Row],[Door Type ]],Doors[[#This Row],[Category]])</f>
        <v>Power Operated Sliding door - Single horizontal SlideBack Frame</v>
      </c>
      <c r="H104" s="19" t="s">
        <v>60</v>
      </c>
      <c r="I104" s="113" t="s">
        <v>348</v>
      </c>
    </row>
    <row r="105" spans="4:9" x14ac:dyDescent="0.35">
      <c r="D105" s="74" t="s">
        <v>485</v>
      </c>
      <c r="E105" s="20" t="s">
        <v>38</v>
      </c>
      <c r="F105" s="545" t="s">
        <v>949</v>
      </c>
      <c r="G105" s="545" t="str">
        <f>+CONCATENATE(Doors[[#This Row],[Door Type ]],Doors[[#This Row],[Category]])</f>
        <v>Power Operated Sliding door - Single horizontal SlideBack Frame</v>
      </c>
      <c r="H105" s="19" t="s">
        <v>60</v>
      </c>
      <c r="I105" s="113" t="s">
        <v>350</v>
      </c>
    </row>
    <row r="106" spans="4:9" x14ac:dyDescent="0.35">
      <c r="D106" s="74" t="s">
        <v>485</v>
      </c>
      <c r="E106" s="20" t="s">
        <v>38</v>
      </c>
      <c r="F106" s="545" t="s">
        <v>949</v>
      </c>
      <c r="G106" s="545" t="str">
        <f>+CONCATENATE(Doors[[#This Row],[Door Type ]],Doors[[#This Row],[Category]])</f>
        <v>Power Operated Sliding door - Single horizontal SlideBack Frame</v>
      </c>
      <c r="H106" s="19" t="s">
        <v>60</v>
      </c>
      <c r="I106" s="113" t="s">
        <v>351</v>
      </c>
    </row>
    <row r="107" spans="4:9" x14ac:dyDescent="0.35">
      <c r="D107" s="74" t="s">
        <v>485</v>
      </c>
      <c r="E107" s="20" t="s">
        <v>38</v>
      </c>
      <c r="F107" s="545" t="s">
        <v>949</v>
      </c>
      <c r="G107" s="545" t="str">
        <f>+CONCATENATE(Doors[[#This Row],[Door Type ]],Doors[[#This Row],[Category]])</f>
        <v>Power Operated Sliding door - Single horizontal SlideBack Frame</v>
      </c>
      <c r="H107" s="19" t="s">
        <v>60</v>
      </c>
      <c r="I107" s="113" t="s">
        <v>353</v>
      </c>
    </row>
    <row r="108" spans="4:9" x14ac:dyDescent="0.35">
      <c r="D108" s="74" t="s">
        <v>485</v>
      </c>
      <c r="E108" s="20" t="s">
        <v>38</v>
      </c>
      <c r="F108" s="545" t="s">
        <v>949</v>
      </c>
      <c r="G108" s="545" t="str">
        <f>+CONCATENATE(Doors[[#This Row],[Door Type ]],Doors[[#This Row],[Category]])</f>
        <v>Power Operated Sliding door - Single horizontal SlideBack Frame</v>
      </c>
      <c r="H108" s="19" t="s">
        <v>60</v>
      </c>
      <c r="I108" s="113" t="s">
        <v>355</v>
      </c>
    </row>
    <row r="109" spans="4:9" x14ac:dyDescent="0.35">
      <c r="D109" s="74" t="s">
        <v>485</v>
      </c>
      <c r="E109" s="20" t="s">
        <v>38</v>
      </c>
      <c r="F109" s="545" t="s">
        <v>949</v>
      </c>
      <c r="G109" s="545" t="str">
        <f>+CONCATENATE(Doors[[#This Row],[Door Type ]],Doors[[#This Row],[Category]])</f>
        <v>Power Operated Sliding door - Single horizontal SlideBack Frame</v>
      </c>
      <c r="H109" s="19" t="s">
        <v>60</v>
      </c>
      <c r="I109" s="113" t="s">
        <v>356</v>
      </c>
    </row>
    <row r="110" spans="4:9" x14ac:dyDescent="0.35">
      <c r="D110" s="74" t="s">
        <v>485</v>
      </c>
      <c r="E110" s="20" t="s">
        <v>38</v>
      </c>
      <c r="F110" s="545" t="s">
        <v>949</v>
      </c>
      <c r="G110" s="545" t="str">
        <f>+CONCATENATE(Doors[[#This Row],[Door Type ]],Doors[[#This Row],[Category]])</f>
        <v>Power Operated Sliding door - Single horizontal SlideBack Frame</v>
      </c>
      <c r="H110" s="19" t="s">
        <v>60</v>
      </c>
      <c r="I110" s="113" t="s">
        <v>55</v>
      </c>
    </row>
    <row r="111" spans="4:9" x14ac:dyDescent="0.35">
      <c r="D111" s="74" t="s">
        <v>485</v>
      </c>
      <c r="E111" s="20" t="s">
        <v>38</v>
      </c>
      <c r="F111" s="545" t="s">
        <v>949</v>
      </c>
      <c r="G111" s="545" t="str">
        <f>+CONCATENATE(Doors[[#This Row],[Door Type ]],Doors[[#This Row],[Category]])</f>
        <v>Power Operated Sliding door - Single horizontal SlideBack Frame</v>
      </c>
      <c r="H111" s="19" t="s">
        <v>60</v>
      </c>
      <c r="I111" s="113" t="s">
        <v>357</v>
      </c>
    </row>
    <row r="112" spans="4:9" x14ac:dyDescent="0.35">
      <c r="D112" s="74" t="s">
        <v>485</v>
      </c>
      <c r="E112" s="20" t="s">
        <v>38</v>
      </c>
      <c r="F112" s="545" t="s">
        <v>949</v>
      </c>
      <c r="G112" s="545" t="str">
        <f>+CONCATENATE(Doors[[#This Row],[Door Type ]],Doors[[#This Row],[Category]])</f>
        <v>Power Operated Sliding door - Single horizontal SlideBack Frame</v>
      </c>
      <c r="H112" s="19" t="s">
        <v>60</v>
      </c>
      <c r="I112" s="113" t="s">
        <v>517</v>
      </c>
    </row>
    <row r="113" spans="4:9" x14ac:dyDescent="0.35">
      <c r="D113" s="74" t="s">
        <v>485</v>
      </c>
      <c r="E113" s="20" t="s">
        <v>38</v>
      </c>
      <c r="F113" s="20" t="s">
        <v>950</v>
      </c>
      <c r="G113" s="20" t="str">
        <f>+CONCATENATE(Doors[[#This Row],[Door Type ]],Doors[[#This Row],[Category]])</f>
        <v>Power Operated Sliding door - Single horizontal SlideFreezer Door</v>
      </c>
      <c r="H113" s="19" t="s">
        <v>125</v>
      </c>
      <c r="I113" s="113" t="s">
        <v>951</v>
      </c>
    </row>
    <row r="114" spans="4:9" x14ac:dyDescent="0.35">
      <c r="D114" s="74" t="s">
        <v>485</v>
      </c>
      <c r="E114" s="20" t="s">
        <v>38</v>
      </c>
      <c r="F114" s="20" t="s">
        <v>950</v>
      </c>
      <c r="G114" s="20" t="str">
        <f>+CONCATENATE(Doors[[#This Row],[Door Type ]],Doors[[#This Row],[Category]])</f>
        <v>Power Operated Sliding door - Single horizontal SlideFreezer Door</v>
      </c>
      <c r="H114" s="19" t="s">
        <v>125</v>
      </c>
      <c r="I114" s="113" t="s">
        <v>63</v>
      </c>
    </row>
    <row r="115" spans="4:9" x14ac:dyDescent="0.35">
      <c r="D115" s="74" t="s">
        <v>485</v>
      </c>
      <c r="E115" s="20" t="s">
        <v>38</v>
      </c>
      <c r="F115" s="20" t="s">
        <v>950</v>
      </c>
      <c r="G115" s="20" t="str">
        <f>+CONCATENATE(Doors[[#This Row],[Door Type ]],Doors[[#This Row],[Category]])</f>
        <v>Power Operated Sliding door - Single horizontal SlideFreezer Door</v>
      </c>
      <c r="H115" s="19" t="s">
        <v>125</v>
      </c>
      <c r="I115" s="113" t="s">
        <v>952</v>
      </c>
    </row>
    <row r="116" spans="4:9" x14ac:dyDescent="0.35">
      <c r="D116" s="74" t="s">
        <v>485</v>
      </c>
      <c r="E116" s="20" t="s">
        <v>38</v>
      </c>
      <c r="F116" s="20" t="s">
        <v>950</v>
      </c>
      <c r="G116" s="20" t="str">
        <f>+CONCATENATE(Doors[[#This Row],[Door Type ]],Doors[[#This Row],[Category]])</f>
        <v>Power Operated Sliding door - Single horizontal SlideFreezer Door</v>
      </c>
      <c r="H116" s="19" t="s">
        <v>125</v>
      </c>
      <c r="I116" s="113" t="s">
        <v>953</v>
      </c>
    </row>
    <row r="117" spans="4:9" x14ac:dyDescent="0.35">
      <c r="D117" s="74" t="s">
        <v>485</v>
      </c>
      <c r="E117" s="20" t="s">
        <v>38</v>
      </c>
      <c r="F117" s="20" t="s">
        <v>950</v>
      </c>
      <c r="G117" s="20" t="str">
        <f>+CONCATENATE(Doors[[#This Row],[Door Type ]],Doors[[#This Row],[Category]])</f>
        <v>Power Operated Sliding door - Single horizontal SlideAdditional Heater Location</v>
      </c>
      <c r="H117" s="19" t="s">
        <v>132</v>
      </c>
      <c r="I117" s="113" t="s">
        <v>960</v>
      </c>
    </row>
    <row r="118" spans="4:9" x14ac:dyDescent="0.35">
      <c r="D118" s="74" t="s">
        <v>485</v>
      </c>
      <c r="E118" s="20" t="s">
        <v>38</v>
      </c>
      <c r="F118" s="20" t="s">
        <v>950</v>
      </c>
      <c r="G118" s="20" t="str">
        <f>+CONCATENATE(Doors[[#This Row],[Door Type ]],Doors[[#This Row],[Category]])</f>
        <v>Power Operated Sliding door - Single horizontal SlideAdditional Heater Location</v>
      </c>
      <c r="H118" s="19" t="s">
        <v>132</v>
      </c>
      <c r="I118" s="113" t="s">
        <v>961</v>
      </c>
    </row>
    <row r="119" spans="4:9" x14ac:dyDescent="0.35">
      <c r="D119" s="74" t="s">
        <v>485</v>
      </c>
      <c r="E119" s="20" t="s">
        <v>38</v>
      </c>
      <c r="F119" s="20" t="s">
        <v>950</v>
      </c>
      <c r="G119" s="20" t="str">
        <f>+CONCATENATE(Doors[[#This Row],[Door Type ]],Doors[[#This Row],[Category]])</f>
        <v>Power Operated Sliding door - Single horizontal SlideKick Plate Material</v>
      </c>
      <c r="H119" s="19" t="s">
        <v>126</v>
      </c>
      <c r="I119" s="113" t="s">
        <v>518</v>
      </c>
    </row>
    <row r="120" spans="4:9" x14ac:dyDescent="0.35">
      <c r="D120" s="74" t="s">
        <v>485</v>
      </c>
      <c r="E120" s="20" t="s">
        <v>38</v>
      </c>
      <c r="F120" s="20" t="s">
        <v>950</v>
      </c>
      <c r="G120" s="20" t="str">
        <f>+CONCATENATE(Doors[[#This Row],[Door Type ]],Doors[[#This Row],[Category]])</f>
        <v>Power Operated Sliding door - Single horizontal SlideKick Plate Material</v>
      </c>
      <c r="H120" s="19" t="s">
        <v>126</v>
      </c>
      <c r="I120" s="113" t="s">
        <v>595</v>
      </c>
    </row>
    <row r="121" spans="4:9" x14ac:dyDescent="0.35">
      <c r="D121" s="74" t="s">
        <v>485</v>
      </c>
      <c r="E121" s="20" t="s">
        <v>38</v>
      </c>
      <c r="F121" s="20" t="s">
        <v>950</v>
      </c>
      <c r="G121" s="20" t="str">
        <f>+CONCATENATE(Doors[[#This Row],[Door Type ]],Doors[[#This Row],[Category]])</f>
        <v>Power Operated Sliding door - Single horizontal SlideKick Plate Material</v>
      </c>
      <c r="H121" s="19" t="s">
        <v>126</v>
      </c>
      <c r="I121" s="113" t="s">
        <v>522</v>
      </c>
    </row>
    <row r="122" spans="4:9" x14ac:dyDescent="0.35">
      <c r="D122" s="74" t="s">
        <v>485</v>
      </c>
      <c r="E122" s="20" t="s">
        <v>38</v>
      </c>
      <c r="F122" s="20" t="s">
        <v>950</v>
      </c>
      <c r="G122" s="20" t="str">
        <f>+CONCATENATE(Doors[[#This Row],[Door Type ]],Doors[[#This Row],[Category]])</f>
        <v>Power Operated Sliding door - Single horizontal SlideKick Plate Material</v>
      </c>
      <c r="H122" s="19" t="s">
        <v>126</v>
      </c>
      <c r="I122" s="113" t="s">
        <v>954</v>
      </c>
    </row>
    <row r="123" spans="4:9" x14ac:dyDescent="0.35">
      <c r="D123" s="74" t="s">
        <v>485</v>
      </c>
      <c r="E123" s="20" t="s">
        <v>38</v>
      </c>
      <c r="F123" s="20" t="s">
        <v>950</v>
      </c>
      <c r="G123" s="20" t="str">
        <f>+CONCATENATE(Doors[[#This Row],[Door Type ]],Doors[[#This Row],[Category]])</f>
        <v>Power Operated Sliding door - Single horizontal SlideKick Plate Size</v>
      </c>
      <c r="H123" s="19" t="s">
        <v>127</v>
      </c>
      <c r="I123" s="113" t="s">
        <v>295</v>
      </c>
    </row>
    <row r="124" spans="4:9" x14ac:dyDescent="0.35">
      <c r="D124" s="74" t="s">
        <v>485</v>
      </c>
      <c r="E124" s="20" t="s">
        <v>38</v>
      </c>
      <c r="F124" s="20" t="s">
        <v>950</v>
      </c>
      <c r="G124" s="20" t="str">
        <f>+CONCATENATE(Doors[[#This Row],[Door Type ]],Doors[[#This Row],[Category]])</f>
        <v>Power Operated Sliding door - Single horizontal SlideKick Plate Size</v>
      </c>
      <c r="H124" s="19" t="s">
        <v>127</v>
      </c>
      <c r="I124" s="113" t="s">
        <v>303</v>
      </c>
    </row>
    <row r="125" spans="4:9" x14ac:dyDescent="0.35">
      <c r="D125" s="74" t="s">
        <v>485</v>
      </c>
      <c r="E125" s="20" t="s">
        <v>38</v>
      </c>
      <c r="F125" s="20" t="s">
        <v>950</v>
      </c>
      <c r="G125" s="20" t="str">
        <f>+CONCATENATE(Doors[[#This Row],[Door Type ]],Doors[[#This Row],[Category]])</f>
        <v>Power Operated Sliding door - Single horizontal SlideKick Plate Size</v>
      </c>
      <c r="H125" s="19" t="s">
        <v>127</v>
      </c>
      <c r="I125" s="113" t="s">
        <v>310</v>
      </c>
    </row>
    <row r="126" spans="4:9" x14ac:dyDescent="0.35">
      <c r="D126" s="74" t="s">
        <v>485</v>
      </c>
      <c r="E126" s="20" t="s">
        <v>38</v>
      </c>
      <c r="F126" s="20" t="s">
        <v>950</v>
      </c>
      <c r="G126" s="20" t="str">
        <f>+CONCATENATE(Doors[[#This Row],[Door Type ]],Doors[[#This Row],[Category]])</f>
        <v>Power Operated Sliding door - Single horizontal SlideKick Plate Size</v>
      </c>
      <c r="H126" s="19" t="s">
        <v>127</v>
      </c>
      <c r="I126" s="113" t="s">
        <v>318</v>
      </c>
    </row>
    <row r="127" spans="4:9" x14ac:dyDescent="0.35">
      <c r="D127" s="74" t="s">
        <v>485</v>
      </c>
      <c r="E127" s="20" t="s">
        <v>38</v>
      </c>
      <c r="F127" s="20" t="s">
        <v>950</v>
      </c>
      <c r="G127" s="20" t="str">
        <f>+CONCATENATE(Doors[[#This Row],[Door Type ]],Doors[[#This Row],[Category]])</f>
        <v>Power Operated Sliding door - Single horizontal SlideKick Plate Location</v>
      </c>
      <c r="H127" s="19" t="s">
        <v>128</v>
      </c>
      <c r="I127" s="113" t="s">
        <v>485</v>
      </c>
    </row>
    <row r="128" spans="4:9" x14ac:dyDescent="0.35">
      <c r="D128" s="74" t="s">
        <v>485</v>
      </c>
      <c r="E128" s="20" t="s">
        <v>38</v>
      </c>
      <c r="F128" s="20" t="s">
        <v>950</v>
      </c>
      <c r="G128" s="20" t="str">
        <f>+CONCATENATE(Doors[[#This Row],[Door Type ]],Doors[[#This Row],[Category]])</f>
        <v>Power Operated Sliding door - Single horizontal SlideKick Plate Location</v>
      </c>
      <c r="H128" s="19" t="s">
        <v>128</v>
      </c>
      <c r="I128" s="113" t="s">
        <v>955</v>
      </c>
    </row>
    <row r="129" spans="4:9" x14ac:dyDescent="0.35">
      <c r="D129" s="74" t="s">
        <v>485</v>
      </c>
      <c r="E129" s="20" t="s">
        <v>38</v>
      </c>
      <c r="F129" s="20" t="s">
        <v>950</v>
      </c>
      <c r="G129" s="20" t="str">
        <f>+CONCATENATE(Doors[[#This Row],[Door Type ]],Doors[[#This Row],[Category]])</f>
        <v>Power Operated Sliding door - Single horizontal SlideKick Plate Location</v>
      </c>
      <c r="H129" s="19" t="s">
        <v>128</v>
      </c>
      <c r="I129" s="113" t="s">
        <v>304</v>
      </c>
    </row>
    <row r="130" spans="4:9" x14ac:dyDescent="0.35">
      <c r="D130" s="74" t="s">
        <v>485</v>
      </c>
      <c r="E130" s="20" t="s">
        <v>38</v>
      </c>
      <c r="F130" s="20" t="s">
        <v>950</v>
      </c>
      <c r="G130" s="20" t="str">
        <f>+CONCATENATE(Doors[[#This Row],[Door Type ]],Doors[[#This Row],[Category]])</f>
        <v>Power Operated Sliding door - Single horizontal SlideKick Plate Location</v>
      </c>
      <c r="H130" s="19" t="s">
        <v>128</v>
      </c>
      <c r="I130" s="113" t="s">
        <v>40</v>
      </c>
    </row>
    <row r="131" spans="4:9" x14ac:dyDescent="0.35">
      <c r="D131" s="74" t="s">
        <v>485</v>
      </c>
      <c r="E131" s="20" t="s">
        <v>38</v>
      </c>
      <c r="F131" s="20" t="s">
        <v>950</v>
      </c>
      <c r="G131" s="20" t="str">
        <f>+CONCATENATE(Doors[[#This Row],[Door Type ]],Doors[[#This Row],[Category]])</f>
        <v>Power Operated Sliding door - Single horizontal SlideKick Plate Location</v>
      </c>
      <c r="H131" s="19" t="s">
        <v>128</v>
      </c>
      <c r="I131" s="113" t="s">
        <v>956</v>
      </c>
    </row>
    <row r="132" spans="4:9" x14ac:dyDescent="0.35">
      <c r="D132" s="74" t="s">
        <v>485</v>
      </c>
      <c r="E132" s="20" t="s">
        <v>38</v>
      </c>
      <c r="F132" s="20" t="s">
        <v>950</v>
      </c>
      <c r="G132" s="20" t="str">
        <f>+CONCATENATE(Doors[[#This Row],[Door Type ]],Doors[[#This Row],[Category]])</f>
        <v>Power Operated Sliding door - Single horizontal SlideViewPort Window Size</v>
      </c>
      <c r="H132" s="19" t="s">
        <v>129</v>
      </c>
      <c r="I132" s="113" t="s">
        <v>629</v>
      </c>
    </row>
    <row r="133" spans="4:9" x14ac:dyDescent="0.35">
      <c r="D133" s="74" t="s">
        <v>485</v>
      </c>
      <c r="E133" s="20" t="s">
        <v>38</v>
      </c>
      <c r="F133" s="20" t="s">
        <v>950</v>
      </c>
      <c r="G133" s="20" t="str">
        <f>+CONCATENATE(Doors[[#This Row],[Door Type ]],Doors[[#This Row],[Category]])</f>
        <v>Power Operated Sliding door - Single horizontal SlideViewPort Window Size</v>
      </c>
      <c r="H133" s="19" t="s">
        <v>129</v>
      </c>
      <c r="I133" s="113" t="s">
        <v>630</v>
      </c>
    </row>
    <row r="134" spans="4:9" x14ac:dyDescent="0.35">
      <c r="D134" s="74" t="s">
        <v>485</v>
      </c>
      <c r="E134" s="20" t="s">
        <v>38</v>
      </c>
      <c r="F134" s="20" t="s">
        <v>950</v>
      </c>
      <c r="G134" s="20" t="str">
        <f>+CONCATENATE(Doors[[#This Row],[Door Type ]],Doors[[#This Row],[Category]])</f>
        <v>Power Operated Sliding door - Single horizontal SlideViewPort Window Size</v>
      </c>
      <c r="H134" s="19" t="s">
        <v>129</v>
      </c>
      <c r="I134" s="113" t="s">
        <v>631</v>
      </c>
    </row>
    <row r="135" spans="4:9" x14ac:dyDescent="0.35">
      <c r="D135" s="74" t="s">
        <v>485</v>
      </c>
      <c r="E135" s="20" t="s">
        <v>38</v>
      </c>
      <c r="F135" s="20" t="s">
        <v>950</v>
      </c>
      <c r="G135" s="20" t="str">
        <f>+CONCATENATE(Doors[[#This Row],[Door Type ]],Doors[[#This Row],[Category]])</f>
        <v>Power Operated Sliding door - Single horizontal SlideViewPort Window Size</v>
      </c>
      <c r="H135" s="19" t="s">
        <v>129</v>
      </c>
      <c r="I135" s="113" t="s">
        <v>632</v>
      </c>
    </row>
    <row r="136" spans="4:9" x14ac:dyDescent="0.35">
      <c r="D136" s="74" t="s">
        <v>485</v>
      </c>
      <c r="E136" s="20" t="s">
        <v>38</v>
      </c>
      <c r="F136" s="20" t="s">
        <v>950</v>
      </c>
      <c r="G136" s="20" t="str">
        <f>+CONCATENATE(Doors[[#This Row],[Door Type ]],Doors[[#This Row],[Category]])</f>
        <v>Power Operated Sliding door - Single horizontal SlideViewPort Window Type</v>
      </c>
      <c r="H136" s="19" t="s">
        <v>130</v>
      </c>
      <c r="I136" s="113" t="s">
        <v>957</v>
      </c>
    </row>
    <row r="137" spans="4:9" x14ac:dyDescent="0.35">
      <c r="D137" s="74" t="s">
        <v>485</v>
      </c>
      <c r="E137" s="20" t="s">
        <v>38</v>
      </c>
      <c r="F137" s="20" t="s">
        <v>950</v>
      </c>
      <c r="G137" s="20" t="str">
        <f>+CONCATENATE(Doors[[#This Row],[Door Type ]],Doors[[#This Row],[Category]])</f>
        <v>Power Operated Sliding door - Single horizontal SlideViewPort Window Type</v>
      </c>
      <c r="H137" s="19" t="s">
        <v>130</v>
      </c>
      <c r="I137" s="113" t="s">
        <v>958</v>
      </c>
    </row>
    <row r="138" spans="4:9" x14ac:dyDescent="0.35">
      <c r="D138" s="74" t="s">
        <v>485</v>
      </c>
      <c r="E138" s="20" t="s">
        <v>38</v>
      </c>
      <c r="F138" s="20" t="s">
        <v>950</v>
      </c>
      <c r="G138" s="20" t="str">
        <f>+CONCATENATE(Doors[[#This Row],[Door Type ]],Doors[[#This Row],[Category]])</f>
        <v>Power Operated Sliding door - Single horizontal SlideMotion Sensor</v>
      </c>
      <c r="H138" s="19" t="s">
        <v>131</v>
      </c>
      <c r="I138" s="28" t="s">
        <v>635</v>
      </c>
    </row>
    <row r="139" spans="4:9" x14ac:dyDescent="0.35">
      <c r="D139" s="74" t="s">
        <v>485</v>
      </c>
      <c r="E139" s="20" t="s">
        <v>38</v>
      </c>
      <c r="F139" s="20" t="s">
        <v>950</v>
      </c>
      <c r="G139" s="20" t="str">
        <f>+CONCATENATE(Doors[[#This Row],[Door Type ]],Doors[[#This Row],[Category]])</f>
        <v>Power Operated Sliding door - Single horizontal SlideMotion Sensor</v>
      </c>
      <c r="H139" s="19" t="s">
        <v>131</v>
      </c>
      <c r="I139" s="28" t="s">
        <v>959</v>
      </c>
    </row>
    <row r="140" spans="4:9" x14ac:dyDescent="0.35">
      <c r="D140" s="74" t="s">
        <v>485</v>
      </c>
      <c r="E140" s="20" t="s">
        <v>38</v>
      </c>
      <c r="F140" s="20" t="s">
        <v>950</v>
      </c>
      <c r="G140" s="20" t="str">
        <f>+CONCATENATE(Doors[[#This Row],[Door Type ]],Doors[[#This Row],[Category]])</f>
        <v>Power Operated Sliding door - Single horizontal SlideTamper Proof Hardware</v>
      </c>
      <c r="H140" s="19" t="s">
        <v>489</v>
      </c>
      <c r="I140" s="113" t="s">
        <v>489</v>
      </c>
    </row>
    <row r="141" spans="4:9" x14ac:dyDescent="0.35">
      <c r="D141" s="74" t="s">
        <v>485</v>
      </c>
      <c r="E141" s="20" t="s">
        <v>942</v>
      </c>
      <c r="F141" s="545" t="s">
        <v>949</v>
      </c>
      <c r="G141" s="545" t="str">
        <f>+CONCATENATE(Doors[[#This Row],[Door Type ]],Doors[[#This Row],[Category]])</f>
        <v>Overlap Doors - Swing doorDoor Panel</v>
      </c>
      <c r="H141" s="19" t="s">
        <v>50</v>
      </c>
      <c r="I141" s="113" t="s">
        <v>51</v>
      </c>
    </row>
    <row r="142" spans="4:9" x14ac:dyDescent="0.35">
      <c r="D142" s="74" t="s">
        <v>485</v>
      </c>
      <c r="E142" s="20" t="s">
        <v>942</v>
      </c>
      <c r="F142" s="545" t="s">
        <v>949</v>
      </c>
      <c r="G142" s="545" t="str">
        <f>+CONCATENATE(Doors[[#This Row],[Door Type ]],Doors[[#This Row],[Category]])</f>
        <v>Overlap Doors - Swing doorDoor Panel</v>
      </c>
      <c r="H142" s="19" t="s">
        <v>50</v>
      </c>
      <c r="I142" s="113" t="s">
        <v>370</v>
      </c>
    </row>
    <row r="143" spans="4:9" x14ac:dyDescent="0.35">
      <c r="D143" s="74" t="s">
        <v>485</v>
      </c>
      <c r="E143" s="20" t="s">
        <v>942</v>
      </c>
      <c r="F143" s="545" t="s">
        <v>949</v>
      </c>
      <c r="G143" s="545" t="str">
        <f>+CONCATENATE(Doors[[#This Row],[Door Type ]],Doors[[#This Row],[Category]])</f>
        <v>Overlap Doors - Swing doorDoor Panel</v>
      </c>
      <c r="H143" s="19" t="s">
        <v>50</v>
      </c>
      <c r="I143" s="113" t="s">
        <v>516</v>
      </c>
    </row>
    <row r="144" spans="4:9" x14ac:dyDescent="0.35">
      <c r="D144" s="74" t="s">
        <v>485</v>
      </c>
      <c r="E144" s="20" t="s">
        <v>942</v>
      </c>
      <c r="F144" s="545" t="s">
        <v>949</v>
      </c>
      <c r="G144" s="545" t="str">
        <f>+CONCATENATE(Doors[[#This Row],[Door Type ]],Doors[[#This Row],[Category]])</f>
        <v>Overlap Doors - Swing doorDoor Panel</v>
      </c>
      <c r="H144" s="19" t="s">
        <v>50</v>
      </c>
      <c r="I144" s="113" t="s">
        <v>517</v>
      </c>
    </row>
    <row r="145" spans="4:9" x14ac:dyDescent="0.35">
      <c r="D145" s="74" t="s">
        <v>485</v>
      </c>
      <c r="E145" s="20" t="s">
        <v>942</v>
      </c>
      <c r="F145" s="545" t="s">
        <v>949</v>
      </c>
      <c r="G145" s="545" t="str">
        <f>+CONCATENATE(Doors[[#This Row],[Door Type ]],Doors[[#This Row],[Category]])</f>
        <v>Overlap Doors - Swing doorFace Frame</v>
      </c>
      <c r="H145" s="19" t="s">
        <v>54</v>
      </c>
      <c r="I145" s="113" t="s">
        <v>344</v>
      </c>
    </row>
    <row r="146" spans="4:9" x14ac:dyDescent="0.35">
      <c r="D146" s="74" t="s">
        <v>485</v>
      </c>
      <c r="E146" s="20" t="s">
        <v>942</v>
      </c>
      <c r="F146" s="545" t="s">
        <v>949</v>
      </c>
      <c r="G146" s="545" t="str">
        <f>+CONCATENATE(Doors[[#This Row],[Door Type ]],Doors[[#This Row],[Category]])</f>
        <v>Overlap Doors - Swing doorFace Frame</v>
      </c>
      <c r="H146" s="19" t="s">
        <v>54</v>
      </c>
      <c r="I146" s="113" t="s">
        <v>346</v>
      </c>
    </row>
    <row r="147" spans="4:9" x14ac:dyDescent="0.35">
      <c r="D147" s="74" t="s">
        <v>485</v>
      </c>
      <c r="E147" s="20" t="s">
        <v>942</v>
      </c>
      <c r="F147" s="545" t="s">
        <v>949</v>
      </c>
      <c r="G147" s="545" t="str">
        <f>+CONCATENATE(Doors[[#This Row],[Door Type ]],Doors[[#This Row],[Category]])</f>
        <v>Overlap Doors - Swing doorFace Frame</v>
      </c>
      <c r="H147" s="19" t="s">
        <v>54</v>
      </c>
      <c r="I147" s="113" t="s">
        <v>348</v>
      </c>
    </row>
    <row r="148" spans="4:9" x14ac:dyDescent="0.35">
      <c r="D148" s="74" t="s">
        <v>485</v>
      </c>
      <c r="E148" s="20" t="s">
        <v>942</v>
      </c>
      <c r="F148" s="545" t="s">
        <v>949</v>
      </c>
      <c r="G148" s="545" t="str">
        <f>+CONCATENATE(Doors[[#This Row],[Door Type ]],Doors[[#This Row],[Category]])</f>
        <v>Overlap Doors - Swing doorFace Frame</v>
      </c>
      <c r="H148" s="19" t="s">
        <v>54</v>
      </c>
      <c r="I148" s="113" t="s">
        <v>350</v>
      </c>
    </row>
    <row r="149" spans="4:9" x14ac:dyDescent="0.35">
      <c r="D149" s="74" t="s">
        <v>485</v>
      </c>
      <c r="E149" s="20" t="s">
        <v>942</v>
      </c>
      <c r="F149" s="545" t="s">
        <v>949</v>
      </c>
      <c r="G149" s="545" t="str">
        <f>+CONCATENATE(Doors[[#This Row],[Door Type ]],Doors[[#This Row],[Category]])</f>
        <v>Overlap Doors - Swing doorFace Frame</v>
      </c>
      <c r="H149" s="19" t="s">
        <v>54</v>
      </c>
      <c r="I149" s="113" t="s">
        <v>351</v>
      </c>
    </row>
    <row r="150" spans="4:9" x14ac:dyDescent="0.35">
      <c r="D150" s="74" t="s">
        <v>485</v>
      </c>
      <c r="E150" s="20" t="s">
        <v>942</v>
      </c>
      <c r="F150" s="545" t="s">
        <v>949</v>
      </c>
      <c r="G150" s="545" t="str">
        <f>+CONCATENATE(Doors[[#This Row],[Door Type ]],Doors[[#This Row],[Category]])</f>
        <v>Overlap Doors - Swing doorFace Frame</v>
      </c>
      <c r="H150" s="19" t="s">
        <v>54</v>
      </c>
      <c r="I150" s="113" t="s">
        <v>353</v>
      </c>
    </row>
    <row r="151" spans="4:9" x14ac:dyDescent="0.35">
      <c r="D151" s="74" t="s">
        <v>485</v>
      </c>
      <c r="E151" s="20" t="s">
        <v>942</v>
      </c>
      <c r="F151" s="545" t="s">
        <v>949</v>
      </c>
      <c r="G151" s="545" t="str">
        <f>+CONCATENATE(Doors[[#This Row],[Door Type ]],Doors[[#This Row],[Category]])</f>
        <v>Overlap Doors - Swing doorFace Frame</v>
      </c>
      <c r="H151" s="19" t="s">
        <v>54</v>
      </c>
      <c r="I151" s="113" t="s">
        <v>355</v>
      </c>
    </row>
    <row r="152" spans="4:9" x14ac:dyDescent="0.35">
      <c r="D152" s="74" t="s">
        <v>485</v>
      </c>
      <c r="E152" s="20" t="s">
        <v>942</v>
      </c>
      <c r="F152" s="545" t="s">
        <v>949</v>
      </c>
      <c r="G152" s="545" t="str">
        <f>+CONCATENATE(Doors[[#This Row],[Door Type ]],Doors[[#This Row],[Category]])</f>
        <v>Overlap Doors - Swing doorFace Frame</v>
      </c>
      <c r="H152" s="19" t="s">
        <v>54</v>
      </c>
      <c r="I152" s="113" t="s">
        <v>356</v>
      </c>
    </row>
    <row r="153" spans="4:9" x14ac:dyDescent="0.35">
      <c r="D153" s="74" t="s">
        <v>485</v>
      </c>
      <c r="E153" s="20" t="s">
        <v>942</v>
      </c>
      <c r="F153" s="545" t="s">
        <v>949</v>
      </c>
      <c r="G153" s="545" t="str">
        <f>+CONCATENATE(Doors[[#This Row],[Door Type ]],Doors[[#This Row],[Category]])</f>
        <v>Overlap Doors - Swing doorFace Frame</v>
      </c>
      <c r="H153" s="19" t="s">
        <v>54</v>
      </c>
      <c r="I153" s="113" t="s">
        <v>55</v>
      </c>
    </row>
    <row r="154" spans="4:9" x14ac:dyDescent="0.35">
      <c r="D154" s="74" t="s">
        <v>485</v>
      </c>
      <c r="E154" s="20" t="s">
        <v>942</v>
      </c>
      <c r="F154" s="545" t="s">
        <v>949</v>
      </c>
      <c r="G154" s="545" t="str">
        <f>+CONCATENATE(Doors[[#This Row],[Door Type ]],Doors[[#This Row],[Category]])</f>
        <v>Overlap Doors - Swing doorFace Frame</v>
      </c>
      <c r="H154" s="19" t="s">
        <v>54</v>
      </c>
      <c r="I154" s="113" t="s">
        <v>357</v>
      </c>
    </row>
    <row r="155" spans="4:9" x14ac:dyDescent="0.35">
      <c r="D155" s="74" t="s">
        <v>485</v>
      </c>
      <c r="E155" s="20" t="s">
        <v>942</v>
      </c>
      <c r="F155" s="545" t="s">
        <v>949</v>
      </c>
      <c r="G155" s="545" t="str">
        <f>+CONCATENATE(Doors[[#This Row],[Door Type ]],Doors[[#This Row],[Category]])</f>
        <v>Overlap Doors - Swing doorFace Frame</v>
      </c>
      <c r="H155" s="19" t="s">
        <v>54</v>
      </c>
      <c r="I155" s="113" t="s">
        <v>517</v>
      </c>
    </row>
    <row r="156" spans="4:9" x14ac:dyDescent="0.35">
      <c r="D156" s="74" t="s">
        <v>485</v>
      </c>
      <c r="E156" s="20" t="s">
        <v>942</v>
      </c>
      <c r="F156" s="545" t="s">
        <v>949</v>
      </c>
      <c r="G156" s="545" t="str">
        <f>+CONCATENATE(Doors[[#This Row],[Door Type ]],Doors[[#This Row],[Category]])</f>
        <v>Overlap Doors - Swing doorHinge</v>
      </c>
      <c r="H156" s="19" t="s">
        <v>146</v>
      </c>
      <c r="I156" s="113" t="s">
        <v>547</v>
      </c>
    </row>
    <row r="157" spans="4:9" x14ac:dyDescent="0.35">
      <c r="D157" s="74" t="s">
        <v>485</v>
      </c>
      <c r="E157" s="20" t="s">
        <v>942</v>
      </c>
      <c r="F157" s="545" t="s">
        <v>949</v>
      </c>
      <c r="G157" s="545" t="str">
        <f>+CONCATENATE(Doors[[#This Row],[Door Type ]],Doors[[#This Row],[Category]])</f>
        <v>Overlap Doors - Swing doorHinge</v>
      </c>
      <c r="H157" s="19" t="s">
        <v>146</v>
      </c>
      <c r="I157" s="113" t="s">
        <v>186</v>
      </c>
    </row>
    <row r="158" spans="4:9" x14ac:dyDescent="0.35">
      <c r="D158" s="74" t="s">
        <v>485</v>
      </c>
      <c r="E158" s="20" t="s">
        <v>942</v>
      </c>
      <c r="F158" s="545" t="s">
        <v>949</v>
      </c>
      <c r="G158" s="545" t="str">
        <f>+CONCATENATE(Doors[[#This Row],[Door Type ]],Doors[[#This Row],[Category]])</f>
        <v>Overlap Doors - Swing doorHinge</v>
      </c>
      <c r="H158" s="19" t="s">
        <v>146</v>
      </c>
      <c r="I158" s="113" t="s">
        <v>640</v>
      </c>
    </row>
    <row r="159" spans="4:9" x14ac:dyDescent="0.35">
      <c r="D159" s="74" t="s">
        <v>485</v>
      </c>
      <c r="E159" s="20" t="s">
        <v>942</v>
      </c>
      <c r="F159" s="545" t="s">
        <v>949</v>
      </c>
      <c r="G159" s="545" t="str">
        <f>+CONCATENATE(Doors[[#This Row],[Door Type ]],Doors[[#This Row],[Category]])</f>
        <v>Overlap Doors - Swing doorHinge</v>
      </c>
      <c r="H159" s="19" t="s">
        <v>146</v>
      </c>
      <c r="I159" s="113" t="s">
        <v>641</v>
      </c>
    </row>
    <row r="160" spans="4:9" x14ac:dyDescent="0.35">
      <c r="D160" s="74" t="s">
        <v>485</v>
      </c>
      <c r="E160" s="20" t="s">
        <v>942</v>
      </c>
      <c r="F160" s="545" t="s">
        <v>949</v>
      </c>
      <c r="G160" s="545" t="str">
        <f>+CONCATENATE(Doors[[#This Row],[Door Type ]],Doors[[#This Row],[Category]])</f>
        <v>Overlap Doors - Swing doorHinge</v>
      </c>
      <c r="H160" s="19" t="s">
        <v>146</v>
      </c>
      <c r="I160" s="113" t="s">
        <v>642</v>
      </c>
    </row>
    <row r="161" spans="4:9" x14ac:dyDescent="0.35">
      <c r="D161" s="74" t="s">
        <v>485</v>
      </c>
      <c r="E161" s="20" t="s">
        <v>942</v>
      </c>
      <c r="F161" s="545" t="s">
        <v>949</v>
      </c>
      <c r="G161" s="545" t="str">
        <f>+CONCATENATE(Doors[[#This Row],[Door Type ]],Doors[[#This Row],[Category]])</f>
        <v>Overlap Doors - Swing doorHinge</v>
      </c>
      <c r="H161" s="19" t="s">
        <v>146</v>
      </c>
      <c r="I161" s="113" t="s">
        <v>643</v>
      </c>
    </row>
    <row r="162" spans="4:9" x14ac:dyDescent="0.35">
      <c r="D162" s="74" t="s">
        <v>485</v>
      </c>
      <c r="E162" s="20" t="s">
        <v>942</v>
      </c>
      <c r="F162" s="545" t="s">
        <v>949</v>
      </c>
      <c r="G162" s="545" t="str">
        <f>+CONCATENATE(Doors[[#This Row],[Door Type ]],Doors[[#This Row],[Category]])</f>
        <v>Overlap Doors - Swing doorHinge</v>
      </c>
      <c r="H162" s="19" t="s">
        <v>146</v>
      </c>
      <c r="I162" s="113" t="s">
        <v>644</v>
      </c>
    </row>
    <row r="163" spans="4:9" x14ac:dyDescent="0.35">
      <c r="D163" s="74" t="s">
        <v>485</v>
      </c>
      <c r="E163" s="20" t="s">
        <v>942</v>
      </c>
      <c r="F163" s="545" t="s">
        <v>949</v>
      </c>
      <c r="G163" s="545" t="str">
        <f>+CONCATENATE(Doors[[#This Row],[Door Type ]],Doors[[#This Row],[Category]])</f>
        <v>Overlap Doors - Swing doorHinge</v>
      </c>
      <c r="H163" s="19" t="s">
        <v>146</v>
      </c>
      <c r="I163" s="113" t="s">
        <v>517</v>
      </c>
    </row>
    <row r="164" spans="4:9" x14ac:dyDescent="0.35">
      <c r="D164" s="74" t="s">
        <v>485</v>
      </c>
      <c r="E164" s="20" t="s">
        <v>942</v>
      </c>
      <c r="F164" s="545" t="s">
        <v>949</v>
      </c>
      <c r="G164" s="545" t="str">
        <f>+CONCATENATE(Doors[[#This Row],[Door Type ]],Doors[[#This Row],[Category]])</f>
        <v>Overlap Doors - Swing doorLatch</v>
      </c>
      <c r="H164" s="19" t="s">
        <v>150</v>
      </c>
      <c r="I164" s="113" t="s">
        <v>585</v>
      </c>
    </row>
    <row r="165" spans="4:9" x14ac:dyDescent="0.35">
      <c r="D165" s="74" t="s">
        <v>485</v>
      </c>
      <c r="E165" s="20" t="s">
        <v>942</v>
      </c>
      <c r="F165" s="545" t="s">
        <v>949</v>
      </c>
      <c r="G165" s="545" t="str">
        <f>+CONCATENATE(Doors[[#This Row],[Door Type ]],Doors[[#This Row],[Category]])</f>
        <v>Overlap Doors - Swing doorLatch</v>
      </c>
      <c r="H165" s="19" t="s">
        <v>150</v>
      </c>
      <c r="I165" s="113" t="s">
        <v>645</v>
      </c>
    </row>
    <row r="166" spans="4:9" x14ac:dyDescent="0.35">
      <c r="D166" s="74" t="s">
        <v>485</v>
      </c>
      <c r="E166" s="20" t="s">
        <v>942</v>
      </c>
      <c r="F166" s="545" t="s">
        <v>949</v>
      </c>
      <c r="G166" s="545" t="str">
        <f>+CONCATENATE(Doors[[#This Row],[Door Type ]],Doors[[#This Row],[Category]])</f>
        <v>Overlap Doors - Swing doorLatch</v>
      </c>
      <c r="H166" s="19" t="s">
        <v>150</v>
      </c>
      <c r="I166" s="113" t="s">
        <v>962</v>
      </c>
    </row>
    <row r="167" spans="4:9" x14ac:dyDescent="0.35">
      <c r="D167" s="74" t="s">
        <v>485</v>
      </c>
      <c r="E167" s="20" t="s">
        <v>942</v>
      </c>
      <c r="F167" s="545" t="s">
        <v>949</v>
      </c>
      <c r="G167" s="545" t="str">
        <f>+CONCATENATE(Doors[[#This Row],[Door Type ]],Doors[[#This Row],[Category]])</f>
        <v>Overlap Doors - Swing doorLatch</v>
      </c>
      <c r="H167" s="19" t="s">
        <v>150</v>
      </c>
      <c r="I167" s="28" t="s">
        <v>187</v>
      </c>
    </row>
    <row r="168" spans="4:9" x14ac:dyDescent="0.35">
      <c r="D168" s="74" t="s">
        <v>485</v>
      </c>
      <c r="E168" s="20" t="s">
        <v>942</v>
      </c>
      <c r="F168" s="545" t="s">
        <v>949</v>
      </c>
      <c r="G168" s="545" t="str">
        <f>+CONCATENATE(Doors[[#This Row],[Door Type ]],Doors[[#This Row],[Category]])</f>
        <v>Overlap Doors - Swing doorLatch</v>
      </c>
      <c r="H168" s="19" t="s">
        <v>150</v>
      </c>
      <c r="I168" s="28" t="s">
        <v>539</v>
      </c>
    </row>
    <row r="169" spans="4:9" x14ac:dyDescent="0.35">
      <c r="D169" s="74" t="s">
        <v>485</v>
      </c>
      <c r="E169" s="20" t="s">
        <v>942</v>
      </c>
      <c r="F169" s="545" t="s">
        <v>949</v>
      </c>
      <c r="G169" s="545" t="str">
        <f>+CONCATENATE(Doors[[#This Row],[Door Type ]],Doors[[#This Row],[Category]])</f>
        <v>Overlap Doors - Swing doorLatch</v>
      </c>
      <c r="H169" s="19" t="s">
        <v>150</v>
      </c>
      <c r="I169" s="28" t="s">
        <v>649</v>
      </c>
    </row>
    <row r="170" spans="4:9" x14ac:dyDescent="0.35">
      <c r="D170" s="74" t="s">
        <v>485</v>
      </c>
      <c r="E170" s="20" t="s">
        <v>942</v>
      </c>
      <c r="F170" s="545" t="s">
        <v>949</v>
      </c>
      <c r="G170" s="545" t="str">
        <f>+CONCATENATE(Doors[[#This Row],[Door Type ]],Doors[[#This Row],[Category]])</f>
        <v>Overlap Doors - Swing doorLatch</v>
      </c>
      <c r="H170" s="19" t="s">
        <v>150</v>
      </c>
      <c r="I170" s="113" t="s">
        <v>517</v>
      </c>
    </row>
    <row r="171" spans="4:9" x14ac:dyDescent="0.35">
      <c r="D171" s="74" t="s">
        <v>485</v>
      </c>
      <c r="E171" s="20" t="s">
        <v>942</v>
      </c>
      <c r="F171" s="545" t="s">
        <v>949</v>
      </c>
      <c r="G171" s="545" t="str">
        <f>+CONCATENATE(Doors[[#This Row],[Door Type ]],Doors[[#This Row],[Category]])</f>
        <v xml:space="preserve">Overlap Doors - Swing doorInterior Release </v>
      </c>
      <c r="H171" s="19" t="s">
        <v>153</v>
      </c>
      <c r="I171" s="113" t="s">
        <v>188</v>
      </c>
    </row>
    <row r="172" spans="4:9" x14ac:dyDescent="0.35">
      <c r="D172" s="74" t="s">
        <v>485</v>
      </c>
      <c r="E172" s="20" t="s">
        <v>942</v>
      </c>
      <c r="F172" s="545" t="s">
        <v>949</v>
      </c>
      <c r="G172" s="545" t="str">
        <f>+CONCATENATE(Doors[[#This Row],[Door Type ]],Doors[[#This Row],[Category]])</f>
        <v xml:space="preserve">Overlap Doors - Swing doorInterior Release </v>
      </c>
      <c r="H172" s="19" t="s">
        <v>153</v>
      </c>
      <c r="I172" s="113" t="s">
        <v>652</v>
      </c>
    </row>
    <row r="173" spans="4:9" x14ac:dyDescent="0.35">
      <c r="D173" s="74" t="s">
        <v>485</v>
      </c>
      <c r="E173" s="20" t="s">
        <v>942</v>
      </c>
      <c r="F173" s="545" t="s">
        <v>949</v>
      </c>
      <c r="G173" s="545" t="str">
        <f>+CONCATENATE(Doors[[#This Row],[Door Type ]],Doors[[#This Row],[Category]])</f>
        <v xml:space="preserve">Overlap Doors - Swing doorInterior Release </v>
      </c>
      <c r="H173" s="19" t="s">
        <v>153</v>
      </c>
      <c r="I173" s="113" t="s">
        <v>653</v>
      </c>
    </row>
    <row r="174" spans="4:9" x14ac:dyDescent="0.35">
      <c r="D174" s="74" t="s">
        <v>485</v>
      </c>
      <c r="E174" s="20" t="s">
        <v>942</v>
      </c>
      <c r="F174" s="545" t="s">
        <v>949</v>
      </c>
      <c r="G174" s="545" t="str">
        <f>+CONCATENATE(Doors[[#This Row],[Door Type ]],Doors[[#This Row],[Category]])</f>
        <v xml:space="preserve">Overlap Doors - Swing doorInterior Release </v>
      </c>
      <c r="H174" s="19" t="s">
        <v>153</v>
      </c>
      <c r="I174" s="113" t="s">
        <v>654</v>
      </c>
    </row>
    <row r="175" spans="4:9" x14ac:dyDescent="0.35">
      <c r="D175" s="74" t="s">
        <v>485</v>
      </c>
      <c r="E175" s="20" t="s">
        <v>942</v>
      </c>
      <c r="F175" s="545" t="s">
        <v>949</v>
      </c>
      <c r="G175" s="545" t="str">
        <f>+CONCATENATE(Doors[[#This Row],[Door Type ]],Doors[[#This Row],[Category]])</f>
        <v xml:space="preserve">Overlap Doors - Swing doorInterior Release </v>
      </c>
      <c r="H175" s="19" t="s">
        <v>153</v>
      </c>
      <c r="I175" s="113" t="s">
        <v>655</v>
      </c>
    </row>
    <row r="176" spans="4:9" x14ac:dyDescent="0.35">
      <c r="D176" s="74" t="s">
        <v>485</v>
      </c>
      <c r="E176" s="20" t="s">
        <v>942</v>
      </c>
      <c r="F176" s="545" t="s">
        <v>949</v>
      </c>
      <c r="G176" s="545" t="str">
        <f>+CONCATENATE(Doors[[#This Row],[Door Type ]],Doors[[#This Row],[Category]])</f>
        <v xml:space="preserve">Overlap Doors - Swing doorInterior Release </v>
      </c>
      <c r="H176" s="19" t="s">
        <v>153</v>
      </c>
      <c r="I176" s="113" t="s">
        <v>656</v>
      </c>
    </row>
    <row r="177" spans="4:9" x14ac:dyDescent="0.35">
      <c r="D177" s="74" t="s">
        <v>485</v>
      </c>
      <c r="E177" s="20" t="s">
        <v>942</v>
      </c>
      <c r="F177" s="545" t="s">
        <v>949</v>
      </c>
      <c r="G177" s="545" t="str">
        <f>+CONCATENATE(Doors[[#This Row],[Door Type ]],Doors[[#This Row],[Category]])</f>
        <v xml:space="preserve">Overlap Doors - Swing doorInterior Release </v>
      </c>
      <c r="H177" s="19" t="s">
        <v>153</v>
      </c>
      <c r="I177" s="113" t="s">
        <v>954</v>
      </c>
    </row>
    <row r="178" spans="4:9" x14ac:dyDescent="0.35">
      <c r="D178" s="74" t="s">
        <v>485</v>
      </c>
      <c r="E178" s="20" t="s">
        <v>942</v>
      </c>
      <c r="F178" s="20" t="s">
        <v>950</v>
      </c>
      <c r="G178" s="20" t="str">
        <f>+CONCATENATE(Doors[[#This Row],[Door Type ]],Doors[[#This Row],[Category]])</f>
        <v>Overlap Doors - Swing doorInside Jamb</v>
      </c>
      <c r="H178" s="19" t="s">
        <v>58</v>
      </c>
      <c r="I178" s="113" t="s">
        <v>344</v>
      </c>
    </row>
    <row r="179" spans="4:9" x14ac:dyDescent="0.35">
      <c r="D179" s="74" t="s">
        <v>485</v>
      </c>
      <c r="E179" s="20" t="s">
        <v>942</v>
      </c>
      <c r="F179" s="20" t="s">
        <v>950</v>
      </c>
      <c r="G179" s="20" t="str">
        <f>+CONCATENATE(Doors[[#This Row],[Door Type ]],Doors[[#This Row],[Category]])</f>
        <v>Overlap Doors - Swing doorInside Jamb</v>
      </c>
      <c r="H179" s="19" t="s">
        <v>58</v>
      </c>
      <c r="I179" s="113" t="s">
        <v>346</v>
      </c>
    </row>
    <row r="180" spans="4:9" x14ac:dyDescent="0.35">
      <c r="D180" s="74" t="s">
        <v>485</v>
      </c>
      <c r="E180" s="20" t="s">
        <v>942</v>
      </c>
      <c r="F180" s="20" t="s">
        <v>950</v>
      </c>
      <c r="G180" s="20" t="str">
        <f>+CONCATENATE(Doors[[#This Row],[Door Type ]],Doors[[#This Row],[Category]])</f>
        <v>Overlap Doors - Swing doorInside Jamb</v>
      </c>
      <c r="H180" s="19" t="s">
        <v>58</v>
      </c>
      <c r="I180" s="113" t="s">
        <v>348</v>
      </c>
    </row>
    <row r="181" spans="4:9" x14ac:dyDescent="0.35">
      <c r="D181" s="74" t="s">
        <v>485</v>
      </c>
      <c r="E181" s="20" t="s">
        <v>942</v>
      </c>
      <c r="F181" s="20" t="s">
        <v>950</v>
      </c>
      <c r="G181" s="20" t="str">
        <f>+CONCATENATE(Doors[[#This Row],[Door Type ]],Doors[[#This Row],[Category]])</f>
        <v>Overlap Doors - Swing doorInside Jamb</v>
      </c>
      <c r="H181" s="19" t="s">
        <v>58</v>
      </c>
      <c r="I181" s="113" t="s">
        <v>350</v>
      </c>
    </row>
    <row r="182" spans="4:9" x14ac:dyDescent="0.35">
      <c r="D182" s="74" t="s">
        <v>485</v>
      </c>
      <c r="E182" s="20" t="s">
        <v>942</v>
      </c>
      <c r="F182" s="20" t="s">
        <v>950</v>
      </c>
      <c r="G182" s="20" t="str">
        <f>+CONCATENATE(Doors[[#This Row],[Door Type ]],Doors[[#This Row],[Category]])</f>
        <v>Overlap Doors - Swing doorInside Jamb</v>
      </c>
      <c r="H182" s="19" t="s">
        <v>58</v>
      </c>
      <c r="I182" s="113" t="s">
        <v>351</v>
      </c>
    </row>
    <row r="183" spans="4:9" x14ac:dyDescent="0.35">
      <c r="D183" s="74" t="s">
        <v>485</v>
      </c>
      <c r="E183" s="20" t="s">
        <v>942</v>
      </c>
      <c r="F183" s="20" t="s">
        <v>950</v>
      </c>
      <c r="G183" s="20" t="str">
        <f>+CONCATENATE(Doors[[#This Row],[Door Type ]],Doors[[#This Row],[Category]])</f>
        <v>Overlap Doors - Swing doorInside Jamb</v>
      </c>
      <c r="H183" s="19" t="s">
        <v>58</v>
      </c>
      <c r="I183" s="113" t="s">
        <v>353</v>
      </c>
    </row>
    <row r="184" spans="4:9" x14ac:dyDescent="0.35">
      <c r="D184" s="74" t="s">
        <v>485</v>
      </c>
      <c r="E184" s="20" t="s">
        <v>942</v>
      </c>
      <c r="F184" s="20" t="s">
        <v>950</v>
      </c>
      <c r="G184" s="20" t="str">
        <f>+CONCATENATE(Doors[[#This Row],[Door Type ]],Doors[[#This Row],[Category]])</f>
        <v>Overlap Doors - Swing doorInside Jamb</v>
      </c>
      <c r="H184" s="19" t="s">
        <v>58</v>
      </c>
      <c r="I184" s="113" t="s">
        <v>355</v>
      </c>
    </row>
    <row r="185" spans="4:9" x14ac:dyDescent="0.35">
      <c r="D185" s="74" t="s">
        <v>485</v>
      </c>
      <c r="E185" s="20" t="s">
        <v>942</v>
      </c>
      <c r="F185" s="20" t="s">
        <v>950</v>
      </c>
      <c r="G185" s="20" t="str">
        <f>+CONCATENATE(Doors[[#This Row],[Door Type ]],Doors[[#This Row],[Category]])</f>
        <v>Overlap Doors - Swing doorInside Jamb</v>
      </c>
      <c r="H185" s="19" t="s">
        <v>58</v>
      </c>
      <c r="I185" s="113" t="s">
        <v>356</v>
      </c>
    </row>
    <row r="186" spans="4:9" x14ac:dyDescent="0.35">
      <c r="D186" s="74" t="s">
        <v>485</v>
      </c>
      <c r="E186" s="20" t="s">
        <v>942</v>
      </c>
      <c r="F186" s="20" t="s">
        <v>950</v>
      </c>
      <c r="G186" s="20" t="str">
        <f>+CONCATENATE(Doors[[#This Row],[Door Type ]],Doors[[#This Row],[Category]])</f>
        <v>Overlap Doors - Swing doorInside Jamb</v>
      </c>
      <c r="H186" s="19" t="s">
        <v>58</v>
      </c>
      <c r="I186" s="113" t="s">
        <v>55</v>
      </c>
    </row>
    <row r="187" spans="4:9" x14ac:dyDescent="0.35">
      <c r="D187" s="74" t="s">
        <v>485</v>
      </c>
      <c r="E187" s="20" t="s">
        <v>942</v>
      </c>
      <c r="F187" s="20" t="s">
        <v>950</v>
      </c>
      <c r="G187" s="20" t="str">
        <f>+CONCATENATE(Doors[[#This Row],[Door Type ]],Doors[[#This Row],[Category]])</f>
        <v>Overlap Doors - Swing doorInside Jamb</v>
      </c>
      <c r="H187" s="19" t="s">
        <v>58</v>
      </c>
      <c r="I187" s="113" t="s">
        <v>357</v>
      </c>
    </row>
    <row r="188" spans="4:9" x14ac:dyDescent="0.35">
      <c r="D188" s="74" t="s">
        <v>485</v>
      </c>
      <c r="E188" s="20" t="s">
        <v>942</v>
      </c>
      <c r="F188" s="20" t="s">
        <v>950</v>
      </c>
      <c r="G188" s="20" t="str">
        <f>+CONCATENATE(Doors[[#This Row],[Door Type ]],Doors[[#This Row],[Category]])</f>
        <v>Overlap Doors - Swing doorInside Jamb</v>
      </c>
      <c r="H188" s="19" t="s">
        <v>58</v>
      </c>
      <c r="I188" s="113" t="s">
        <v>517</v>
      </c>
    </row>
    <row r="189" spans="4:9" x14ac:dyDescent="0.35">
      <c r="D189" s="74" t="s">
        <v>485</v>
      </c>
      <c r="E189" s="20" t="s">
        <v>942</v>
      </c>
      <c r="F189" s="20" t="s">
        <v>950</v>
      </c>
      <c r="G189" s="20" t="str">
        <f>+CONCATENATE(Doors[[#This Row],[Door Type ]],Doors[[#This Row],[Category]])</f>
        <v>Overlap Doors - Swing doorBack Frame</v>
      </c>
      <c r="H189" s="19" t="s">
        <v>60</v>
      </c>
      <c r="I189" s="113" t="s">
        <v>344</v>
      </c>
    </row>
    <row r="190" spans="4:9" x14ac:dyDescent="0.35">
      <c r="D190" s="74" t="s">
        <v>485</v>
      </c>
      <c r="E190" s="20" t="s">
        <v>942</v>
      </c>
      <c r="F190" s="20" t="s">
        <v>950</v>
      </c>
      <c r="G190" s="20" t="str">
        <f>+CONCATENATE(Doors[[#This Row],[Door Type ]],Doors[[#This Row],[Category]])</f>
        <v>Overlap Doors - Swing doorBack Frame</v>
      </c>
      <c r="H190" s="19" t="s">
        <v>60</v>
      </c>
      <c r="I190" s="113" t="s">
        <v>346</v>
      </c>
    </row>
    <row r="191" spans="4:9" x14ac:dyDescent="0.35">
      <c r="D191" s="74" t="s">
        <v>485</v>
      </c>
      <c r="E191" s="20" t="s">
        <v>942</v>
      </c>
      <c r="F191" s="20" t="s">
        <v>950</v>
      </c>
      <c r="G191" s="20" t="str">
        <f>+CONCATENATE(Doors[[#This Row],[Door Type ]],Doors[[#This Row],[Category]])</f>
        <v>Overlap Doors - Swing doorBack Frame</v>
      </c>
      <c r="H191" s="19" t="s">
        <v>60</v>
      </c>
      <c r="I191" s="113" t="s">
        <v>348</v>
      </c>
    </row>
    <row r="192" spans="4:9" x14ac:dyDescent="0.35">
      <c r="D192" s="74" t="s">
        <v>485</v>
      </c>
      <c r="E192" s="20" t="s">
        <v>942</v>
      </c>
      <c r="F192" s="20" t="s">
        <v>950</v>
      </c>
      <c r="G192" s="20" t="str">
        <f>+CONCATENATE(Doors[[#This Row],[Door Type ]],Doors[[#This Row],[Category]])</f>
        <v>Overlap Doors - Swing doorBack Frame</v>
      </c>
      <c r="H192" s="19" t="s">
        <v>60</v>
      </c>
      <c r="I192" s="113" t="s">
        <v>350</v>
      </c>
    </row>
    <row r="193" spans="4:9" x14ac:dyDescent="0.35">
      <c r="D193" s="74" t="s">
        <v>485</v>
      </c>
      <c r="E193" s="20" t="s">
        <v>942</v>
      </c>
      <c r="F193" s="20" t="s">
        <v>950</v>
      </c>
      <c r="G193" s="20" t="str">
        <f>+CONCATENATE(Doors[[#This Row],[Door Type ]],Doors[[#This Row],[Category]])</f>
        <v>Overlap Doors - Swing doorBack Frame</v>
      </c>
      <c r="H193" s="19" t="s">
        <v>60</v>
      </c>
      <c r="I193" s="113" t="s">
        <v>351</v>
      </c>
    </row>
    <row r="194" spans="4:9" x14ac:dyDescent="0.35">
      <c r="D194" s="74" t="s">
        <v>485</v>
      </c>
      <c r="E194" s="20" t="s">
        <v>942</v>
      </c>
      <c r="F194" s="20" t="s">
        <v>950</v>
      </c>
      <c r="G194" s="20" t="str">
        <f>+CONCATENATE(Doors[[#This Row],[Door Type ]],Doors[[#This Row],[Category]])</f>
        <v>Overlap Doors - Swing doorBack Frame</v>
      </c>
      <c r="H194" s="19" t="s">
        <v>60</v>
      </c>
      <c r="I194" s="113" t="s">
        <v>353</v>
      </c>
    </row>
    <row r="195" spans="4:9" x14ac:dyDescent="0.35">
      <c r="D195" s="74" t="s">
        <v>485</v>
      </c>
      <c r="E195" s="20" t="s">
        <v>942</v>
      </c>
      <c r="F195" s="20" t="s">
        <v>950</v>
      </c>
      <c r="G195" s="20" t="str">
        <f>+CONCATENATE(Doors[[#This Row],[Door Type ]],Doors[[#This Row],[Category]])</f>
        <v>Overlap Doors - Swing doorBack Frame</v>
      </c>
      <c r="H195" s="19" t="s">
        <v>60</v>
      </c>
      <c r="I195" s="113" t="s">
        <v>355</v>
      </c>
    </row>
    <row r="196" spans="4:9" x14ac:dyDescent="0.35">
      <c r="D196" s="74" t="s">
        <v>485</v>
      </c>
      <c r="E196" s="20" t="s">
        <v>942</v>
      </c>
      <c r="F196" s="20" t="s">
        <v>950</v>
      </c>
      <c r="G196" s="20" t="str">
        <f>+CONCATENATE(Doors[[#This Row],[Door Type ]],Doors[[#This Row],[Category]])</f>
        <v>Overlap Doors - Swing doorBack Frame</v>
      </c>
      <c r="H196" s="19" t="s">
        <v>60</v>
      </c>
      <c r="I196" s="113" t="s">
        <v>356</v>
      </c>
    </row>
    <row r="197" spans="4:9" x14ac:dyDescent="0.35">
      <c r="D197" s="74" t="s">
        <v>485</v>
      </c>
      <c r="E197" s="20" t="s">
        <v>942</v>
      </c>
      <c r="F197" s="20" t="s">
        <v>950</v>
      </c>
      <c r="G197" s="20" t="str">
        <f>+CONCATENATE(Doors[[#This Row],[Door Type ]],Doors[[#This Row],[Category]])</f>
        <v>Overlap Doors - Swing doorBack Frame</v>
      </c>
      <c r="H197" s="19" t="s">
        <v>60</v>
      </c>
      <c r="I197" s="113" t="s">
        <v>55</v>
      </c>
    </row>
    <row r="198" spans="4:9" x14ac:dyDescent="0.35">
      <c r="D198" s="74" t="s">
        <v>485</v>
      </c>
      <c r="E198" s="20" t="s">
        <v>942</v>
      </c>
      <c r="F198" s="20" t="s">
        <v>950</v>
      </c>
      <c r="G198" s="20" t="str">
        <f>+CONCATENATE(Doors[[#This Row],[Door Type ]],Doors[[#This Row],[Category]])</f>
        <v>Overlap Doors - Swing doorBack Frame</v>
      </c>
      <c r="H198" s="19" t="s">
        <v>60</v>
      </c>
      <c r="I198" s="113" t="s">
        <v>357</v>
      </c>
    </row>
    <row r="199" spans="4:9" x14ac:dyDescent="0.35">
      <c r="D199" s="74" t="s">
        <v>485</v>
      </c>
      <c r="E199" s="20" t="s">
        <v>942</v>
      </c>
      <c r="F199" s="20" t="s">
        <v>950</v>
      </c>
      <c r="G199" s="20" t="str">
        <f>+CONCATENATE(Doors[[#This Row],[Door Type ]],Doors[[#This Row],[Category]])</f>
        <v>Overlap Doors - Swing doorBack Frame</v>
      </c>
      <c r="H199" s="19" t="s">
        <v>60</v>
      </c>
      <c r="I199" s="113" t="s">
        <v>517</v>
      </c>
    </row>
    <row r="200" spans="4:9" x14ac:dyDescent="0.35">
      <c r="D200" s="74" t="s">
        <v>485</v>
      </c>
      <c r="E200" s="20" t="s">
        <v>942</v>
      </c>
      <c r="F200" s="20" t="s">
        <v>950</v>
      </c>
      <c r="G200" s="20" t="str">
        <f>+CONCATENATE(Doors[[#This Row],[Door Type ]],Doors[[#This Row],[Category]])</f>
        <v>Overlap Doors - Swing doorFreezer Door</v>
      </c>
      <c r="H200" s="19" t="s">
        <v>125</v>
      </c>
      <c r="I200" s="113" t="s">
        <v>951</v>
      </c>
    </row>
    <row r="201" spans="4:9" x14ac:dyDescent="0.35">
      <c r="D201" s="74" t="s">
        <v>485</v>
      </c>
      <c r="E201" s="20" t="s">
        <v>942</v>
      </c>
      <c r="F201" s="20" t="s">
        <v>950</v>
      </c>
      <c r="G201" s="20" t="str">
        <f>+CONCATENATE(Doors[[#This Row],[Door Type ]],Doors[[#This Row],[Category]])</f>
        <v>Overlap Doors - Swing doorFreezer Door</v>
      </c>
      <c r="H201" s="19" t="s">
        <v>125</v>
      </c>
      <c r="I201" s="113" t="s">
        <v>63</v>
      </c>
    </row>
    <row r="202" spans="4:9" x14ac:dyDescent="0.35">
      <c r="D202" s="74" t="s">
        <v>485</v>
      </c>
      <c r="E202" s="20" t="s">
        <v>942</v>
      </c>
      <c r="F202" s="20" t="s">
        <v>950</v>
      </c>
      <c r="G202" s="20" t="str">
        <f>+CONCATENATE(Doors[[#This Row],[Door Type ]],Doors[[#This Row],[Category]])</f>
        <v>Overlap Doors - Swing doorFreezer Door</v>
      </c>
      <c r="H202" s="19" t="s">
        <v>125</v>
      </c>
      <c r="I202" s="113" t="s">
        <v>952</v>
      </c>
    </row>
    <row r="203" spans="4:9" x14ac:dyDescent="0.35">
      <c r="D203" s="74" t="s">
        <v>485</v>
      </c>
      <c r="E203" s="20" t="s">
        <v>942</v>
      </c>
      <c r="F203" s="20" t="s">
        <v>950</v>
      </c>
      <c r="G203" s="20" t="str">
        <f>+CONCATENATE(Doors[[#This Row],[Door Type ]],Doors[[#This Row],[Category]])</f>
        <v>Overlap Doors - Swing doorFreezer Door</v>
      </c>
      <c r="H203" s="19" t="s">
        <v>125</v>
      </c>
      <c r="I203" s="113" t="s">
        <v>953</v>
      </c>
    </row>
    <row r="204" spans="4:9" x14ac:dyDescent="0.35">
      <c r="D204" s="74" t="s">
        <v>485</v>
      </c>
      <c r="E204" s="20" t="s">
        <v>942</v>
      </c>
      <c r="F204" s="20" t="s">
        <v>950</v>
      </c>
      <c r="G204" s="20" t="str">
        <f>+CONCATENATE(Doors[[#This Row],[Door Type ]],Doors[[#This Row],[Category]])</f>
        <v xml:space="preserve">Overlap Doors - Swing doorDoor Closer </v>
      </c>
      <c r="H204" s="19" t="s">
        <v>155</v>
      </c>
      <c r="I204" s="28" t="s">
        <v>709</v>
      </c>
    </row>
    <row r="205" spans="4:9" x14ac:dyDescent="0.35">
      <c r="D205" s="74" t="s">
        <v>485</v>
      </c>
      <c r="E205" s="20" t="s">
        <v>942</v>
      </c>
      <c r="F205" s="20" t="s">
        <v>950</v>
      </c>
      <c r="G205" s="20" t="str">
        <f>+CONCATENATE(Doors[[#This Row],[Door Type ]],Doors[[#This Row],[Category]])</f>
        <v xml:space="preserve">Overlap Doors - Swing doorDoor Closer </v>
      </c>
      <c r="H205" s="19" t="s">
        <v>155</v>
      </c>
      <c r="I205" s="28" t="s">
        <v>189</v>
      </c>
    </row>
    <row r="206" spans="4:9" x14ac:dyDescent="0.35">
      <c r="D206" s="74" t="s">
        <v>485</v>
      </c>
      <c r="E206" s="20" t="s">
        <v>942</v>
      </c>
      <c r="F206" s="20" t="s">
        <v>950</v>
      </c>
      <c r="G206" s="20" t="str">
        <f>+CONCATENATE(Doors[[#This Row],[Door Type ]],Doors[[#This Row],[Category]])</f>
        <v xml:space="preserve">Overlap Doors - Swing doorDoor Closer </v>
      </c>
      <c r="H206" s="19" t="s">
        <v>155</v>
      </c>
      <c r="I206" s="113" t="s">
        <v>710</v>
      </c>
    </row>
    <row r="207" spans="4:9" x14ac:dyDescent="0.35">
      <c r="D207" s="74" t="s">
        <v>485</v>
      </c>
      <c r="E207" s="20" t="s">
        <v>942</v>
      </c>
      <c r="F207" s="20" t="s">
        <v>950</v>
      </c>
      <c r="G207" s="20" t="str">
        <f>+CONCATENATE(Doors[[#This Row],[Door Type ]],Doors[[#This Row],[Category]])</f>
        <v xml:space="preserve">Overlap Doors - Swing doorDoor Closer </v>
      </c>
      <c r="H207" s="19" t="s">
        <v>155</v>
      </c>
      <c r="I207" s="113" t="s">
        <v>954</v>
      </c>
    </row>
    <row r="208" spans="4:9" x14ac:dyDescent="0.35">
      <c r="D208" s="74" t="s">
        <v>485</v>
      </c>
      <c r="E208" s="20" t="s">
        <v>942</v>
      </c>
      <c r="F208" s="20" t="s">
        <v>950</v>
      </c>
      <c r="G208" s="20" t="str">
        <f>+CONCATENATE(Doors[[#This Row],[Door Type ]],Doors[[#This Row],[Category]])</f>
        <v>Overlap Doors - Swing doorKick Plate Material</v>
      </c>
      <c r="H208" s="19" t="s">
        <v>126</v>
      </c>
      <c r="I208" s="113" t="s">
        <v>518</v>
      </c>
    </row>
    <row r="209" spans="4:9" x14ac:dyDescent="0.35">
      <c r="D209" s="74" t="s">
        <v>485</v>
      </c>
      <c r="E209" s="20" t="s">
        <v>942</v>
      </c>
      <c r="F209" s="20" t="s">
        <v>950</v>
      </c>
      <c r="G209" s="20" t="str">
        <f>+CONCATENATE(Doors[[#This Row],[Door Type ]],Doors[[#This Row],[Category]])</f>
        <v>Overlap Doors - Swing doorKick Plate Material</v>
      </c>
      <c r="H209" s="19" t="s">
        <v>126</v>
      </c>
      <c r="I209" s="113" t="s">
        <v>595</v>
      </c>
    </row>
    <row r="210" spans="4:9" x14ac:dyDescent="0.35">
      <c r="D210" s="74" t="s">
        <v>485</v>
      </c>
      <c r="E210" s="20" t="s">
        <v>942</v>
      </c>
      <c r="F210" s="20" t="s">
        <v>950</v>
      </c>
      <c r="G210" s="20" t="str">
        <f>+CONCATENATE(Doors[[#This Row],[Door Type ]],Doors[[#This Row],[Category]])</f>
        <v>Overlap Doors - Swing doorKick Plate Material</v>
      </c>
      <c r="H210" s="19" t="s">
        <v>126</v>
      </c>
      <c r="I210" s="113" t="s">
        <v>522</v>
      </c>
    </row>
    <row r="211" spans="4:9" x14ac:dyDescent="0.35">
      <c r="D211" s="74" t="s">
        <v>485</v>
      </c>
      <c r="E211" s="20" t="s">
        <v>942</v>
      </c>
      <c r="F211" s="20" t="s">
        <v>950</v>
      </c>
      <c r="G211" s="20" t="str">
        <f>+CONCATENATE(Doors[[#This Row],[Door Type ]],Doors[[#This Row],[Category]])</f>
        <v>Overlap Doors - Swing doorKick Plate Material</v>
      </c>
      <c r="H211" s="19" t="s">
        <v>126</v>
      </c>
      <c r="I211" s="113" t="s">
        <v>954</v>
      </c>
    </row>
    <row r="212" spans="4:9" x14ac:dyDescent="0.35">
      <c r="D212" s="74" t="s">
        <v>485</v>
      </c>
      <c r="E212" s="20" t="s">
        <v>942</v>
      </c>
      <c r="F212" s="20" t="s">
        <v>950</v>
      </c>
      <c r="G212" s="20" t="str">
        <f>+CONCATENATE(Doors[[#This Row],[Door Type ]],Doors[[#This Row],[Category]])</f>
        <v>Overlap Doors - Swing doorKick Plate Size</v>
      </c>
      <c r="H212" s="19" t="s">
        <v>127</v>
      </c>
      <c r="I212" s="113" t="s">
        <v>295</v>
      </c>
    </row>
    <row r="213" spans="4:9" x14ac:dyDescent="0.35">
      <c r="D213" s="74" t="s">
        <v>485</v>
      </c>
      <c r="E213" s="20" t="s">
        <v>942</v>
      </c>
      <c r="F213" s="20" t="s">
        <v>950</v>
      </c>
      <c r="G213" s="20" t="str">
        <f>+CONCATENATE(Doors[[#This Row],[Door Type ]],Doors[[#This Row],[Category]])</f>
        <v>Overlap Doors - Swing doorKick Plate Size</v>
      </c>
      <c r="H213" s="19" t="s">
        <v>127</v>
      </c>
      <c r="I213" s="113" t="s">
        <v>303</v>
      </c>
    </row>
    <row r="214" spans="4:9" x14ac:dyDescent="0.35">
      <c r="D214" s="74" t="s">
        <v>485</v>
      </c>
      <c r="E214" s="20" t="s">
        <v>942</v>
      </c>
      <c r="F214" s="20" t="s">
        <v>950</v>
      </c>
      <c r="G214" s="20" t="str">
        <f>+CONCATENATE(Doors[[#This Row],[Door Type ]],Doors[[#This Row],[Category]])</f>
        <v>Overlap Doors - Swing doorKick Plate Size</v>
      </c>
      <c r="H214" s="19" t="s">
        <v>127</v>
      </c>
      <c r="I214" s="113" t="s">
        <v>310</v>
      </c>
    </row>
    <row r="215" spans="4:9" x14ac:dyDescent="0.35">
      <c r="D215" s="74" t="s">
        <v>485</v>
      </c>
      <c r="E215" s="20" t="s">
        <v>942</v>
      </c>
      <c r="F215" s="20" t="s">
        <v>950</v>
      </c>
      <c r="G215" s="20" t="str">
        <f>+CONCATENATE(Doors[[#This Row],[Door Type ]],Doors[[#This Row],[Category]])</f>
        <v>Overlap Doors - Swing doorKick Plate Size</v>
      </c>
      <c r="H215" s="19" t="s">
        <v>127</v>
      </c>
      <c r="I215" s="113" t="s">
        <v>318</v>
      </c>
    </row>
    <row r="216" spans="4:9" x14ac:dyDescent="0.35">
      <c r="D216" s="74" t="s">
        <v>485</v>
      </c>
      <c r="E216" s="20" t="s">
        <v>942</v>
      </c>
      <c r="F216" s="20" t="s">
        <v>950</v>
      </c>
      <c r="G216" s="20" t="str">
        <f>+CONCATENATE(Doors[[#This Row],[Door Type ]],Doors[[#This Row],[Category]])</f>
        <v>Overlap Doors - Swing doorKick Plate Location</v>
      </c>
      <c r="H216" s="19" t="s">
        <v>128</v>
      </c>
      <c r="I216" s="113" t="s">
        <v>485</v>
      </c>
    </row>
    <row r="217" spans="4:9" x14ac:dyDescent="0.35">
      <c r="D217" s="74" t="s">
        <v>485</v>
      </c>
      <c r="E217" s="20" t="s">
        <v>942</v>
      </c>
      <c r="F217" s="20" t="s">
        <v>950</v>
      </c>
      <c r="G217" s="20" t="str">
        <f>+CONCATENATE(Doors[[#This Row],[Door Type ]],Doors[[#This Row],[Category]])</f>
        <v>Overlap Doors - Swing doorKick Plate Location</v>
      </c>
      <c r="H217" s="19" t="s">
        <v>128</v>
      </c>
      <c r="I217" s="113" t="s">
        <v>955</v>
      </c>
    </row>
    <row r="218" spans="4:9" x14ac:dyDescent="0.35">
      <c r="D218" s="74" t="s">
        <v>485</v>
      </c>
      <c r="E218" s="20" t="s">
        <v>942</v>
      </c>
      <c r="F218" s="20" t="s">
        <v>950</v>
      </c>
      <c r="G218" s="20" t="str">
        <f>+CONCATENATE(Doors[[#This Row],[Door Type ]],Doors[[#This Row],[Category]])</f>
        <v>Overlap Doors - Swing doorKick Plate Location</v>
      </c>
      <c r="H218" s="19" t="s">
        <v>128</v>
      </c>
      <c r="I218" s="113" t="s">
        <v>304</v>
      </c>
    </row>
    <row r="219" spans="4:9" x14ac:dyDescent="0.35">
      <c r="D219" s="74" t="s">
        <v>485</v>
      </c>
      <c r="E219" s="20" t="s">
        <v>942</v>
      </c>
      <c r="F219" s="20" t="s">
        <v>950</v>
      </c>
      <c r="G219" s="20" t="str">
        <f>+CONCATENATE(Doors[[#This Row],[Door Type ]],Doors[[#This Row],[Category]])</f>
        <v>Overlap Doors - Swing doorKick Plate Location</v>
      </c>
      <c r="H219" s="19" t="s">
        <v>128</v>
      </c>
      <c r="I219" s="113" t="s">
        <v>40</v>
      </c>
    </row>
    <row r="220" spans="4:9" x14ac:dyDescent="0.35">
      <c r="D220" s="74" t="s">
        <v>485</v>
      </c>
      <c r="E220" s="20" t="s">
        <v>942</v>
      </c>
      <c r="F220" s="20" t="s">
        <v>950</v>
      </c>
      <c r="G220" s="20" t="str">
        <f>+CONCATENATE(Doors[[#This Row],[Door Type ]],Doors[[#This Row],[Category]])</f>
        <v>Overlap Doors - Swing doorKick Plate Location</v>
      </c>
      <c r="H220" s="19" t="s">
        <v>128</v>
      </c>
      <c r="I220" s="113" t="s">
        <v>956</v>
      </c>
    </row>
    <row r="221" spans="4:9" x14ac:dyDescent="0.35">
      <c r="D221" s="74" t="s">
        <v>485</v>
      </c>
      <c r="E221" s="20" t="s">
        <v>942</v>
      </c>
      <c r="F221" s="20" t="s">
        <v>950</v>
      </c>
      <c r="G221" s="20" t="str">
        <f>+CONCATENATE(Doors[[#This Row],[Door Type ]],Doors[[#This Row],[Category]])</f>
        <v>Overlap Doors - Swing doorViewPort Window Size</v>
      </c>
      <c r="H221" s="19" t="s">
        <v>129</v>
      </c>
      <c r="I221" s="113" t="s">
        <v>629</v>
      </c>
    </row>
    <row r="222" spans="4:9" x14ac:dyDescent="0.35">
      <c r="D222" s="74" t="s">
        <v>485</v>
      </c>
      <c r="E222" s="20" t="s">
        <v>942</v>
      </c>
      <c r="F222" s="20" t="s">
        <v>950</v>
      </c>
      <c r="G222" s="20" t="str">
        <f>+CONCATENATE(Doors[[#This Row],[Door Type ]],Doors[[#This Row],[Category]])</f>
        <v>Overlap Doors - Swing doorViewPort Window Size</v>
      </c>
      <c r="H222" s="19" t="s">
        <v>129</v>
      </c>
      <c r="I222" s="113" t="s">
        <v>630</v>
      </c>
    </row>
    <row r="223" spans="4:9" x14ac:dyDescent="0.35">
      <c r="D223" s="74" t="s">
        <v>485</v>
      </c>
      <c r="E223" s="20" t="s">
        <v>942</v>
      </c>
      <c r="F223" s="20" t="s">
        <v>950</v>
      </c>
      <c r="G223" s="20" t="str">
        <f>+CONCATENATE(Doors[[#This Row],[Door Type ]],Doors[[#This Row],[Category]])</f>
        <v>Overlap Doors - Swing doorViewPort Window Size</v>
      </c>
      <c r="H223" s="19" t="s">
        <v>129</v>
      </c>
      <c r="I223" s="113" t="s">
        <v>631</v>
      </c>
    </row>
    <row r="224" spans="4:9" x14ac:dyDescent="0.35">
      <c r="D224" s="74" t="s">
        <v>485</v>
      </c>
      <c r="E224" s="20" t="s">
        <v>942</v>
      </c>
      <c r="F224" s="20" t="s">
        <v>950</v>
      </c>
      <c r="G224" s="20" t="str">
        <f>+CONCATENATE(Doors[[#This Row],[Door Type ]],Doors[[#This Row],[Category]])</f>
        <v>Overlap Doors - Swing doorViewPort Window Size</v>
      </c>
      <c r="H224" s="19" t="s">
        <v>129</v>
      </c>
      <c r="I224" s="113" t="s">
        <v>632</v>
      </c>
    </row>
    <row r="225" spans="4:9" x14ac:dyDescent="0.35">
      <c r="D225" s="74" t="s">
        <v>485</v>
      </c>
      <c r="E225" s="20" t="s">
        <v>942</v>
      </c>
      <c r="F225" s="20" t="s">
        <v>950</v>
      </c>
      <c r="G225" s="20" t="str">
        <f>+CONCATENATE(Doors[[#This Row],[Door Type ]],Doors[[#This Row],[Category]])</f>
        <v>Overlap Doors - Swing doorViewPort Window Type</v>
      </c>
      <c r="H225" s="19" t="s">
        <v>130</v>
      </c>
      <c r="I225" s="113" t="s">
        <v>957</v>
      </c>
    </row>
    <row r="226" spans="4:9" x14ac:dyDescent="0.35">
      <c r="D226" s="74" t="s">
        <v>485</v>
      </c>
      <c r="E226" s="20" t="s">
        <v>942</v>
      </c>
      <c r="F226" s="20" t="s">
        <v>950</v>
      </c>
      <c r="G226" s="20" t="str">
        <f>+CONCATENATE(Doors[[#This Row],[Door Type ]],Doors[[#This Row],[Category]])</f>
        <v>Overlap Doors - Swing doorViewPort Window Type</v>
      </c>
      <c r="H226" s="19" t="s">
        <v>130</v>
      </c>
      <c r="I226" s="113" t="s">
        <v>958</v>
      </c>
    </row>
    <row r="227" spans="4:9" x14ac:dyDescent="0.35">
      <c r="D227" s="74" t="s">
        <v>485</v>
      </c>
      <c r="E227" s="20" t="s">
        <v>942</v>
      </c>
      <c r="F227" s="20" t="s">
        <v>950</v>
      </c>
      <c r="G227" s="20" t="str">
        <f>+CONCATENATE(Doors[[#This Row],[Door Type ]],Doors[[#This Row],[Category]])</f>
        <v>Overlap Doors - Swing doorHood</v>
      </c>
      <c r="H227" s="19" t="s">
        <v>963</v>
      </c>
      <c r="I227" s="113" t="s">
        <v>661</v>
      </c>
    </row>
    <row r="228" spans="4:9" x14ac:dyDescent="0.35">
      <c r="D228" s="74" t="s">
        <v>485</v>
      </c>
      <c r="E228" s="20" t="s">
        <v>942</v>
      </c>
      <c r="F228" s="20" t="s">
        <v>950</v>
      </c>
      <c r="G228" s="20" t="str">
        <f>+CONCATENATE(Doors[[#This Row],[Door Type ]],Doors[[#This Row],[Category]])</f>
        <v>Overlap Doors - Swing doorHood</v>
      </c>
      <c r="H228" s="19" t="s">
        <v>963</v>
      </c>
      <c r="I228" s="113" t="s">
        <v>662</v>
      </c>
    </row>
    <row r="229" spans="4:9" x14ac:dyDescent="0.35">
      <c r="D229" s="74" t="s">
        <v>485</v>
      </c>
      <c r="E229" s="20" t="s">
        <v>942</v>
      </c>
      <c r="F229" s="20" t="s">
        <v>950</v>
      </c>
      <c r="G229" s="20" t="str">
        <f>+CONCATENATE(Doors[[#This Row],[Door Type ]],Doors[[#This Row],[Category]])</f>
        <v>Overlap Doors - Swing doorHood</v>
      </c>
      <c r="H229" s="19" t="s">
        <v>963</v>
      </c>
      <c r="I229" s="113" t="s">
        <v>954</v>
      </c>
    </row>
    <row r="230" spans="4:9" x14ac:dyDescent="0.35">
      <c r="D230" s="74" t="s">
        <v>485</v>
      </c>
      <c r="E230" s="20" t="s">
        <v>942</v>
      </c>
      <c r="F230" s="20" t="s">
        <v>950</v>
      </c>
      <c r="G230" s="20" t="str">
        <f>+CONCATENATE(Doors[[#This Row],[Door Type ]],Doors[[#This Row],[Category]])</f>
        <v>Overlap Doors - Swing doorTamper Proof Hardware</v>
      </c>
      <c r="H230" s="19" t="s">
        <v>489</v>
      </c>
      <c r="I230" s="113" t="s">
        <v>489</v>
      </c>
    </row>
    <row r="231" spans="4:9" x14ac:dyDescent="0.35">
      <c r="D231" s="74" t="s">
        <v>485</v>
      </c>
      <c r="E231" s="545" t="s">
        <v>941</v>
      </c>
      <c r="F231" s="545" t="s">
        <v>949</v>
      </c>
      <c r="G231" s="545" t="str">
        <f>+CONCATENATE(Doors[[#This Row],[Door Type ]],Doors[[#This Row],[Category]])</f>
        <v>Manual Sliding door - Single horizontal slideDoor Panel</v>
      </c>
      <c r="H231" s="19" t="s">
        <v>50</v>
      </c>
      <c r="I231" s="113" t="s">
        <v>51</v>
      </c>
    </row>
    <row r="232" spans="4:9" x14ac:dyDescent="0.35">
      <c r="D232" s="74" t="s">
        <v>485</v>
      </c>
      <c r="E232" s="545" t="s">
        <v>941</v>
      </c>
      <c r="F232" s="545" t="s">
        <v>949</v>
      </c>
      <c r="G232" s="545" t="str">
        <f>+CONCATENATE(Doors[[#This Row],[Door Type ]],Doors[[#This Row],[Category]])</f>
        <v>Manual Sliding door - Single horizontal slideDoor Panel</v>
      </c>
      <c r="H232" s="19" t="s">
        <v>50</v>
      </c>
      <c r="I232" s="113" t="s">
        <v>370</v>
      </c>
    </row>
    <row r="233" spans="4:9" x14ac:dyDescent="0.35">
      <c r="D233" s="74" t="s">
        <v>485</v>
      </c>
      <c r="E233" s="545" t="s">
        <v>941</v>
      </c>
      <c r="F233" s="545" t="s">
        <v>949</v>
      </c>
      <c r="G233" s="545" t="str">
        <f>+CONCATENATE(Doors[[#This Row],[Door Type ]],Doors[[#This Row],[Category]])</f>
        <v>Manual Sliding door - Single horizontal slideDoor Panel</v>
      </c>
      <c r="H233" s="19" t="s">
        <v>50</v>
      </c>
      <c r="I233" s="113" t="s">
        <v>516</v>
      </c>
    </row>
    <row r="234" spans="4:9" x14ac:dyDescent="0.35">
      <c r="D234" s="74" t="s">
        <v>485</v>
      </c>
      <c r="E234" s="545" t="s">
        <v>941</v>
      </c>
      <c r="F234" s="545" t="s">
        <v>949</v>
      </c>
      <c r="G234" s="545" t="str">
        <f>+CONCATENATE(Doors[[#This Row],[Door Type ]],Doors[[#This Row],[Category]])</f>
        <v>Manual Sliding door - Single horizontal slideDoor Panel</v>
      </c>
      <c r="H234" s="19" t="s">
        <v>50</v>
      </c>
      <c r="I234" s="113" t="s">
        <v>517</v>
      </c>
    </row>
    <row r="235" spans="4:9" x14ac:dyDescent="0.35">
      <c r="D235" s="74" t="s">
        <v>485</v>
      </c>
      <c r="E235" s="545" t="s">
        <v>941</v>
      </c>
      <c r="F235" s="545" t="s">
        <v>949</v>
      </c>
      <c r="G235" s="545" t="str">
        <f>+CONCATENATE(Doors[[#This Row],[Door Type ]],Doors[[#This Row],[Category]])</f>
        <v>Manual Sliding door - Single horizontal slideFace Frame</v>
      </c>
      <c r="H235" s="19" t="s">
        <v>54</v>
      </c>
      <c r="I235" s="113" t="s">
        <v>344</v>
      </c>
    </row>
    <row r="236" spans="4:9" x14ac:dyDescent="0.35">
      <c r="D236" s="74" t="s">
        <v>485</v>
      </c>
      <c r="E236" s="545" t="s">
        <v>941</v>
      </c>
      <c r="F236" s="545" t="s">
        <v>949</v>
      </c>
      <c r="G236" s="545" t="str">
        <f>+CONCATENATE(Doors[[#This Row],[Door Type ]],Doors[[#This Row],[Category]])</f>
        <v>Manual Sliding door - Single horizontal slideFace Frame</v>
      </c>
      <c r="H236" s="19" t="s">
        <v>54</v>
      </c>
      <c r="I236" s="113" t="s">
        <v>346</v>
      </c>
    </row>
    <row r="237" spans="4:9" x14ac:dyDescent="0.35">
      <c r="D237" s="74" t="s">
        <v>485</v>
      </c>
      <c r="E237" s="545" t="s">
        <v>941</v>
      </c>
      <c r="F237" s="545" t="s">
        <v>949</v>
      </c>
      <c r="G237" s="545" t="str">
        <f>+CONCATENATE(Doors[[#This Row],[Door Type ]],Doors[[#This Row],[Category]])</f>
        <v>Manual Sliding door - Single horizontal slideFace Frame</v>
      </c>
      <c r="H237" s="19" t="s">
        <v>54</v>
      </c>
      <c r="I237" s="113" t="s">
        <v>348</v>
      </c>
    </row>
    <row r="238" spans="4:9" x14ac:dyDescent="0.35">
      <c r="D238" s="74" t="s">
        <v>485</v>
      </c>
      <c r="E238" s="545" t="s">
        <v>941</v>
      </c>
      <c r="F238" s="545" t="s">
        <v>949</v>
      </c>
      <c r="G238" s="545" t="str">
        <f>+CONCATENATE(Doors[[#This Row],[Door Type ]],Doors[[#This Row],[Category]])</f>
        <v>Manual Sliding door - Single horizontal slideFace Frame</v>
      </c>
      <c r="H238" s="19" t="s">
        <v>54</v>
      </c>
      <c r="I238" s="113" t="s">
        <v>350</v>
      </c>
    </row>
    <row r="239" spans="4:9" x14ac:dyDescent="0.35">
      <c r="D239" s="74" t="s">
        <v>485</v>
      </c>
      <c r="E239" s="545" t="s">
        <v>941</v>
      </c>
      <c r="F239" s="545" t="s">
        <v>949</v>
      </c>
      <c r="G239" s="545" t="str">
        <f>+CONCATENATE(Doors[[#This Row],[Door Type ]],Doors[[#This Row],[Category]])</f>
        <v>Manual Sliding door - Single horizontal slideFace Frame</v>
      </c>
      <c r="H239" s="19" t="s">
        <v>54</v>
      </c>
      <c r="I239" s="113" t="s">
        <v>351</v>
      </c>
    </row>
    <row r="240" spans="4:9" x14ac:dyDescent="0.35">
      <c r="D240" s="74" t="s">
        <v>485</v>
      </c>
      <c r="E240" s="545" t="s">
        <v>941</v>
      </c>
      <c r="F240" s="545" t="s">
        <v>949</v>
      </c>
      <c r="G240" s="545" t="str">
        <f>+CONCATENATE(Doors[[#This Row],[Door Type ]],Doors[[#This Row],[Category]])</f>
        <v>Manual Sliding door - Single horizontal slideFace Frame</v>
      </c>
      <c r="H240" s="19" t="s">
        <v>54</v>
      </c>
      <c r="I240" s="113" t="s">
        <v>353</v>
      </c>
    </row>
    <row r="241" spans="4:9" x14ac:dyDescent="0.35">
      <c r="D241" s="74" t="s">
        <v>485</v>
      </c>
      <c r="E241" s="545" t="s">
        <v>941</v>
      </c>
      <c r="F241" s="545" t="s">
        <v>949</v>
      </c>
      <c r="G241" s="545" t="str">
        <f>+CONCATENATE(Doors[[#This Row],[Door Type ]],Doors[[#This Row],[Category]])</f>
        <v>Manual Sliding door - Single horizontal slideFace Frame</v>
      </c>
      <c r="H241" s="19" t="s">
        <v>54</v>
      </c>
      <c r="I241" s="113" t="s">
        <v>355</v>
      </c>
    </row>
    <row r="242" spans="4:9" x14ac:dyDescent="0.35">
      <c r="D242" s="74" t="s">
        <v>485</v>
      </c>
      <c r="E242" s="545" t="s">
        <v>941</v>
      </c>
      <c r="F242" s="545" t="s">
        <v>949</v>
      </c>
      <c r="G242" s="545" t="str">
        <f>+CONCATENATE(Doors[[#This Row],[Door Type ]],Doors[[#This Row],[Category]])</f>
        <v>Manual Sliding door - Single horizontal slideFace Frame</v>
      </c>
      <c r="H242" s="19" t="s">
        <v>54</v>
      </c>
      <c r="I242" s="113" t="s">
        <v>356</v>
      </c>
    </row>
    <row r="243" spans="4:9" x14ac:dyDescent="0.35">
      <c r="D243" s="74" t="s">
        <v>485</v>
      </c>
      <c r="E243" s="545" t="s">
        <v>941</v>
      </c>
      <c r="F243" s="545" t="s">
        <v>949</v>
      </c>
      <c r="G243" s="545" t="str">
        <f>+CONCATENATE(Doors[[#This Row],[Door Type ]],Doors[[#This Row],[Category]])</f>
        <v>Manual Sliding door - Single horizontal slideFace Frame</v>
      </c>
      <c r="H243" s="19" t="s">
        <v>54</v>
      </c>
      <c r="I243" s="113" t="s">
        <v>55</v>
      </c>
    </row>
    <row r="244" spans="4:9" x14ac:dyDescent="0.35">
      <c r="D244" s="74" t="s">
        <v>485</v>
      </c>
      <c r="E244" s="545" t="s">
        <v>941</v>
      </c>
      <c r="F244" s="545" t="s">
        <v>949</v>
      </c>
      <c r="G244" s="545" t="str">
        <f>+CONCATENATE(Doors[[#This Row],[Door Type ]],Doors[[#This Row],[Category]])</f>
        <v>Manual Sliding door - Single horizontal slideFace Frame</v>
      </c>
      <c r="H244" s="19" t="s">
        <v>54</v>
      </c>
      <c r="I244" s="113" t="s">
        <v>357</v>
      </c>
    </row>
    <row r="245" spans="4:9" x14ac:dyDescent="0.35">
      <c r="D245" s="74" t="s">
        <v>485</v>
      </c>
      <c r="E245" s="545" t="s">
        <v>941</v>
      </c>
      <c r="F245" s="545" t="s">
        <v>949</v>
      </c>
      <c r="G245" s="545" t="str">
        <f>+CONCATENATE(Doors[[#This Row],[Door Type ]],Doors[[#This Row],[Category]])</f>
        <v>Manual Sliding door - Single horizontal slideFace Frame</v>
      </c>
      <c r="H245" s="19" t="s">
        <v>54</v>
      </c>
      <c r="I245" s="113" t="s">
        <v>517</v>
      </c>
    </row>
    <row r="246" spans="4:9" x14ac:dyDescent="0.35">
      <c r="D246" s="74" t="s">
        <v>485</v>
      </c>
      <c r="E246" s="545" t="s">
        <v>941</v>
      </c>
      <c r="F246" s="545" t="s">
        <v>949</v>
      </c>
      <c r="G246" s="545" t="str">
        <f>+CONCATENATE(Doors[[#This Row],[Door Type ]],Doors[[#This Row],[Category]])</f>
        <v>Manual Sliding door - Single horizontal slideInside Jamb</v>
      </c>
      <c r="H246" s="19" t="s">
        <v>58</v>
      </c>
      <c r="I246" s="113" t="s">
        <v>344</v>
      </c>
    </row>
    <row r="247" spans="4:9" x14ac:dyDescent="0.35">
      <c r="D247" s="74" t="s">
        <v>485</v>
      </c>
      <c r="E247" s="545" t="s">
        <v>941</v>
      </c>
      <c r="F247" s="545" t="s">
        <v>949</v>
      </c>
      <c r="G247" s="545" t="str">
        <f>+CONCATENATE(Doors[[#This Row],[Door Type ]],Doors[[#This Row],[Category]])</f>
        <v>Manual Sliding door - Single horizontal slideInside Jamb</v>
      </c>
      <c r="H247" s="19" t="s">
        <v>58</v>
      </c>
      <c r="I247" s="113" t="s">
        <v>346</v>
      </c>
    </row>
    <row r="248" spans="4:9" x14ac:dyDescent="0.35">
      <c r="D248" s="74" t="s">
        <v>485</v>
      </c>
      <c r="E248" s="545" t="s">
        <v>941</v>
      </c>
      <c r="F248" s="545" t="s">
        <v>949</v>
      </c>
      <c r="G248" s="545" t="str">
        <f>+CONCATENATE(Doors[[#This Row],[Door Type ]],Doors[[#This Row],[Category]])</f>
        <v>Manual Sliding door - Single horizontal slideInside Jamb</v>
      </c>
      <c r="H248" s="19" t="s">
        <v>58</v>
      </c>
      <c r="I248" s="113" t="s">
        <v>348</v>
      </c>
    </row>
    <row r="249" spans="4:9" x14ac:dyDescent="0.35">
      <c r="D249" s="74" t="s">
        <v>485</v>
      </c>
      <c r="E249" s="545" t="s">
        <v>941</v>
      </c>
      <c r="F249" s="545" t="s">
        <v>949</v>
      </c>
      <c r="G249" s="545" t="str">
        <f>+CONCATENATE(Doors[[#This Row],[Door Type ]],Doors[[#This Row],[Category]])</f>
        <v>Manual Sliding door - Single horizontal slideInside Jamb</v>
      </c>
      <c r="H249" s="19" t="s">
        <v>58</v>
      </c>
      <c r="I249" s="113" t="s">
        <v>350</v>
      </c>
    </row>
    <row r="250" spans="4:9" x14ac:dyDescent="0.35">
      <c r="D250" s="74" t="s">
        <v>485</v>
      </c>
      <c r="E250" s="545" t="s">
        <v>941</v>
      </c>
      <c r="F250" s="545" t="s">
        <v>949</v>
      </c>
      <c r="G250" s="545" t="str">
        <f>+CONCATENATE(Doors[[#This Row],[Door Type ]],Doors[[#This Row],[Category]])</f>
        <v>Manual Sliding door - Single horizontal slideInside Jamb</v>
      </c>
      <c r="H250" s="19" t="s">
        <v>58</v>
      </c>
      <c r="I250" s="113" t="s">
        <v>351</v>
      </c>
    </row>
    <row r="251" spans="4:9" x14ac:dyDescent="0.35">
      <c r="D251" s="74" t="s">
        <v>485</v>
      </c>
      <c r="E251" s="545" t="s">
        <v>941</v>
      </c>
      <c r="F251" s="545" t="s">
        <v>949</v>
      </c>
      <c r="G251" s="545" t="str">
        <f>+CONCATENATE(Doors[[#This Row],[Door Type ]],Doors[[#This Row],[Category]])</f>
        <v>Manual Sliding door - Single horizontal slideInside Jamb</v>
      </c>
      <c r="H251" s="19" t="s">
        <v>58</v>
      </c>
      <c r="I251" s="113" t="s">
        <v>353</v>
      </c>
    </row>
    <row r="252" spans="4:9" x14ac:dyDescent="0.35">
      <c r="D252" s="74" t="s">
        <v>485</v>
      </c>
      <c r="E252" s="545" t="s">
        <v>941</v>
      </c>
      <c r="F252" s="545" t="s">
        <v>949</v>
      </c>
      <c r="G252" s="545" t="str">
        <f>+CONCATENATE(Doors[[#This Row],[Door Type ]],Doors[[#This Row],[Category]])</f>
        <v>Manual Sliding door - Single horizontal slideInside Jamb</v>
      </c>
      <c r="H252" s="19" t="s">
        <v>58</v>
      </c>
      <c r="I252" s="113" t="s">
        <v>355</v>
      </c>
    </row>
    <row r="253" spans="4:9" x14ac:dyDescent="0.35">
      <c r="D253" s="74" t="s">
        <v>485</v>
      </c>
      <c r="E253" s="545" t="s">
        <v>941</v>
      </c>
      <c r="F253" s="545" t="s">
        <v>949</v>
      </c>
      <c r="G253" s="545" t="str">
        <f>+CONCATENATE(Doors[[#This Row],[Door Type ]],Doors[[#This Row],[Category]])</f>
        <v>Manual Sliding door - Single horizontal slideInside Jamb</v>
      </c>
      <c r="H253" s="19" t="s">
        <v>58</v>
      </c>
      <c r="I253" s="113" t="s">
        <v>356</v>
      </c>
    </row>
    <row r="254" spans="4:9" x14ac:dyDescent="0.35">
      <c r="D254" s="74" t="s">
        <v>485</v>
      </c>
      <c r="E254" s="545" t="s">
        <v>941</v>
      </c>
      <c r="F254" s="545" t="s">
        <v>949</v>
      </c>
      <c r="G254" s="545" t="str">
        <f>+CONCATENATE(Doors[[#This Row],[Door Type ]],Doors[[#This Row],[Category]])</f>
        <v>Manual Sliding door - Single horizontal slideInside Jamb</v>
      </c>
      <c r="H254" s="19" t="s">
        <v>58</v>
      </c>
      <c r="I254" s="113" t="s">
        <v>55</v>
      </c>
    </row>
    <row r="255" spans="4:9" x14ac:dyDescent="0.35">
      <c r="D255" s="74" t="s">
        <v>485</v>
      </c>
      <c r="E255" s="545" t="s">
        <v>941</v>
      </c>
      <c r="F255" s="545" t="s">
        <v>949</v>
      </c>
      <c r="G255" s="545" t="str">
        <f>+CONCATENATE(Doors[[#This Row],[Door Type ]],Doors[[#This Row],[Category]])</f>
        <v>Manual Sliding door - Single horizontal slideInside Jamb</v>
      </c>
      <c r="H255" s="19" t="s">
        <v>58</v>
      </c>
      <c r="I255" s="113" t="s">
        <v>357</v>
      </c>
    </row>
    <row r="256" spans="4:9" x14ac:dyDescent="0.35">
      <c r="D256" s="74" t="s">
        <v>485</v>
      </c>
      <c r="E256" s="545" t="s">
        <v>941</v>
      </c>
      <c r="F256" s="545" t="s">
        <v>949</v>
      </c>
      <c r="G256" s="545" t="str">
        <f>+CONCATENATE(Doors[[#This Row],[Door Type ]],Doors[[#This Row],[Category]])</f>
        <v>Manual Sliding door - Single horizontal slideInside Jamb</v>
      </c>
      <c r="H256" s="19" t="s">
        <v>58</v>
      </c>
      <c r="I256" s="113" t="s">
        <v>517</v>
      </c>
    </row>
    <row r="257" spans="4:9" x14ac:dyDescent="0.35">
      <c r="D257" s="74" t="s">
        <v>485</v>
      </c>
      <c r="E257" s="545" t="s">
        <v>941</v>
      </c>
      <c r="F257" s="545" t="s">
        <v>949</v>
      </c>
      <c r="G257" s="545" t="str">
        <f>+CONCATENATE(Doors[[#This Row],[Door Type ]],Doors[[#This Row],[Category]])</f>
        <v>Manual Sliding door - Single horizontal slideBack Frame</v>
      </c>
      <c r="H257" s="19" t="s">
        <v>60</v>
      </c>
      <c r="I257" s="113" t="s">
        <v>344</v>
      </c>
    </row>
    <row r="258" spans="4:9" x14ac:dyDescent="0.35">
      <c r="D258" s="74" t="s">
        <v>485</v>
      </c>
      <c r="E258" s="545" t="s">
        <v>941</v>
      </c>
      <c r="F258" s="545" t="s">
        <v>949</v>
      </c>
      <c r="G258" s="545" t="str">
        <f>+CONCATENATE(Doors[[#This Row],[Door Type ]],Doors[[#This Row],[Category]])</f>
        <v>Manual Sliding door - Single horizontal slideBack Frame</v>
      </c>
      <c r="H258" s="19" t="s">
        <v>60</v>
      </c>
      <c r="I258" s="113" t="s">
        <v>346</v>
      </c>
    </row>
    <row r="259" spans="4:9" x14ac:dyDescent="0.35">
      <c r="D259" s="74" t="s">
        <v>485</v>
      </c>
      <c r="E259" s="545" t="s">
        <v>941</v>
      </c>
      <c r="F259" s="545" t="s">
        <v>949</v>
      </c>
      <c r="G259" s="545" t="str">
        <f>+CONCATENATE(Doors[[#This Row],[Door Type ]],Doors[[#This Row],[Category]])</f>
        <v>Manual Sliding door - Single horizontal slideBack Frame</v>
      </c>
      <c r="H259" s="19" t="s">
        <v>60</v>
      </c>
      <c r="I259" s="113" t="s">
        <v>348</v>
      </c>
    </row>
    <row r="260" spans="4:9" x14ac:dyDescent="0.35">
      <c r="D260" s="74" t="s">
        <v>485</v>
      </c>
      <c r="E260" s="545" t="s">
        <v>941</v>
      </c>
      <c r="F260" s="545" t="s">
        <v>949</v>
      </c>
      <c r="G260" s="545" t="str">
        <f>+CONCATENATE(Doors[[#This Row],[Door Type ]],Doors[[#This Row],[Category]])</f>
        <v>Manual Sliding door - Single horizontal slideBack Frame</v>
      </c>
      <c r="H260" s="19" t="s">
        <v>60</v>
      </c>
      <c r="I260" s="113" t="s">
        <v>350</v>
      </c>
    </row>
    <row r="261" spans="4:9" x14ac:dyDescent="0.35">
      <c r="D261" s="74" t="s">
        <v>485</v>
      </c>
      <c r="E261" s="545" t="s">
        <v>941</v>
      </c>
      <c r="F261" s="545" t="s">
        <v>949</v>
      </c>
      <c r="G261" s="545" t="str">
        <f>+CONCATENATE(Doors[[#This Row],[Door Type ]],Doors[[#This Row],[Category]])</f>
        <v>Manual Sliding door - Single horizontal slideBack Frame</v>
      </c>
      <c r="H261" s="19" t="s">
        <v>60</v>
      </c>
      <c r="I261" s="113" t="s">
        <v>351</v>
      </c>
    </row>
    <row r="262" spans="4:9" x14ac:dyDescent="0.35">
      <c r="D262" s="74" t="s">
        <v>485</v>
      </c>
      <c r="E262" s="545" t="s">
        <v>941</v>
      </c>
      <c r="F262" s="545" t="s">
        <v>949</v>
      </c>
      <c r="G262" s="545" t="str">
        <f>+CONCATENATE(Doors[[#This Row],[Door Type ]],Doors[[#This Row],[Category]])</f>
        <v>Manual Sliding door - Single horizontal slideBack Frame</v>
      </c>
      <c r="H262" s="19" t="s">
        <v>60</v>
      </c>
      <c r="I262" s="113" t="s">
        <v>353</v>
      </c>
    </row>
    <row r="263" spans="4:9" x14ac:dyDescent="0.35">
      <c r="D263" s="74" t="s">
        <v>485</v>
      </c>
      <c r="E263" s="545" t="s">
        <v>941</v>
      </c>
      <c r="F263" s="545" t="s">
        <v>949</v>
      </c>
      <c r="G263" s="545" t="str">
        <f>+CONCATENATE(Doors[[#This Row],[Door Type ]],Doors[[#This Row],[Category]])</f>
        <v>Manual Sliding door - Single horizontal slideBack Frame</v>
      </c>
      <c r="H263" s="19" t="s">
        <v>60</v>
      </c>
      <c r="I263" s="113" t="s">
        <v>355</v>
      </c>
    </row>
    <row r="264" spans="4:9" x14ac:dyDescent="0.35">
      <c r="D264" s="74" t="s">
        <v>485</v>
      </c>
      <c r="E264" s="545" t="s">
        <v>941</v>
      </c>
      <c r="F264" s="545" t="s">
        <v>949</v>
      </c>
      <c r="G264" s="545" t="str">
        <f>+CONCATENATE(Doors[[#This Row],[Door Type ]],Doors[[#This Row],[Category]])</f>
        <v>Manual Sliding door - Single horizontal slideBack Frame</v>
      </c>
      <c r="H264" s="19" t="s">
        <v>60</v>
      </c>
      <c r="I264" s="113" t="s">
        <v>356</v>
      </c>
    </row>
    <row r="265" spans="4:9" x14ac:dyDescent="0.35">
      <c r="D265" s="74" t="s">
        <v>485</v>
      </c>
      <c r="E265" s="545" t="s">
        <v>941</v>
      </c>
      <c r="F265" s="545" t="s">
        <v>949</v>
      </c>
      <c r="G265" s="545" t="str">
        <f>+CONCATENATE(Doors[[#This Row],[Door Type ]],Doors[[#This Row],[Category]])</f>
        <v>Manual Sliding door - Single horizontal slideBack Frame</v>
      </c>
      <c r="H265" s="19" t="s">
        <v>60</v>
      </c>
      <c r="I265" s="113" t="s">
        <v>55</v>
      </c>
    </row>
    <row r="266" spans="4:9" x14ac:dyDescent="0.35">
      <c r="D266" s="74" t="s">
        <v>485</v>
      </c>
      <c r="E266" s="545" t="s">
        <v>941</v>
      </c>
      <c r="F266" s="545" t="s">
        <v>949</v>
      </c>
      <c r="G266" s="545" t="str">
        <f>+CONCATENATE(Doors[[#This Row],[Door Type ]],Doors[[#This Row],[Category]])</f>
        <v>Manual Sliding door - Single horizontal slideBack Frame</v>
      </c>
      <c r="H266" s="19" t="s">
        <v>60</v>
      </c>
      <c r="I266" s="113" t="s">
        <v>357</v>
      </c>
    </row>
    <row r="267" spans="4:9" x14ac:dyDescent="0.35">
      <c r="D267" s="74" t="s">
        <v>485</v>
      </c>
      <c r="E267" s="545" t="s">
        <v>941</v>
      </c>
      <c r="F267" s="545" t="s">
        <v>949</v>
      </c>
      <c r="G267" s="545" t="str">
        <f>+CONCATENATE(Doors[[#This Row],[Door Type ]],Doors[[#This Row],[Category]])</f>
        <v>Manual Sliding door - Single horizontal slideBack Frame</v>
      </c>
      <c r="H267" s="19" t="s">
        <v>60</v>
      </c>
      <c r="I267" s="113" t="s">
        <v>517</v>
      </c>
    </row>
    <row r="268" spans="4:9" x14ac:dyDescent="0.35">
      <c r="D268" s="74" t="s">
        <v>485</v>
      </c>
      <c r="E268" s="545" t="s">
        <v>941</v>
      </c>
      <c r="F268" s="20" t="s">
        <v>950</v>
      </c>
      <c r="G268" s="20" t="str">
        <f>+CONCATENATE(Doors[[#This Row],[Door Type ]],Doors[[#This Row],[Category]])</f>
        <v>Manual Sliding door - Single horizontal slideFreezer Door</v>
      </c>
      <c r="H268" s="19" t="s">
        <v>125</v>
      </c>
      <c r="I268" s="113" t="s">
        <v>951</v>
      </c>
    </row>
    <row r="269" spans="4:9" x14ac:dyDescent="0.35">
      <c r="D269" s="74" t="s">
        <v>485</v>
      </c>
      <c r="E269" s="545" t="s">
        <v>941</v>
      </c>
      <c r="F269" s="20" t="s">
        <v>950</v>
      </c>
      <c r="G269" s="20" t="str">
        <f>+CONCATENATE(Doors[[#This Row],[Door Type ]],Doors[[#This Row],[Category]])</f>
        <v>Manual Sliding door - Single horizontal slideFreezer Door</v>
      </c>
      <c r="H269" s="19" t="s">
        <v>125</v>
      </c>
      <c r="I269" s="113" t="s">
        <v>63</v>
      </c>
    </row>
    <row r="270" spans="4:9" x14ac:dyDescent="0.35">
      <c r="D270" s="74" t="s">
        <v>485</v>
      </c>
      <c r="E270" s="545" t="s">
        <v>941</v>
      </c>
      <c r="F270" s="20" t="s">
        <v>950</v>
      </c>
      <c r="G270" s="20" t="str">
        <f>+CONCATENATE(Doors[[#This Row],[Door Type ]],Doors[[#This Row],[Category]])</f>
        <v>Manual Sliding door - Single horizontal slideFreezer Door</v>
      </c>
      <c r="H270" s="19" t="s">
        <v>125</v>
      </c>
      <c r="I270" s="113" t="s">
        <v>952</v>
      </c>
    </row>
    <row r="271" spans="4:9" x14ac:dyDescent="0.35">
      <c r="D271" s="74" t="s">
        <v>485</v>
      </c>
      <c r="E271" s="545" t="s">
        <v>941</v>
      </c>
      <c r="F271" s="20" t="s">
        <v>950</v>
      </c>
      <c r="G271" s="20" t="str">
        <f>+CONCATENATE(Doors[[#This Row],[Door Type ]],Doors[[#This Row],[Category]])</f>
        <v>Manual Sliding door - Single horizontal slideFreezer Door</v>
      </c>
      <c r="H271" s="19" t="s">
        <v>125</v>
      </c>
      <c r="I271" s="113" t="s">
        <v>953</v>
      </c>
    </row>
    <row r="272" spans="4:9" x14ac:dyDescent="0.35">
      <c r="D272" s="74" t="s">
        <v>485</v>
      </c>
      <c r="E272" s="545" t="s">
        <v>941</v>
      </c>
      <c r="F272" s="20" t="s">
        <v>950</v>
      </c>
      <c r="G272" s="20" t="str">
        <f>+CONCATENATE(Doors[[#This Row],[Door Type ]],Doors[[#This Row],[Category]])</f>
        <v>Manual Sliding door - Single horizontal slideAdditional Heater Location</v>
      </c>
      <c r="H272" s="19" t="s">
        <v>132</v>
      </c>
      <c r="I272" s="113" t="s">
        <v>960</v>
      </c>
    </row>
    <row r="273" spans="4:9" x14ac:dyDescent="0.35">
      <c r="D273" s="74" t="s">
        <v>485</v>
      </c>
      <c r="E273" s="545" t="s">
        <v>941</v>
      </c>
      <c r="F273" s="20" t="s">
        <v>950</v>
      </c>
      <c r="G273" s="20" t="str">
        <f>+CONCATENATE(Doors[[#This Row],[Door Type ]],Doors[[#This Row],[Category]])</f>
        <v>Manual Sliding door - Single horizontal slideAdditional Heater Location</v>
      </c>
      <c r="H273" s="19" t="s">
        <v>132</v>
      </c>
      <c r="I273" s="113" t="s">
        <v>961</v>
      </c>
    </row>
    <row r="274" spans="4:9" x14ac:dyDescent="0.35">
      <c r="D274" s="74" t="s">
        <v>485</v>
      </c>
      <c r="E274" s="545" t="s">
        <v>941</v>
      </c>
      <c r="F274" s="20" t="s">
        <v>950</v>
      </c>
      <c r="G274" s="20" t="str">
        <f>+CONCATENATE(Doors[[#This Row],[Door Type ]],Doors[[#This Row],[Category]])</f>
        <v>Manual Sliding door - Single horizontal slideKick Plate Material</v>
      </c>
      <c r="H274" s="19" t="s">
        <v>126</v>
      </c>
      <c r="I274" s="113" t="s">
        <v>518</v>
      </c>
    </row>
    <row r="275" spans="4:9" x14ac:dyDescent="0.35">
      <c r="D275" s="74" t="s">
        <v>485</v>
      </c>
      <c r="E275" s="545" t="s">
        <v>941</v>
      </c>
      <c r="F275" s="20" t="s">
        <v>950</v>
      </c>
      <c r="G275" s="20" t="str">
        <f>+CONCATENATE(Doors[[#This Row],[Door Type ]],Doors[[#This Row],[Category]])</f>
        <v>Manual Sliding door - Single horizontal slideKick Plate Material</v>
      </c>
      <c r="H275" s="19" t="s">
        <v>126</v>
      </c>
      <c r="I275" s="113" t="s">
        <v>595</v>
      </c>
    </row>
    <row r="276" spans="4:9" x14ac:dyDescent="0.35">
      <c r="D276" s="74" t="s">
        <v>485</v>
      </c>
      <c r="E276" s="545" t="s">
        <v>941</v>
      </c>
      <c r="F276" s="20" t="s">
        <v>950</v>
      </c>
      <c r="G276" s="20" t="str">
        <f>+CONCATENATE(Doors[[#This Row],[Door Type ]],Doors[[#This Row],[Category]])</f>
        <v>Manual Sliding door - Single horizontal slideKick Plate Material</v>
      </c>
      <c r="H276" s="19" t="s">
        <v>126</v>
      </c>
      <c r="I276" s="113" t="s">
        <v>522</v>
      </c>
    </row>
    <row r="277" spans="4:9" x14ac:dyDescent="0.35">
      <c r="D277" s="74" t="s">
        <v>485</v>
      </c>
      <c r="E277" s="545" t="s">
        <v>941</v>
      </c>
      <c r="F277" s="20" t="s">
        <v>950</v>
      </c>
      <c r="G277" s="20" t="str">
        <f>+CONCATENATE(Doors[[#This Row],[Door Type ]],Doors[[#This Row],[Category]])</f>
        <v>Manual Sliding door - Single horizontal slideKick Plate Material</v>
      </c>
      <c r="H277" s="19" t="s">
        <v>126</v>
      </c>
      <c r="I277" s="113" t="s">
        <v>954</v>
      </c>
    </row>
    <row r="278" spans="4:9" x14ac:dyDescent="0.35">
      <c r="D278" s="74" t="s">
        <v>485</v>
      </c>
      <c r="E278" s="545" t="s">
        <v>941</v>
      </c>
      <c r="F278" s="20" t="s">
        <v>950</v>
      </c>
      <c r="G278" s="20" t="str">
        <f>+CONCATENATE(Doors[[#This Row],[Door Type ]],Doors[[#This Row],[Category]])</f>
        <v>Manual Sliding door - Single horizontal slideKick Plate Size</v>
      </c>
      <c r="H278" s="19" t="s">
        <v>127</v>
      </c>
      <c r="I278" s="113" t="s">
        <v>295</v>
      </c>
    </row>
    <row r="279" spans="4:9" x14ac:dyDescent="0.35">
      <c r="D279" s="74" t="s">
        <v>485</v>
      </c>
      <c r="E279" s="545" t="s">
        <v>941</v>
      </c>
      <c r="F279" s="20" t="s">
        <v>950</v>
      </c>
      <c r="G279" s="20" t="str">
        <f>+CONCATENATE(Doors[[#This Row],[Door Type ]],Doors[[#This Row],[Category]])</f>
        <v>Manual Sliding door - Single horizontal slideKick Plate Size</v>
      </c>
      <c r="H279" s="19" t="s">
        <v>127</v>
      </c>
      <c r="I279" s="113" t="s">
        <v>303</v>
      </c>
    </row>
    <row r="280" spans="4:9" x14ac:dyDescent="0.35">
      <c r="D280" s="74" t="s">
        <v>485</v>
      </c>
      <c r="E280" s="545" t="s">
        <v>941</v>
      </c>
      <c r="F280" s="20" t="s">
        <v>950</v>
      </c>
      <c r="G280" s="20" t="str">
        <f>+CONCATENATE(Doors[[#This Row],[Door Type ]],Doors[[#This Row],[Category]])</f>
        <v>Manual Sliding door - Single horizontal slideKick Plate Size</v>
      </c>
      <c r="H280" s="19" t="s">
        <v>127</v>
      </c>
      <c r="I280" s="113" t="s">
        <v>310</v>
      </c>
    </row>
    <row r="281" spans="4:9" x14ac:dyDescent="0.35">
      <c r="D281" s="74" t="s">
        <v>485</v>
      </c>
      <c r="E281" s="545" t="s">
        <v>941</v>
      </c>
      <c r="F281" s="20" t="s">
        <v>950</v>
      </c>
      <c r="G281" s="20" t="str">
        <f>+CONCATENATE(Doors[[#This Row],[Door Type ]],Doors[[#This Row],[Category]])</f>
        <v>Manual Sliding door - Single horizontal slideKick Plate Size</v>
      </c>
      <c r="H281" s="19" t="s">
        <v>127</v>
      </c>
      <c r="I281" s="113" t="s">
        <v>318</v>
      </c>
    </row>
    <row r="282" spans="4:9" x14ac:dyDescent="0.35">
      <c r="D282" s="74" t="s">
        <v>485</v>
      </c>
      <c r="E282" s="545" t="s">
        <v>941</v>
      </c>
      <c r="F282" s="20" t="s">
        <v>950</v>
      </c>
      <c r="G282" s="20" t="str">
        <f>+CONCATENATE(Doors[[#This Row],[Door Type ]],Doors[[#This Row],[Category]])</f>
        <v>Manual Sliding door - Single horizontal slideKick Plate Location</v>
      </c>
      <c r="H282" s="19" t="s">
        <v>128</v>
      </c>
      <c r="I282" s="113" t="s">
        <v>485</v>
      </c>
    </row>
    <row r="283" spans="4:9" x14ac:dyDescent="0.35">
      <c r="D283" s="74" t="s">
        <v>485</v>
      </c>
      <c r="E283" s="545" t="s">
        <v>941</v>
      </c>
      <c r="F283" s="20" t="s">
        <v>950</v>
      </c>
      <c r="G283" s="20" t="str">
        <f>+CONCATENATE(Doors[[#This Row],[Door Type ]],Doors[[#This Row],[Category]])</f>
        <v>Manual Sliding door - Single horizontal slideKick Plate Location</v>
      </c>
      <c r="H283" s="19" t="s">
        <v>128</v>
      </c>
      <c r="I283" s="113" t="s">
        <v>955</v>
      </c>
    </row>
    <row r="284" spans="4:9" x14ac:dyDescent="0.35">
      <c r="D284" s="74" t="s">
        <v>485</v>
      </c>
      <c r="E284" s="545" t="s">
        <v>941</v>
      </c>
      <c r="F284" s="20" t="s">
        <v>950</v>
      </c>
      <c r="G284" s="20" t="str">
        <f>+CONCATENATE(Doors[[#This Row],[Door Type ]],Doors[[#This Row],[Category]])</f>
        <v>Manual Sliding door - Single horizontal slideKick Plate Location</v>
      </c>
      <c r="H284" s="19" t="s">
        <v>128</v>
      </c>
      <c r="I284" s="113" t="s">
        <v>304</v>
      </c>
    </row>
    <row r="285" spans="4:9" x14ac:dyDescent="0.35">
      <c r="D285" s="74" t="s">
        <v>485</v>
      </c>
      <c r="E285" s="545" t="s">
        <v>941</v>
      </c>
      <c r="F285" s="20" t="s">
        <v>950</v>
      </c>
      <c r="G285" s="20" t="str">
        <f>+CONCATENATE(Doors[[#This Row],[Door Type ]],Doors[[#This Row],[Category]])</f>
        <v>Manual Sliding door - Single horizontal slideKick Plate Location</v>
      </c>
      <c r="H285" s="19" t="s">
        <v>128</v>
      </c>
      <c r="I285" s="113" t="s">
        <v>40</v>
      </c>
    </row>
    <row r="286" spans="4:9" x14ac:dyDescent="0.35">
      <c r="D286" s="74" t="s">
        <v>485</v>
      </c>
      <c r="E286" s="545" t="s">
        <v>941</v>
      </c>
      <c r="F286" s="20" t="s">
        <v>950</v>
      </c>
      <c r="G286" s="20" t="str">
        <f>+CONCATENATE(Doors[[#This Row],[Door Type ]],Doors[[#This Row],[Category]])</f>
        <v>Manual Sliding door - Single horizontal slideKick Plate Location</v>
      </c>
      <c r="H286" s="19" t="s">
        <v>128</v>
      </c>
      <c r="I286" s="113" t="s">
        <v>956</v>
      </c>
    </row>
    <row r="287" spans="4:9" x14ac:dyDescent="0.35">
      <c r="D287" s="74" t="s">
        <v>485</v>
      </c>
      <c r="E287" s="545" t="s">
        <v>941</v>
      </c>
      <c r="F287" s="20" t="s">
        <v>950</v>
      </c>
      <c r="G287" s="20" t="str">
        <f>+CONCATENATE(Doors[[#This Row],[Door Type ]],Doors[[#This Row],[Category]])</f>
        <v>Manual Sliding door - Single horizontal slideViewPort Window Size</v>
      </c>
      <c r="H287" s="19" t="s">
        <v>129</v>
      </c>
      <c r="I287" s="113" t="s">
        <v>629</v>
      </c>
    </row>
    <row r="288" spans="4:9" x14ac:dyDescent="0.35">
      <c r="D288" s="74" t="s">
        <v>485</v>
      </c>
      <c r="E288" s="545" t="s">
        <v>941</v>
      </c>
      <c r="F288" s="20" t="s">
        <v>950</v>
      </c>
      <c r="G288" s="20" t="str">
        <f>+CONCATENATE(Doors[[#This Row],[Door Type ]],Doors[[#This Row],[Category]])</f>
        <v>Manual Sliding door - Single horizontal slideViewPort Window Size</v>
      </c>
      <c r="H288" s="19" t="s">
        <v>129</v>
      </c>
      <c r="I288" s="113" t="s">
        <v>630</v>
      </c>
    </row>
    <row r="289" spans="4:9" x14ac:dyDescent="0.35">
      <c r="D289" s="74" t="s">
        <v>485</v>
      </c>
      <c r="E289" s="545" t="s">
        <v>941</v>
      </c>
      <c r="F289" s="20" t="s">
        <v>950</v>
      </c>
      <c r="G289" s="20" t="str">
        <f>+CONCATENATE(Doors[[#This Row],[Door Type ]],Doors[[#This Row],[Category]])</f>
        <v>Manual Sliding door - Single horizontal slideViewPort Window Size</v>
      </c>
      <c r="H289" s="19" t="s">
        <v>129</v>
      </c>
      <c r="I289" s="113" t="s">
        <v>631</v>
      </c>
    </row>
    <row r="290" spans="4:9" x14ac:dyDescent="0.35">
      <c r="D290" s="74" t="s">
        <v>485</v>
      </c>
      <c r="E290" s="545" t="s">
        <v>941</v>
      </c>
      <c r="F290" s="20" t="s">
        <v>950</v>
      </c>
      <c r="G290" s="20" t="str">
        <f>+CONCATENATE(Doors[[#This Row],[Door Type ]],Doors[[#This Row],[Category]])</f>
        <v>Manual Sliding door - Single horizontal slideViewPort Window Size</v>
      </c>
      <c r="H290" s="19" t="s">
        <v>129</v>
      </c>
      <c r="I290" s="113" t="s">
        <v>632</v>
      </c>
    </row>
    <row r="291" spans="4:9" x14ac:dyDescent="0.35">
      <c r="D291" s="74" t="s">
        <v>485</v>
      </c>
      <c r="E291" s="545" t="s">
        <v>941</v>
      </c>
      <c r="F291" s="20" t="s">
        <v>950</v>
      </c>
      <c r="G291" s="20" t="str">
        <f>+CONCATENATE(Doors[[#This Row],[Door Type ]],Doors[[#This Row],[Category]])</f>
        <v>Manual Sliding door - Single horizontal slideViewPort Window Type</v>
      </c>
      <c r="H291" s="19" t="s">
        <v>130</v>
      </c>
      <c r="I291" s="113" t="s">
        <v>957</v>
      </c>
    </row>
    <row r="292" spans="4:9" x14ac:dyDescent="0.35">
      <c r="D292" s="74" t="s">
        <v>485</v>
      </c>
      <c r="E292" s="545" t="s">
        <v>941</v>
      </c>
      <c r="F292" s="20" t="s">
        <v>950</v>
      </c>
      <c r="G292" s="20" t="str">
        <f>+CONCATENATE(Doors[[#This Row],[Door Type ]],Doors[[#This Row],[Category]])</f>
        <v>Manual Sliding door - Single horizontal slideViewPort Window Type</v>
      </c>
      <c r="H292" s="19" t="s">
        <v>130</v>
      </c>
      <c r="I292" s="113" t="s">
        <v>958</v>
      </c>
    </row>
    <row r="293" spans="4:9" x14ac:dyDescent="0.35">
      <c r="D293" s="74" t="s">
        <v>485</v>
      </c>
      <c r="E293" s="545" t="s">
        <v>941</v>
      </c>
      <c r="F293" s="20" t="s">
        <v>950</v>
      </c>
      <c r="G293" s="20" t="str">
        <f>+CONCATENATE(Doors[[#This Row],[Door Type ]],Doors[[#This Row],[Category]])</f>
        <v>Manual Sliding door - Single horizontal slideMotion Sensor</v>
      </c>
      <c r="H293" s="19" t="s">
        <v>131</v>
      </c>
      <c r="I293" s="28" t="s">
        <v>635</v>
      </c>
    </row>
    <row r="294" spans="4:9" x14ac:dyDescent="0.35">
      <c r="D294" s="74" t="s">
        <v>485</v>
      </c>
      <c r="E294" s="545" t="s">
        <v>941</v>
      </c>
      <c r="F294" s="20" t="s">
        <v>950</v>
      </c>
      <c r="G294" s="20" t="str">
        <f>+CONCATENATE(Doors[[#This Row],[Door Type ]],Doors[[#This Row],[Category]])</f>
        <v>Manual Sliding door - Single horizontal slideMotion Sensor</v>
      </c>
      <c r="H294" s="19" t="s">
        <v>131</v>
      </c>
      <c r="I294" s="28" t="s">
        <v>959</v>
      </c>
    </row>
    <row r="295" spans="4:9" x14ac:dyDescent="0.35">
      <c r="D295" s="74" t="s">
        <v>485</v>
      </c>
      <c r="E295" s="545" t="s">
        <v>941</v>
      </c>
      <c r="F295" s="20" t="s">
        <v>950</v>
      </c>
      <c r="G295" s="20" t="str">
        <f>+CONCATENATE(Doors[[#This Row],[Door Type ]],Doors[[#This Row],[Category]])</f>
        <v>Manual Sliding door - Single horizontal slideTamper Proof Hardware</v>
      </c>
      <c r="H295" s="19" t="s">
        <v>489</v>
      </c>
      <c r="I295" s="113" t="s">
        <v>489</v>
      </c>
    </row>
    <row r="296" spans="4:9" x14ac:dyDescent="0.35">
      <c r="D296" s="74" t="s">
        <v>485</v>
      </c>
      <c r="E296" s="545" t="s">
        <v>78</v>
      </c>
      <c r="F296" s="545" t="s">
        <v>949</v>
      </c>
      <c r="G296" s="545" t="str">
        <f>+CONCATENATE(Doors[[#This Row],[Door Type ]],Doors[[#This Row],[Category]])</f>
        <v>Infitting Doors - Swing doorDoor Panel</v>
      </c>
      <c r="H296" s="19" t="s">
        <v>50</v>
      </c>
      <c r="I296" s="113" t="s">
        <v>51</v>
      </c>
    </row>
    <row r="297" spans="4:9" x14ac:dyDescent="0.35">
      <c r="D297" s="74" t="s">
        <v>485</v>
      </c>
      <c r="E297" s="545" t="s">
        <v>78</v>
      </c>
      <c r="F297" s="545" t="s">
        <v>949</v>
      </c>
      <c r="G297" s="545" t="str">
        <f>+CONCATENATE(Doors[[#This Row],[Door Type ]],Doors[[#This Row],[Category]])</f>
        <v>Infitting Doors - Swing doorDoor Panel</v>
      </c>
      <c r="H297" s="19" t="s">
        <v>50</v>
      </c>
      <c r="I297" s="113" t="s">
        <v>370</v>
      </c>
    </row>
    <row r="298" spans="4:9" x14ac:dyDescent="0.35">
      <c r="D298" s="74" t="s">
        <v>485</v>
      </c>
      <c r="E298" s="545" t="s">
        <v>78</v>
      </c>
      <c r="F298" s="545" t="s">
        <v>949</v>
      </c>
      <c r="G298" s="545" t="str">
        <f>+CONCATENATE(Doors[[#This Row],[Door Type ]],Doors[[#This Row],[Category]])</f>
        <v>Infitting Doors - Swing doorDoor Panel</v>
      </c>
      <c r="H298" s="19" t="s">
        <v>50</v>
      </c>
      <c r="I298" s="113" t="s">
        <v>516</v>
      </c>
    </row>
    <row r="299" spans="4:9" x14ac:dyDescent="0.35">
      <c r="D299" s="74" t="s">
        <v>485</v>
      </c>
      <c r="E299" s="545" t="s">
        <v>78</v>
      </c>
      <c r="F299" s="545" t="s">
        <v>949</v>
      </c>
      <c r="G299" s="545" t="str">
        <f>+CONCATENATE(Doors[[#This Row],[Door Type ]],Doors[[#This Row],[Category]])</f>
        <v>Infitting Doors - Swing doorDoor Panel</v>
      </c>
      <c r="H299" s="19" t="s">
        <v>50</v>
      </c>
      <c r="I299" s="113" t="s">
        <v>517</v>
      </c>
    </row>
    <row r="300" spans="4:9" x14ac:dyDescent="0.35">
      <c r="D300" s="74" t="s">
        <v>485</v>
      </c>
      <c r="E300" s="545" t="s">
        <v>78</v>
      </c>
      <c r="F300" s="545" t="s">
        <v>949</v>
      </c>
      <c r="G300" s="545" t="str">
        <f>+CONCATENATE(Doors[[#This Row],[Door Type ]],Doors[[#This Row],[Category]])</f>
        <v>Infitting Doors - Swing doorFace Frame</v>
      </c>
      <c r="H300" s="19" t="s">
        <v>54</v>
      </c>
      <c r="I300" s="113" t="s">
        <v>51</v>
      </c>
    </row>
    <row r="301" spans="4:9" x14ac:dyDescent="0.35">
      <c r="D301" s="74" t="s">
        <v>485</v>
      </c>
      <c r="E301" s="545" t="s">
        <v>78</v>
      </c>
      <c r="F301" s="545" t="s">
        <v>949</v>
      </c>
      <c r="G301" s="545" t="str">
        <f>+CONCATENATE(Doors[[#This Row],[Door Type ]],Doors[[#This Row],[Category]])</f>
        <v>Infitting Doors - Swing doorFace Frame</v>
      </c>
      <c r="H301" s="19" t="s">
        <v>54</v>
      </c>
      <c r="I301" s="113" t="s">
        <v>370</v>
      </c>
    </row>
    <row r="302" spans="4:9" x14ac:dyDescent="0.35">
      <c r="D302" s="74" t="s">
        <v>485</v>
      </c>
      <c r="E302" s="545" t="s">
        <v>78</v>
      </c>
      <c r="F302" s="545" t="s">
        <v>949</v>
      </c>
      <c r="G302" s="545" t="str">
        <f>+CONCATENATE(Doors[[#This Row],[Door Type ]],Doors[[#This Row],[Category]])</f>
        <v>Infitting Doors - Swing doorFace Frame</v>
      </c>
      <c r="H302" s="19" t="s">
        <v>54</v>
      </c>
      <c r="I302" s="113" t="s">
        <v>517</v>
      </c>
    </row>
    <row r="303" spans="4:9" x14ac:dyDescent="0.35">
      <c r="D303" s="74" t="s">
        <v>485</v>
      </c>
      <c r="E303" s="545" t="s">
        <v>78</v>
      </c>
      <c r="F303" s="545" t="s">
        <v>949</v>
      </c>
      <c r="G303" s="545" t="str">
        <f>+CONCATENATE(Doors[[#This Row],[Door Type ]],Doors[[#This Row],[Category]])</f>
        <v>Infitting Doors - Swing doorHinge</v>
      </c>
      <c r="H303" s="19" t="s">
        <v>146</v>
      </c>
      <c r="I303" s="113" t="s">
        <v>547</v>
      </c>
    </row>
    <row r="304" spans="4:9" x14ac:dyDescent="0.35">
      <c r="D304" s="74" t="s">
        <v>485</v>
      </c>
      <c r="E304" s="545" t="s">
        <v>78</v>
      </c>
      <c r="F304" s="545" t="s">
        <v>949</v>
      </c>
      <c r="G304" s="545" t="str">
        <f>+CONCATENATE(Doors[[#This Row],[Door Type ]],Doors[[#This Row],[Category]])</f>
        <v>Infitting Doors - Swing doorHinge</v>
      </c>
      <c r="H304" s="19" t="s">
        <v>146</v>
      </c>
      <c r="I304" s="113" t="s">
        <v>186</v>
      </c>
    </row>
    <row r="305" spans="4:9" x14ac:dyDescent="0.35">
      <c r="D305" s="74" t="s">
        <v>485</v>
      </c>
      <c r="E305" s="545" t="s">
        <v>78</v>
      </c>
      <c r="F305" s="545" t="s">
        <v>949</v>
      </c>
      <c r="G305" s="545" t="str">
        <f>+CONCATENATE(Doors[[#This Row],[Door Type ]],Doors[[#This Row],[Category]])</f>
        <v>Infitting Doors - Swing doorHinge</v>
      </c>
      <c r="H305" s="19" t="s">
        <v>146</v>
      </c>
      <c r="I305" s="113" t="s">
        <v>640</v>
      </c>
    </row>
    <row r="306" spans="4:9" x14ac:dyDescent="0.35">
      <c r="D306" s="74" t="s">
        <v>485</v>
      </c>
      <c r="E306" s="545" t="s">
        <v>78</v>
      </c>
      <c r="F306" s="545" t="s">
        <v>949</v>
      </c>
      <c r="G306" s="545" t="str">
        <f>+CONCATENATE(Doors[[#This Row],[Door Type ]],Doors[[#This Row],[Category]])</f>
        <v>Infitting Doors - Swing doorHinge</v>
      </c>
      <c r="H306" s="19" t="s">
        <v>146</v>
      </c>
      <c r="I306" s="113" t="s">
        <v>641</v>
      </c>
    </row>
    <row r="307" spans="4:9" x14ac:dyDescent="0.35">
      <c r="D307" s="74" t="s">
        <v>485</v>
      </c>
      <c r="E307" s="545" t="s">
        <v>78</v>
      </c>
      <c r="F307" s="545" t="s">
        <v>949</v>
      </c>
      <c r="G307" s="545" t="str">
        <f>+CONCATENATE(Doors[[#This Row],[Door Type ]],Doors[[#This Row],[Category]])</f>
        <v>Infitting Doors - Swing doorHinge</v>
      </c>
      <c r="H307" s="19" t="s">
        <v>146</v>
      </c>
      <c r="I307" s="113" t="s">
        <v>642</v>
      </c>
    </row>
    <row r="308" spans="4:9" x14ac:dyDescent="0.35">
      <c r="D308" s="74" t="s">
        <v>485</v>
      </c>
      <c r="E308" s="545" t="s">
        <v>78</v>
      </c>
      <c r="F308" s="545" t="s">
        <v>949</v>
      </c>
      <c r="G308" s="545" t="str">
        <f>+CONCATENATE(Doors[[#This Row],[Door Type ]],Doors[[#This Row],[Category]])</f>
        <v>Infitting Doors - Swing doorHinge</v>
      </c>
      <c r="H308" s="19" t="s">
        <v>146</v>
      </c>
      <c r="I308" s="113" t="s">
        <v>643</v>
      </c>
    </row>
    <row r="309" spans="4:9" x14ac:dyDescent="0.35">
      <c r="D309" s="74" t="s">
        <v>485</v>
      </c>
      <c r="E309" s="545" t="s">
        <v>78</v>
      </c>
      <c r="F309" s="545" t="s">
        <v>949</v>
      </c>
      <c r="G309" s="545" t="str">
        <f>+CONCATENATE(Doors[[#This Row],[Door Type ]],Doors[[#This Row],[Category]])</f>
        <v>Infitting Doors - Swing doorHinge</v>
      </c>
      <c r="H309" s="19" t="s">
        <v>146</v>
      </c>
      <c r="I309" s="113" t="s">
        <v>644</v>
      </c>
    </row>
    <row r="310" spans="4:9" x14ac:dyDescent="0.35">
      <c r="D310" s="74" t="s">
        <v>485</v>
      </c>
      <c r="E310" s="545" t="s">
        <v>78</v>
      </c>
      <c r="F310" s="545" t="s">
        <v>949</v>
      </c>
      <c r="G310" s="545" t="str">
        <f>+CONCATENATE(Doors[[#This Row],[Door Type ]],Doors[[#This Row],[Category]])</f>
        <v>Infitting Doors - Swing doorHinge</v>
      </c>
      <c r="H310" s="19" t="s">
        <v>146</v>
      </c>
      <c r="I310" s="113" t="s">
        <v>517</v>
      </c>
    </row>
    <row r="311" spans="4:9" x14ac:dyDescent="0.35">
      <c r="D311" s="74" t="s">
        <v>485</v>
      </c>
      <c r="E311" s="545" t="s">
        <v>78</v>
      </c>
      <c r="F311" s="545" t="s">
        <v>949</v>
      </c>
      <c r="G311" s="545" t="str">
        <f>+CONCATENATE(Doors[[#This Row],[Door Type ]],Doors[[#This Row],[Category]])</f>
        <v>Infitting Doors - Swing doorLatch</v>
      </c>
      <c r="H311" s="19" t="s">
        <v>150</v>
      </c>
      <c r="I311" s="113" t="s">
        <v>585</v>
      </c>
    </row>
    <row r="312" spans="4:9" x14ac:dyDescent="0.35">
      <c r="D312" s="74" t="s">
        <v>485</v>
      </c>
      <c r="E312" s="545" t="s">
        <v>78</v>
      </c>
      <c r="F312" s="545" t="s">
        <v>949</v>
      </c>
      <c r="G312" s="545" t="str">
        <f>+CONCATENATE(Doors[[#This Row],[Door Type ]],Doors[[#This Row],[Category]])</f>
        <v>Infitting Doors - Swing doorLatch</v>
      </c>
      <c r="H312" s="19" t="s">
        <v>150</v>
      </c>
      <c r="I312" s="113" t="s">
        <v>645</v>
      </c>
    </row>
    <row r="313" spans="4:9" x14ac:dyDescent="0.35">
      <c r="D313" s="74" t="s">
        <v>485</v>
      </c>
      <c r="E313" s="545" t="s">
        <v>78</v>
      </c>
      <c r="F313" s="545" t="s">
        <v>949</v>
      </c>
      <c r="G313" s="545" t="str">
        <f>+CONCATENATE(Doors[[#This Row],[Door Type ]],Doors[[#This Row],[Category]])</f>
        <v>Infitting Doors - Swing doorLatch</v>
      </c>
      <c r="H313" s="19" t="s">
        <v>150</v>
      </c>
      <c r="I313" s="113" t="s">
        <v>962</v>
      </c>
    </row>
    <row r="314" spans="4:9" x14ac:dyDescent="0.35">
      <c r="D314" s="74" t="s">
        <v>485</v>
      </c>
      <c r="E314" s="545" t="s">
        <v>78</v>
      </c>
      <c r="F314" s="545" t="s">
        <v>949</v>
      </c>
      <c r="G314" s="545" t="str">
        <f>+CONCATENATE(Doors[[#This Row],[Door Type ]],Doors[[#This Row],[Category]])</f>
        <v>Infitting Doors - Swing doorLatch</v>
      </c>
      <c r="H314" s="19" t="s">
        <v>150</v>
      </c>
      <c r="I314" s="113" t="s">
        <v>187</v>
      </c>
    </row>
    <row r="315" spans="4:9" x14ac:dyDescent="0.35">
      <c r="D315" s="74" t="s">
        <v>485</v>
      </c>
      <c r="E315" s="545" t="s">
        <v>78</v>
      </c>
      <c r="F315" s="545" t="s">
        <v>949</v>
      </c>
      <c r="G315" s="545" t="str">
        <f>+CONCATENATE(Doors[[#This Row],[Door Type ]],Doors[[#This Row],[Category]])</f>
        <v>Infitting Doors - Swing doorLatch</v>
      </c>
      <c r="H315" s="19" t="s">
        <v>150</v>
      </c>
      <c r="I315" s="113" t="s">
        <v>539</v>
      </c>
    </row>
    <row r="316" spans="4:9" x14ac:dyDescent="0.35">
      <c r="D316" s="74" t="s">
        <v>485</v>
      </c>
      <c r="E316" s="545" t="s">
        <v>78</v>
      </c>
      <c r="F316" s="545" t="s">
        <v>949</v>
      </c>
      <c r="G316" s="545" t="str">
        <f>+CONCATENATE(Doors[[#This Row],[Door Type ]],Doors[[#This Row],[Category]])</f>
        <v>Infitting Doors - Swing doorLatch</v>
      </c>
      <c r="H316" s="19" t="s">
        <v>150</v>
      </c>
      <c r="I316" s="113" t="s">
        <v>649</v>
      </c>
    </row>
    <row r="317" spans="4:9" x14ac:dyDescent="0.35">
      <c r="D317" s="74" t="s">
        <v>485</v>
      </c>
      <c r="E317" s="545" t="s">
        <v>78</v>
      </c>
      <c r="F317" s="545" t="s">
        <v>949</v>
      </c>
      <c r="G317" s="545" t="str">
        <f>+CONCATENATE(Doors[[#This Row],[Door Type ]],Doors[[#This Row],[Category]])</f>
        <v>Infitting Doors - Swing doorLatch</v>
      </c>
      <c r="H317" s="19" t="s">
        <v>150</v>
      </c>
      <c r="I317" s="113" t="s">
        <v>517</v>
      </c>
    </row>
    <row r="318" spans="4:9" x14ac:dyDescent="0.35">
      <c r="D318" s="74" t="s">
        <v>485</v>
      </c>
      <c r="E318" s="545" t="s">
        <v>78</v>
      </c>
      <c r="F318" s="545" t="s">
        <v>949</v>
      </c>
      <c r="G318" s="545" t="str">
        <f>+CONCATENATE(Doors[[#This Row],[Door Type ]],Doors[[#This Row],[Category]])</f>
        <v xml:space="preserve">Infitting Doors - Swing doorInterior Release </v>
      </c>
      <c r="H318" s="19" t="s">
        <v>153</v>
      </c>
      <c r="I318" s="113" t="s">
        <v>188</v>
      </c>
    </row>
    <row r="319" spans="4:9" x14ac:dyDescent="0.35">
      <c r="D319" s="74" t="s">
        <v>485</v>
      </c>
      <c r="E319" s="545" t="s">
        <v>78</v>
      </c>
      <c r="F319" s="545" t="s">
        <v>949</v>
      </c>
      <c r="G319" s="545" t="str">
        <f>+CONCATENATE(Doors[[#This Row],[Door Type ]],Doors[[#This Row],[Category]])</f>
        <v xml:space="preserve">Infitting Doors - Swing doorInterior Release </v>
      </c>
      <c r="H319" s="19" t="s">
        <v>153</v>
      </c>
      <c r="I319" s="113" t="s">
        <v>652</v>
      </c>
    </row>
    <row r="320" spans="4:9" x14ac:dyDescent="0.35">
      <c r="D320" s="74" t="s">
        <v>485</v>
      </c>
      <c r="E320" s="545" t="s">
        <v>78</v>
      </c>
      <c r="F320" s="545" t="s">
        <v>949</v>
      </c>
      <c r="G320" s="545" t="str">
        <f>+CONCATENATE(Doors[[#This Row],[Door Type ]],Doors[[#This Row],[Category]])</f>
        <v xml:space="preserve">Infitting Doors - Swing doorInterior Release </v>
      </c>
      <c r="H320" s="19" t="s">
        <v>153</v>
      </c>
      <c r="I320" s="113" t="s">
        <v>653</v>
      </c>
    </row>
    <row r="321" spans="4:9" x14ac:dyDescent="0.35">
      <c r="D321" s="74" t="s">
        <v>485</v>
      </c>
      <c r="E321" s="545" t="s">
        <v>78</v>
      </c>
      <c r="F321" s="545" t="s">
        <v>949</v>
      </c>
      <c r="G321" s="545" t="str">
        <f>+CONCATENATE(Doors[[#This Row],[Door Type ]],Doors[[#This Row],[Category]])</f>
        <v xml:space="preserve">Infitting Doors - Swing doorInterior Release </v>
      </c>
      <c r="H321" s="19" t="s">
        <v>153</v>
      </c>
      <c r="I321" s="113" t="s">
        <v>654</v>
      </c>
    </row>
    <row r="322" spans="4:9" x14ac:dyDescent="0.35">
      <c r="D322" s="74" t="s">
        <v>485</v>
      </c>
      <c r="E322" s="545" t="s">
        <v>78</v>
      </c>
      <c r="F322" s="545" t="s">
        <v>949</v>
      </c>
      <c r="G322" s="545" t="str">
        <f>+CONCATENATE(Doors[[#This Row],[Door Type ]],Doors[[#This Row],[Category]])</f>
        <v xml:space="preserve">Infitting Doors - Swing doorInterior Release </v>
      </c>
      <c r="H322" s="19" t="s">
        <v>153</v>
      </c>
      <c r="I322" s="113" t="s">
        <v>655</v>
      </c>
    </row>
    <row r="323" spans="4:9" x14ac:dyDescent="0.35">
      <c r="D323" s="74" t="s">
        <v>485</v>
      </c>
      <c r="E323" s="545" t="s">
        <v>78</v>
      </c>
      <c r="F323" s="545" t="s">
        <v>949</v>
      </c>
      <c r="G323" s="545" t="str">
        <f>+CONCATENATE(Doors[[#This Row],[Door Type ]],Doors[[#This Row],[Category]])</f>
        <v xml:space="preserve">Infitting Doors - Swing doorInterior Release </v>
      </c>
      <c r="H323" s="19" t="s">
        <v>153</v>
      </c>
      <c r="I323" s="113" t="s">
        <v>656</v>
      </c>
    </row>
    <row r="324" spans="4:9" x14ac:dyDescent="0.35">
      <c r="D324" s="74" t="s">
        <v>485</v>
      </c>
      <c r="E324" s="545" t="s">
        <v>78</v>
      </c>
      <c r="F324" s="545" t="s">
        <v>949</v>
      </c>
      <c r="G324" s="545" t="str">
        <f>+CONCATENATE(Doors[[#This Row],[Door Type ]],Doors[[#This Row],[Category]])</f>
        <v xml:space="preserve">Infitting Doors - Swing doorInterior Release </v>
      </c>
      <c r="H324" s="19" t="s">
        <v>153</v>
      </c>
      <c r="I324" s="113" t="s">
        <v>954</v>
      </c>
    </row>
    <row r="325" spans="4:9" x14ac:dyDescent="0.35">
      <c r="D325" s="74" t="s">
        <v>485</v>
      </c>
      <c r="E325" s="545" t="s">
        <v>78</v>
      </c>
      <c r="F325" s="20" t="s">
        <v>950</v>
      </c>
      <c r="G325" s="20" t="str">
        <f>+CONCATENATE(Doors[[#This Row],[Door Type ]],Doors[[#This Row],[Category]])</f>
        <v>Infitting Doors - Swing doorInside Jamb</v>
      </c>
      <c r="H325" s="19" t="s">
        <v>58</v>
      </c>
      <c r="I325" s="113" t="s">
        <v>80</v>
      </c>
    </row>
    <row r="326" spans="4:9" x14ac:dyDescent="0.35">
      <c r="D326" s="74" t="s">
        <v>485</v>
      </c>
      <c r="E326" s="545" t="s">
        <v>78</v>
      </c>
      <c r="F326" s="20" t="s">
        <v>950</v>
      </c>
      <c r="G326" s="20" t="str">
        <f>+CONCATENATE(Doors[[#This Row],[Door Type ]],Doors[[#This Row],[Category]])</f>
        <v>Infitting Doors - Swing doorBack Frame</v>
      </c>
      <c r="H326" s="19" t="s">
        <v>60</v>
      </c>
      <c r="I326" s="113" t="s">
        <v>80</v>
      </c>
    </row>
    <row r="327" spans="4:9" x14ac:dyDescent="0.35">
      <c r="D327" s="74" t="s">
        <v>485</v>
      </c>
      <c r="E327" s="545" t="s">
        <v>78</v>
      </c>
      <c r="F327" s="20" t="s">
        <v>950</v>
      </c>
      <c r="G327" s="20" t="str">
        <f>+CONCATENATE(Doors[[#This Row],[Door Type ]],Doors[[#This Row],[Category]])</f>
        <v>Infitting Doors - Swing doorFreezer Door</v>
      </c>
      <c r="H327" s="19" t="s">
        <v>125</v>
      </c>
      <c r="I327" s="113" t="s">
        <v>951</v>
      </c>
    </row>
    <row r="328" spans="4:9" x14ac:dyDescent="0.35">
      <c r="D328" s="74" t="s">
        <v>485</v>
      </c>
      <c r="E328" s="545" t="s">
        <v>78</v>
      </c>
      <c r="F328" s="20" t="s">
        <v>950</v>
      </c>
      <c r="G328" s="20" t="str">
        <f>+CONCATENATE(Doors[[#This Row],[Door Type ]],Doors[[#This Row],[Category]])</f>
        <v>Infitting Doors - Swing doorFreezer Door</v>
      </c>
      <c r="H328" s="19" t="s">
        <v>125</v>
      </c>
      <c r="I328" s="113" t="s">
        <v>63</v>
      </c>
    </row>
    <row r="329" spans="4:9" x14ac:dyDescent="0.35">
      <c r="D329" s="74" t="s">
        <v>485</v>
      </c>
      <c r="E329" s="545" t="s">
        <v>78</v>
      </c>
      <c r="F329" s="20" t="s">
        <v>950</v>
      </c>
      <c r="G329" s="20" t="str">
        <f>+CONCATENATE(Doors[[#This Row],[Door Type ]],Doors[[#This Row],[Category]])</f>
        <v>Infitting Doors - Swing doorFreezer Door</v>
      </c>
      <c r="H329" s="19" t="s">
        <v>125</v>
      </c>
      <c r="I329" s="113" t="s">
        <v>952</v>
      </c>
    </row>
    <row r="330" spans="4:9" x14ac:dyDescent="0.35">
      <c r="D330" s="74" t="s">
        <v>485</v>
      </c>
      <c r="E330" s="545" t="s">
        <v>78</v>
      </c>
      <c r="F330" s="20" t="s">
        <v>950</v>
      </c>
      <c r="G330" s="20" t="str">
        <f>+CONCATENATE(Doors[[#This Row],[Door Type ]],Doors[[#This Row],[Category]])</f>
        <v>Infitting Doors - Swing doorFreezer Door</v>
      </c>
      <c r="H330" s="19" t="s">
        <v>125</v>
      </c>
      <c r="I330" s="113" t="s">
        <v>953</v>
      </c>
    </row>
    <row r="331" spans="4:9" x14ac:dyDescent="0.35">
      <c r="D331" s="74" t="s">
        <v>485</v>
      </c>
      <c r="E331" s="545" t="s">
        <v>78</v>
      </c>
      <c r="F331" s="20" t="s">
        <v>950</v>
      </c>
      <c r="G331" s="20" t="str">
        <f>+CONCATENATE(Doors[[#This Row],[Door Type ]],Doors[[#This Row],[Category]])</f>
        <v xml:space="preserve">Infitting Doors - Swing doorDoor Closer </v>
      </c>
      <c r="H331" s="19" t="s">
        <v>155</v>
      </c>
      <c r="I331" s="113" t="s">
        <v>709</v>
      </c>
    </row>
    <row r="332" spans="4:9" x14ac:dyDescent="0.35">
      <c r="D332" s="74" t="s">
        <v>485</v>
      </c>
      <c r="E332" s="545" t="s">
        <v>78</v>
      </c>
      <c r="F332" s="20" t="s">
        <v>950</v>
      </c>
      <c r="G332" s="20" t="str">
        <f>+CONCATENATE(Doors[[#This Row],[Door Type ]],Doors[[#This Row],[Category]])</f>
        <v xml:space="preserve">Infitting Doors - Swing doorDoor Closer </v>
      </c>
      <c r="H332" s="19" t="s">
        <v>155</v>
      </c>
      <c r="I332" s="113" t="s">
        <v>189</v>
      </c>
    </row>
    <row r="333" spans="4:9" x14ac:dyDescent="0.35">
      <c r="D333" s="74" t="s">
        <v>485</v>
      </c>
      <c r="E333" s="545" t="s">
        <v>78</v>
      </c>
      <c r="F333" s="20" t="s">
        <v>950</v>
      </c>
      <c r="G333" s="20" t="str">
        <f>+CONCATENATE(Doors[[#This Row],[Door Type ]],Doors[[#This Row],[Category]])</f>
        <v xml:space="preserve">Infitting Doors - Swing doorDoor Closer </v>
      </c>
      <c r="H333" s="19" t="s">
        <v>155</v>
      </c>
      <c r="I333" s="113" t="s">
        <v>710</v>
      </c>
    </row>
    <row r="334" spans="4:9" x14ac:dyDescent="0.35">
      <c r="D334" s="74" t="s">
        <v>485</v>
      </c>
      <c r="E334" s="545" t="s">
        <v>78</v>
      </c>
      <c r="F334" s="20" t="s">
        <v>950</v>
      </c>
      <c r="G334" s="20" t="str">
        <f>+CONCATENATE(Doors[[#This Row],[Door Type ]],Doors[[#This Row],[Category]])</f>
        <v xml:space="preserve">Infitting Doors - Swing doorDoor Closer </v>
      </c>
      <c r="H334" s="19" t="s">
        <v>155</v>
      </c>
      <c r="I334" s="113" t="s">
        <v>954</v>
      </c>
    </row>
    <row r="335" spans="4:9" x14ac:dyDescent="0.35">
      <c r="D335" s="74" t="s">
        <v>485</v>
      </c>
      <c r="E335" s="545" t="s">
        <v>78</v>
      </c>
      <c r="F335" s="20" t="s">
        <v>950</v>
      </c>
      <c r="G335" s="20" t="str">
        <f>+CONCATENATE(Doors[[#This Row],[Door Type ]],Doors[[#This Row],[Category]])</f>
        <v>Infitting Doors - Swing doorKick Plate Material</v>
      </c>
      <c r="H335" s="19" t="s">
        <v>126</v>
      </c>
      <c r="I335" s="113" t="s">
        <v>518</v>
      </c>
    </row>
    <row r="336" spans="4:9" x14ac:dyDescent="0.35">
      <c r="D336" s="74" t="s">
        <v>485</v>
      </c>
      <c r="E336" s="545" t="s">
        <v>78</v>
      </c>
      <c r="F336" s="20" t="s">
        <v>950</v>
      </c>
      <c r="G336" s="20" t="str">
        <f>+CONCATENATE(Doors[[#This Row],[Door Type ]],Doors[[#This Row],[Category]])</f>
        <v>Infitting Doors - Swing doorKick Plate Material</v>
      </c>
      <c r="H336" s="19" t="s">
        <v>126</v>
      </c>
      <c r="I336" s="113" t="s">
        <v>595</v>
      </c>
    </row>
    <row r="337" spans="4:9" x14ac:dyDescent="0.35">
      <c r="D337" s="74" t="s">
        <v>485</v>
      </c>
      <c r="E337" s="545" t="s">
        <v>78</v>
      </c>
      <c r="F337" s="20" t="s">
        <v>950</v>
      </c>
      <c r="G337" s="20" t="str">
        <f>+CONCATENATE(Doors[[#This Row],[Door Type ]],Doors[[#This Row],[Category]])</f>
        <v>Infitting Doors - Swing doorKick Plate Material</v>
      </c>
      <c r="H337" s="19" t="s">
        <v>126</v>
      </c>
      <c r="I337" s="113" t="s">
        <v>522</v>
      </c>
    </row>
    <row r="338" spans="4:9" x14ac:dyDescent="0.35">
      <c r="D338" s="74" t="s">
        <v>485</v>
      </c>
      <c r="E338" s="545" t="s">
        <v>78</v>
      </c>
      <c r="F338" s="20" t="s">
        <v>950</v>
      </c>
      <c r="G338" s="20" t="str">
        <f>+CONCATENATE(Doors[[#This Row],[Door Type ]],Doors[[#This Row],[Category]])</f>
        <v>Infitting Doors - Swing doorKick Plate Material</v>
      </c>
      <c r="H338" s="19" t="s">
        <v>126</v>
      </c>
      <c r="I338" s="113" t="s">
        <v>954</v>
      </c>
    </row>
    <row r="339" spans="4:9" x14ac:dyDescent="0.35">
      <c r="D339" s="74" t="s">
        <v>485</v>
      </c>
      <c r="E339" s="545" t="s">
        <v>78</v>
      </c>
      <c r="F339" s="20" t="s">
        <v>950</v>
      </c>
      <c r="G339" s="20" t="str">
        <f>+CONCATENATE(Doors[[#This Row],[Door Type ]],Doors[[#This Row],[Category]])</f>
        <v>Infitting Doors - Swing doorKick Plate Size</v>
      </c>
      <c r="H339" s="19" t="s">
        <v>127</v>
      </c>
      <c r="I339" s="113" t="s">
        <v>295</v>
      </c>
    </row>
    <row r="340" spans="4:9" x14ac:dyDescent="0.35">
      <c r="D340" s="74" t="s">
        <v>485</v>
      </c>
      <c r="E340" s="545" t="s">
        <v>78</v>
      </c>
      <c r="F340" s="20" t="s">
        <v>950</v>
      </c>
      <c r="G340" s="20" t="str">
        <f>+CONCATENATE(Doors[[#This Row],[Door Type ]],Doors[[#This Row],[Category]])</f>
        <v>Infitting Doors - Swing doorKick Plate Size</v>
      </c>
      <c r="H340" s="19" t="s">
        <v>127</v>
      </c>
      <c r="I340" s="113" t="s">
        <v>303</v>
      </c>
    </row>
    <row r="341" spans="4:9" x14ac:dyDescent="0.35">
      <c r="D341" s="74" t="s">
        <v>485</v>
      </c>
      <c r="E341" s="545" t="s">
        <v>78</v>
      </c>
      <c r="F341" s="20" t="s">
        <v>950</v>
      </c>
      <c r="G341" s="20" t="str">
        <f>+CONCATENATE(Doors[[#This Row],[Door Type ]],Doors[[#This Row],[Category]])</f>
        <v>Infitting Doors - Swing doorKick Plate Size</v>
      </c>
      <c r="H341" s="19" t="s">
        <v>127</v>
      </c>
      <c r="I341" s="113" t="s">
        <v>310</v>
      </c>
    </row>
    <row r="342" spans="4:9" x14ac:dyDescent="0.35">
      <c r="D342" s="74" t="s">
        <v>485</v>
      </c>
      <c r="E342" s="545" t="s">
        <v>78</v>
      </c>
      <c r="F342" s="20" t="s">
        <v>950</v>
      </c>
      <c r="G342" s="20" t="str">
        <f>+CONCATENATE(Doors[[#This Row],[Door Type ]],Doors[[#This Row],[Category]])</f>
        <v>Infitting Doors - Swing doorKick Plate Size</v>
      </c>
      <c r="H342" s="19" t="s">
        <v>127</v>
      </c>
      <c r="I342" s="113" t="s">
        <v>318</v>
      </c>
    </row>
    <row r="343" spans="4:9" x14ac:dyDescent="0.35">
      <c r="D343" s="74" t="s">
        <v>485</v>
      </c>
      <c r="E343" s="545" t="s">
        <v>78</v>
      </c>
      <c r="F343" s="20" t="s">
        <v>950</v>
      </c>
      <c r="G343" s="20" t="str">
        <f>+CONCATENATE(Doors[[#This Row],[Door Type ]],Doors[[#This Row],[Category]])</f>
        <v>Infitting Doors - Swing doorKick Plate Location</v>
      </c>
      <c r="H343" s="19" t="s">
        <v>128</v>
      </c>
      <c r="I343" s="113" t="s">
        <v>485</v>
      </c>
    </row>
    <row r="344" spans="4:9" x14ac:dyDescent="0.35">
      <c r="D344" s="74" t="s">
        <v>485</v>
      </c>
      <c r="E344" s="545" t="s">
        <v>78</v>
      </c>
      <c r="F344" s="20" t="s">
        <v>950</v>
      </c>
      <c r="G344" s="20" t="str">
        <f>+CONCATENATE(Doors[[#This Row],[Door Type ]],Doors[[#This Row],[Category]])</f>
        <v>Infitting Doors - Swing doorKick Plate Location</v>
      </c>
      <c r="H344" s="19" t="s">
        <v>128</v>
      </c>
      <c r="I344" s="113" t="s">
        <v>955</v>
      </c>
    </row>
    <row r="345" spans="4:9" x14ac:dyDescent="0.35">
      <c r="D345" s="74" t="s">
        <v>485</v>
      </c>
      <c r="E345" s="545" t="s">
        <v>78</v>
      </c>
      <c r="F345" s="20" t="s">
        <v>950</v>
      </c>
      <c r="G345" s="20" t="str">
        <f>+CONCATENATE(Doors[[#This Row],[Door Type ]],Doors[[#This Row],[Category]])</f>
        <v>Infitting Doors - Swing doorKick Plate Location</v>
      </c>
      <c r="H345" s="19" t="s">
        <v>128</v>
      </c>
      <c r="I345" s="113" t="s">
        <v>304</v>
      </c>
    </row>
    <row r="346" spans="4:9" x14ac:dyDescent="0.35">
      <c r="D346" s="74" t="s">
        <v>485</v>
      </c>
      <c r="E346" s="545" t="s">
        <v>78</v>
      </c>
      <c r="F346" s="20" t="s">
        <v>950</v>
      </c>
      <c r="G346" s="20" t="str">
        <f>+CONCATENATE(Doors[[#This Row],[Door Type ]],Doors[[#This Row],[Category]])</f>
        <v>Infitting Doors - Swing doorKick Plate Location</v>
      </c>
      <c r="H346" s="19" t="s">
        <v>128</v>
      </c>
      <c r="I346" s="113" t="s">
        <v>40</v>
      </c>
    </row>
    <row r="347" spans="4:9" x14ac:dyDescent="0.35">
      <c r="D347" s="74" t="s">
        <v>485</v>
      </c>
      <c r="E347" s="545" t="s">
        <v>78</v>
      </c>
      <c r="F347" s="20" t="s">
        <v>950</v>
      </c>
      <c r="G347" s="20" t="str">
        <f>+CONCATENATE(Doors[[#This Row],[Door Type ]],Doors[[#This Row],[Category]])</f>
        <v>Infitting Doors - Swing doorKick Plate Location</v>
      </c>
      <c r="H347" s="19" t="s">
        <v>128</v>
      </c>
      <c r="I347" s="113" t="s">
        <v>956</v>
      </c>
    </row>
    <row r="348" spans="4:9" x14ac:dyDescent="0.35">
      <c r="D348" s="74" t="s">
        <v>485</v>
      </c>
      <c r="E348" s="545" t="s">
        <v>78</v>
      </c>
      <c r="F348" s="20" t="s">
        <v>950</v>
      </c>
      <c r="G348" s="20" t="str">
        <f>+CONCATENATE(Doors[[#This Row],[Door Type ]],Doors[[#This Row],[Category]])</f>
        <v>Infitting Doors - Swing doorViewPort Window Size</v>
      </c>
      <c r="H348" s="19" t="s">
        <v>129</v>
      </c>
      <c r="I348" s="113" t="s">
        <v>629</v>
      </c>
    </row>
    <row r="349" spans="4:9" x14ac:dyDescent="0.35">
      <c r="D349" s="74" t="s">
        <v>485</v>
      </c>
      <c r="E349" s="545" t="s">
        <v>78</v>
      </c>
      <c r="F349" s="20" t="s">
        <v>950</v>
      </c>
      <c r="G349" s="20" t="str">
        <f>+CONCATENATE(Doors[[#This Row],[Door Type ]],Doors[[#This Row],[Category]])</f>
        <v>Infitting Doors - Swing doorViewPort Window Size</v>
      </c>
      <c r="H349" s="19" t="s">
        <v>129</v>
      </c>
      <c r="I349" s="113" t="s">
        <v>630</v>
      </c>
    </row>
    <row r="350" spans="4:9" x14ac:dyDescent="0.35">
      <c r="D350" s="74" t="s">
        <v>485</v>
      </c>
      <c r="E350" s="545" t="s">
        <v>78</v>
      </c>
      <c r="F350" s="20" t="s">
        <v>950</v>
      </c>
      <c r="G350" s="20" t="str">
        <f>+CONCATENATE(Doors[[#This Row],[Door Type ]],Doors[[#This Row],[Category]])</f>
        <v>Infitting Doors - Swing doorViewPort Window Size</v>
      </c>
      <c r="H350" s="19" t="s">
        <v>129</v>
      </c>
      <c r="I350" s="113" t="s">
        <v>631</v>
      </c>
    </row>
    <row r="351" spans="4:9" x14ac:dyDescent="0.35">
      <c r="D351" s="74" t="s">
        <v>485</v>
      </c>
      <c r="E351" s="545" t="s">
        <v>78</v>
      </c>
      <c r="F351" s="20" t="s">
        <v>950</v>
      </c>
      <c r="G351" s="20" t="str">
        <f>+CONCATENATE(Doors[[#This Row],[Door Type ]],Doors[[#This Row],[Category]])</f>
        <v>Infitting Doors - Swing doorViewPort Window Size</v>
      </c>
      <c r="H351" s="19" t="s">
        <v>129</v>
      </c>
      <c r="I351" s="113" t="s">
        <v>632</v>
      </c>
    </row>
    <row r="352" spans="4:9" x14ac:dyDescent="0.35">
      <c r="D352" s="74" t="s">
        <v>485</v>
      </c>
      <c r="E352" s="545" t="s">
        <v>78</v>
      </c>
      <c r="F352" s="20" t="s">
        <v>950</v>
      </c>
      <c r="G352" s="20" t="str">
        <f>+CONCATENATE(Doors[[#This Row],[Door Type ]],Doors[[#This Row],[Category]])</f>
        <v>Infitting Doors - Swing doorViewPort Window Type</v>
      </c>
      <c r="H352" s="19" t="s">
        <v>130</v>
      </c>
      <c r="I352" s="113" t="s">
        <v>957</v>
      </c>
    </row>
    <row r="353" spans="4:9" x14ac:dyDescent="0.35">
      <c r="D353" s="74" t="s">
        <v>485</v>
      </c>
      <c r="E353" s="545" t="s">
        <v>78</v>
      </c>
      <c r="F353" s="20" t="s">
        <v>950</v>
      </c>
      <c r="G353" s="20" t="str">
        <f>+CONCATENATE(Doors[[#This Row],[Door Type ]],Doors[[#This Row],[Category]])</f>
        <v>Infitting Doors - Swing doorViewPort Window Type</v>
      </c>
      <c r="H353" s="19" t="s">
        <v>130</v>
      </c>
      <c r="I353" s="113" t="s">
        <v>958</v>
      </c>
    </row>
    <row r="354" spans="4:9" x14ac:dyDescent="0.35">
      <c r="D354" s="74" t="s">
        <v>485</v>
      </c>
      <c r="E354" s="545" t="s">
        <v>78</v>
      </c>
      <c r="F354" s="20" t="s">
        <v>950</v>
      </c>
      <c r="G354" s="20" t="str">
        <f>+CONCATENATE(Doors[[#This Row],[Door Type ]],Doors[[#This Row],[Category]])</f>
        <v>Infitting Doors - Swing doorHood</v>
      </c>
      <c r="H354" s="19" t="s">
        <v>963</v>
      </c>
      <c r="I354" s="113" t="s">
        <v>661</v>
      </c>
    </row>
    <row r="355" spans="4:9" x14ac:dyDescent="0.35">
      <c r="D355" s="74" t="s">
        <v>485</v>
      </c>
      <c r="E355" s="545" t="s">
        <v>78</v>
      </c>
      <c r="F355" s="20" t="s">
        <v>950</v>
      </c>
      <c r="G355" s="20" t="str">
        <f>+CONCATENATE(Doors[[#This Row],[Door Type ]],Doors[[#This Row],[Category]])</f>
        <v>Infitting Doors - Swing doorHood</v>
      </c>
      <c r="H355" s="19" t="s">
        <v>963</v>
      </c>
      <c r="I355" s="113" t="s">
        <v>662</v>
      </c>
    </row>
    <row r="356" spans="4:9" x14ac:dyDescent="0.35">
      <c r="D356" s="74" t="s">
        <v>485</v>
      </c>
      <c r="E356" s="545" t="s">
        <v>78</v>
      </c>
      <c r="F356" s="20" t="s">
        <v>950</v>
      </c>
      <c r="G356" s="20" t="str">
        <f>+CONCATENATE(Doors[[#This Row],[Door Type ]],Doors[[#This Row],[Category]])</f>
        <v>Infitting Doors - Swing doorHood</v>
      </c>
      <c r="H356" s="19" t="s">
        <v>963</v>
      </c>
      <c r="I356" s="113" t="s">
        <v>954</v>
      </c>
    </row>
    <row r="357" spans="4:9" x14ac:dyDescent="0.35">
      <c r="D357" s="74" t="s">
        <v>485</v>
      </c>
      <c r="E357" s="545" t="s">
        <v>78</v>
      </c>
      <c r="F357" s="48" t="s">
        <v>950</v>
      </c>
      <c r="G357" s="48" t="str">
        <f>+CONCATENATE(Doors[[#This Row],[Door Type ]],Doors[[#This Row],[Category]])</f>
        <v>Infitting Doors - Swing doorTamper Proof Hardware</v>
      </c>
      <c r="H357" s="499" t="s">
        <v>489</v>
      </c>
      <c r="I357" s="500" t="s">
        <v>489</v>
      </c>
    </row>
    <row r="358" spans="4:9" x14ac:dyDescent="0.35">
      <c r="D358" s="20"/>
      <c r="E358" s="20"/>
      <c r="F358" s="20"/>
      <c r="G358" s="20"/>
      <c r="H358" s="19"/>
      <c r="I358" s="49"/>
    </row>
    <row r="359" spans="4:9" x14ac:dyDescent="0.35">
      <c r="D359" s="20"/>
      <c r="E359" s="20"/>
      <c r="F359" s="20"/>
      <c r="G359" s="20"/>
      <c r="H359" s="19"/>
      <c r="I359" s="49"/>
    </row>
    <row r="360" spans="4:9" x14ac:dyDescent="0.35">
      <c r="D360" s="20"/>
      <c r="E360" s="20"/>
      <c r="F360" s="20"/>
      <c r="G360" s="20"/>
      <c r="H360" s="19"/>
      <c r="I360" s="49"/>
    </row>
    <row r="361" spans="4:9" x14ac:dyDescent="0.35">
      <c r="D361" s="20"/>
      <c r="E361" s="20"/>
      <c r="F361" s="20"/>
      <c r="G361" s="20"/>
      <c r="H361" s="19"/>
      <c r="I361" s="49"/>
    </row>
    <row r="362" spans="4:9" x14ac:dyDescent="0.35">
      <c r="D362" s="20"/>
      <c r="E362" s="20"/>
      <c r="F362" s="20"/>
      <c r="G362" s="20"/>
      <c r="H362" s="19"/>
      <c r="I362" s="49"/>
    </row>
    <row r="363" spans="4:9" x14ac:dyDescent="0.35">
      <c r="D363" s="20"/>
      <c r="E363" s="20"/>
      <c r="F363" s="20"/>
      <c r="G363" s="20"/>
      <c r="H363" s="19"/>
      <c r="I363" s="49"/>
    </row>
    <row r="364" spans="4:9" x14ac:dyDescent="0.35">
      <c r="D364" s="20"/>
      <c r="E364" s="20"/>
      <c r="F364" s="20"/>
      <c r="G364" s="20"/>
      <c r="H364" s="19"/>
      <c r="I364" s="49"/>
    </row>
    <row r="365" spans="4:9" x14ac:dyDescent="0.35">
      <c r="D365" s="20"/>
      <c r="E365" s="20"/>
      <c r="F365" s="20"/>
      <c r="G365" s="20"/>
      <c r="H365" s="19"/>
      <c r="I365" s="49"/>
    </row>
    <row r="366" spans="4:9" x14ac:dyDescent="0.35">
      <c r="D366" s="20"/>
      <c r="E366" s="20"/>
      <c r="F366" s="20"/>
      <c r="G366" s="20"/>
      <c r="H366" s="19"/>
      <c r="I366" s="49"/>
    </row>
    <row r="367" spans="4:9" x14ac:dyDescent="0.35">
      <c r="D367" s="20"/>
      <c r="E367" s="20"/>
      <c r="F367" s="20"/>
      <c r="G367" s="20"/>
      <c r="H367" s="19"/>
      <c r="I367" s="49"/>
    </row>
    <row r="368" spans="4:9" x14ac:dyDescent="0.35">
      <c r="D368" s="20"/>
      <c r="E368" s="20"/>
      <c r="F368" s="20"/>
      <c r="G368" s="20"/>
      <c r="H368" s="19"/>
      <c r="I368" s="49"/>
    </row>
    <row r="369" spans="4:9" x14ac:dyDescent="0.35">
      <c r="D369" s="20"/>
      <c r="E369" s="20"/>
      <c r="F369" s="20"/>
      <c r="G369" s="20"/>
      <c r="H369" s="19"/>
      <c r="I369" s="49"/>
    </row>
    <row r="370" spans="4:9" x14ac:dyDescent="0.35">
      <c r="D370" s="20"/>
      <c r="E370" s="20"/>
      <c r="F370" s="20"/>
      <c r="G370" s="20"/>
      <c r="H370" s="19"/>
      <c r="I370" s="49"/>
    </row>
    <row r="371" spans="4:9" x14ac:dyDescent="0.35">
      <c r="D371" s="20"/>
      <c r="E371" s="20"/>
      <c r="F371" s="20"/>
      <c r="G371" s="20"/>
      <c r="H371" s="19"/>
      <c r="I371" s="49"/>
    </row>
    <row r="372" spans="4:9" x14ac:dyDescent="0.35">
      <c r="D372" s="20"/>
      <c r="E372" s="20"/>
      <c r="F372" s="20"/>
      <c r="G372" s="20"/>
      <c r="H372" s="19"/>
      <c r="I372" s="49"/>
    </row>
    <row r="373" spans="4:9" x14ac:dyDescent="0.35">
      <c r="D373" s="20"/>
      <c r="E373" s="20"/>
      <c r="F373" s="20"/>
      <c r="G373" s="20"/>
      <c r="H373" s="19"/>
      <c r="I373" s="49"/>
    </row>
    <row r="374" spans="4:9" x14ac:dyDescent="0.35">
      <c r="D374" s="20"/>
      <c r="E374" s="20"/>
      <c r="F374" s="20"/>
      <c r="G374" s="20"/>
      <c r="H374" s="19"/>
      <c r="I374" s="49"/>
    </row>
    <row r="375" spans="4:9" x14ac:dyDescent="0.35">
      <c r="D375" s="20"/>
      <c r="E375" s="20"/>
      <c r="F375" s="20"/>
      <c r="G375" s="20"/>
      <c r="H375" s="19"/>
      <c r="I375" s="49"/>
    </row>
    <row r="376" spans="4:9" x14ac:dyDescent="0.35">
      <c r="D376" s="20"/>
      <c r="E376" s="20"/>
      <c r="F376" s="20"/>
      <c r="G376" s="20"/>
      <c r="H376" s="19"/>
      <c r="I376" s="49"/>
    </row>
    <row r="377" spans="4:9" x14ac:dyDescent="0.35">
      <c r="D377" s="20"/>
      <c r="E377" s="20"/>
      <c r="F377" s="20"/>
      <c r="G377" s="20"/>
      <c r="H377" s="19"/>
      <c r="I377" s="49"/>
    </row>
    <row r="378" spans="4:9" x14ac:dyDescent="0.35">
      <c r="D378" s="20"/>
      <c r="E378" s="20"/>
      <c r="F378" s="20"/>
      <c r="G378" s="20"/>
      <c r="H378" s="19"/>
      <c r="I378" s="49"/>
    </row>
    <row r="379" spans="4:9" x14ac:dyDescent="0.35">
      <c r="D379" s="20"/>
      <c r="E379" s="20"/>
      <c r="F379" s="20"/>
      <c r="G379" s="20"/>
      <c r="H379" s="19"/>
      <c r="I379" s="49"/>
    </row>
    <row r="380" spans="4:9" x14ac:dyDescent="0.35">
      <c r="D380" s="20"/>
      <c r="E380" s="20"/>
      <c r="F380" s="20"/>
      <c r="G380" s="20"/>
      <c r="H380" s="19"/>
      <c r="I380" s="49"/>
    </row>
    <row r="381" spans="4:9" x14ac:dyDescent="0.35">
      <c r="D381" s="20"/>
      <c r="E381" s="20"/>
      <c r="F381" s="20"/>
      <c r="G381" s="20"/>
      <c r="H381" s="19"/>
      <c r="I381" s="49"/>
    </row>
    <row r="382" spans="4:9" x14ac:dyDescent="0.35">
      <c r="D382" s="20"/>
      <c r="E382" s="20"/>
      <c r="F382" s="20"/>
      <c r="G382" s="20"/>
      <c r="H382" s="19"/>
      <c r="I382" s="49"/>
    </row>
    <row r="383" spans="4:9" x14ac:dyDescent="0.35">
      <c r="D383" s="20"/>
      <c r="E383" s="20"/>
      <c r="F383" s="20"/>
      <c r="G383" s="20"/>
      <c r="H383" s="19"/>
      <c r="I383" s="49"/>
    </row>
    <row r="384" spans="4:9" x14ac:dyDescent="0.35">
      <c r="D384" s="20"/>
      <c r="E384" s="20"/>
      <c r="F384" s="20"/>
      <c r="G384" s="20"/>
      <c r="H384" s="19"/>
      <c r="I384" s="49"/>
    </row>
    <row r="385" spans="4:9" x14ac:dyDescent="0.35">
      <c r="D385" s="20"/>
      <c r="E385" s="20"/>
      <c r="F385" s="20"/>
      <c r="G385" s="20"/>
      <c r="H385" s="19"/>
      <c r="I385" s="49"/>
    </row>
    <row r="386" spans="4:9" x14ac:dyDescent="0.35">
      <c r="D386" s="20"/>
      <c r="E386" s="20"/>
      <c r="F386" s="20"/>
      <c r="G386" s="20"/>
      <c r="H386" s="19"/>
      <c r="I386" s="49"/>
    </row>
    <row r="387" spans="4:9" x14ac:dyDescent="0.35">
      <c r="D387" s="20"/>
      <c r="E387" s="20"/>
      <c r="F387" s="20"/>
      <c r="G387" s="20"/>
      <c r="H387" s="19"/>
      <c r="I387" s="49"/>
    </row>
    <row r="388" spans="4:9" x14ac:dyDescent="0.35">
      <c r="D388" s="20"/>
      <c r="E388" s="20"/>
      <c r="F388" s="20"/>
      <c r="G388" s="20"/>
      <c r="H388" s="19"/>
      <c r="I388" s="49"/>
    </row>
    <row r="389" spans="4:9" x14ac:dyDescent="0.35">
      <c r="D389" s="20"/>
      <c r="E389" s="20"/>
      <c r="F389" s="20"/>
      <c r="G389" s="20"/>
      <c r="H389" s="19"/>
      <c r="I389" s="49"/>
    </row>
    <row r="390" spans="4:9" x14ac:dyDescent="0.35">
      <c r="D390" s="20"/>
      <c r="E390" s="20"/>
      <c r="F390" s="20"/>
      <c r="G390" s="20"/>
      <c r="H390" s="19"/>
      <c r="I390" s="49"/>
    </row>
    <row r="391" spans="4:9" x14ac:dyDescent="0.35">
      <c r="D391" s="20"/>
      <c r="E391" s="20"/>
      <c r="F391" s="20"/>
      <c r="G391" s="20"/>
      <c r="H391" s="19"/>
      <c r="I391" s="49"/>
    </row>
    <row r="392" spans="4:9" x14ac:dyDescent="0.35">
      <c r="D392" s="20"/>
      <c r="E392" s="20"/>
      <c r="F392" s="20"/>
      <c r="G392" s="20"/>
      <c r="H392" s="19"/>
      <c r="I392" s="49"/>
    </row>
    <row r="393" spans="4:9" x14ac:dyDescent="0.35">
      <c r="D393" s="20"/>
      <c r="E393" s="20"/>
      <c r="F393" s="20"/>
      <c r="G393" s="20"/>
      <c r="H393" s="19"/>
      <c r="I393" s="49"/>
    </row>
    <row r="394" spans="4:9" x14ac:dyDescent="0.35">
      <c r="D394" s="20"/>
      <c r="E394" s="20"/>
      <c r="F394" s="20"/>
      <c r="G394" s="20"/>
      <c r="H394" s="19"/>
      <c r="I394" s="49"/>
    </row>
    <row r="395" spans="4:9" x14ac:dyDescent="0.35">
      <c r="D395" s="20"/>
      <c r="E395" s="20"/>
      <c r="F395" s="20"/>
      <c r="G395" s="20"/>
      <c r="H395" s="19"/>
      <c r="I395" s="49"/>
    </row>
    <row r="396" spans="4:9" x14ac:dyDescent="0.35">
      <c r="D396" s="20"/>
      <c r="E396" s="20"/>
      <c r="F396" s="20"/>
      <c r="G396" s="20"/>
      <c r="H396" s="19"/>
      <c r="I396" s="49"/>
    </row>
    <row r="397" spans="4:9" x14ac:dyDescent="0.35">
      <c r="D397" s="20"/>
      <c r="E397" s="20"/>
      <c r="F397" s="20"/>
      <c r="G397" s="20"/>
      <c r="H397" s="19"/>
      <c r="I397" s="49"/>
    </row>
    <row r="398" spans="4:9" x14ac:dyDescent="0.35">
      <c r="D398" s="20"/>
      <c r="E398" s="20"/>
      <c r="F398" s="20"/>
      <c r="G398" s="20"/>
      <c r="H398" s="19"/>
      <c r="I398" s="49"/>
    </row>
    <row r="399" spans="4:9" x14ac:dyDescent="0.35">
      <c r="D399" s="20"/>
      <c r="E399" s="20"/>
      <c r="F399" s="20"/>
      <c r="G399" s="20"/>
      <c r="H399" s="19"/>
      <c r="I399" s="49"/>
    </row>
    <row r="400" spans="4:9" x14ac:dyDescent="0.35">
      <c r="D400" s="20"/>
      <c r="E400" s="20"/>
      <c r="F400" s="20"/>
      <c r="G400" s="20"/>
      <c r="H400" s="19"/>
      <c r="I400" s="49"/>
    </row>
    <row r="401" spans="4:9" x14ac:dyDescent="0.35">
      <c r="D401" s="20"/>
      <c r="E401" s="20"/>
      <c r="F401" s="20"/>
      <c r="G401" s="20"/>
      <c r="H401" s="19"/>
      <c r="I401" s="49"/>
    </row>
    <row r="402" spans="4:9" x14ac:dyDescent="0.35">
      <c r="D402" s="20"/>
      <c r="E402" s="20"/>
      <c r="F402" s="20"/>
      <c r="G402" s="20"/>
      <c r="H402" s="19"/>
      <c r="I402" s="49"/>
    </row>
    <row r="403" spans="4:9" x14ac:dyDescent="0.35">
      <c r="D403" s="20"/>
      <c r="E403" s="20"/>
      <c r="F403" s="20"/>
      <c r="G403" s="20"/>
      <c r="H403" s="19"/>
      <c r="I403" s="49"/>
    </row>
    <row r="404" spans="4:9" x14ac:dyDescent="0.35">
      <c r="D404" s="20"/>
      <c r="E404" s="20"/>
      <c r="F404" s="20"/>
      <c r="G404" s="20"/>
      <c r="H404" s="19"/>
      <c r="I404" s="49"/>
    </row>
    <row r="405" spans="4:9" x14ac:dyDescent="0.35">
      <c r="D405" s="20"/>
      <c r="E405" s="20"/>
      <c r="F405" s="20"/>
      <c r="G405" s="20"/>
      <c r="H405" s="19"/>
      <c r="I405" s="49"/>
    </row>
    <row r="406" spans="4:9" x14ac:dyDescent="0.35">
      <c r="D406" s="20"/>
      <c r="E406" s="20"/>
      <c r="F406" s="20"/>
      <c r="G406" s="20"/>
      <c r="H406" s="19"/>
      <c r="I406" s="49"/>
    </row>
    <row r="407" spans="4:9" x14ac:dyDescent="0.35">
      <c r="D407" s="20"/>
      <c r="E407" s="20"/>
      <c r="F407" s="20"/>
      <c r="G407" s="20"/>
      <c r="H407" s="19"/>
      <c r="I407" s="49"/>
    </row>
    <row r="408" spans="4:9" x14ac:dyDescent="0.35">
      <c r="D408" s="20"/>
      <c r="E408" s="20"/>
      <c r="F408" s="20"/>
      <c r="G408" s="20"/>
      <c r="H408" s="19"/>
      <c r="I408" s="49"/>
    </row>
    <row r="409" spans="4:9" x14ac:dyDescent="0.35">
      <c r="D409" s="20"/>
      <c r="E409" s="20"/>
      <c r="F409" s="20"/>
      <c r="G409" s="20"/>
      <c r="H409" s="19"/>
      <c r="I409" s="49"/>
    </row>
    <row r="410" spans="4:9" x14ac:dyDescent="0.35">
      <c r="D410" s="20"/>
      <c r="E410" s="20"/>
      <c r="F410" s="20"/>
      <c r="G410" s="20"/>
      <c r="H410" s="19"/>
      <c r="I410" s="49"/>
    </row>
    <row r="411" spans="4:9" x14ac:dyDescent="0.35">
      <c r="D411" s="20"/>
      <c r="E411" s="20"/>
      <c r="F411" s="20"/>
      <c r="G411" s="20"/>
      <c r="H411" s="19"/>
      <c r="I411" s="49"/>
    </row>
    <row r="412" spans="4:9" x14ac:dyDescent="0.35">
      <c r="D412" s="20"/>
      <c r="E412" s="20"/>
      <c r="F412" s="20"/>
      <c r="G412" s="20"/>
      <c r="H412" s="19"/>
      <c r="I412" s="49"/>
    </row>
    <row r="413" spans="4:9" x14ac:dyDescent="0.35">
      <c r="D413" s="20"/>
      <c r="E413" s="20"/>
      <c r="F413" s="20"/>
      <c r="G413" s="20"/>
      <c r="H413" s="19"/>
      <c r="I413" s="49"/>
    </row>
    <row r="414" spans="4:9" x14ac:dyDescent="0.35">
      <c r="D414" s="20"/>
      <c r="E414" s="20"/>
      <c r="F414" s="20"/>
      <c r="G414" s="20"/>
      <c r="H414" s="19"/>
      <c r="I414" s="49"/>
    </row>
    <row r="415" spans="4:9" x14ac:dyDescent="0.35">
      <c r="D415" s="20"/>
      <c r="E415" s="20"/>
      <c r="F415" s="20"/>
      <c r="G415" s="20"/>
      <c r="H415" s="19"/>
      <c r="I415" s="49"/>
    </row>
    <row r="416" spans="4:9" x14ac:dyDescent="0.35">
      <c r="D416" s="20"/>
      <c r="E416" s="20"/>
      <c r="F416" s="20"/>
      <c r="G416" s="20"/>
      <c r="H416" s="19"/>
      <c r="I416" s="49"/>
    </row>
    <row r="417" spans="4:9" x14ac:dyDescent="0.35">
      <c r="D417" s="20"/>
      <c r="E417" s="20"/>
      <c r="F417" s="20"/>
      <c r="G417" s="20"/>
      <c r="H417" s="19"/>
      <c r="I417" s="49"/>
    </row>
    <row r="418" spans="4:9" x14ac:dyDescent="0.35">
      <c r="D418" s="20"/>
      <c r="E418" s="20"/>
      <c r="F418" s="20"/>
      <c r="G418" s="20"/>
      <c r="H418" s="19"/>
      <c r="I418" s="49"/>
    </row>
    <row r="419" spans="4:9" x14ac:dyDescent="0.35">
      <c r="D419" s="20"/>
      <c r="E419" s="20"/>
      <c r="F419" s="20"/>
      <c r="G419" s="20"/>
      <c r="H419" s="19"/>
      <c r="I419" s="49"/>
    </row>
    <row r="420" spans="4:9" x14ac:dyDescent="0.35">
      <c r="D420" s="20"/>
      <c r="E420" s="20"/>
      <c r="F420" s="20"/>
      <c r="G420" s="20"/>
      <c r="H420" s="19"/>
      <c r="I420" s="49"/>
    </row>
    <row r="421" spans="4:9" x14ac:dyDescent="0.35">
      <c r="D421" s="20"/>
      <c r="E421" s="20"/>
      <c r="F421" s="20"/>
      <c r="G421" s="20"/>
      <c r="H421" s="19"/>
      <c r="I421" s="49"/>
    </row>
    <row r="422" spans="4:9" x14ac:dyDescent="0.35">
      <c r="D422" s="20"/>
      <c r="E422" s="20"/>
      <c r="F422" s="20"/>
      <c r="G422" s="20"/>
      <c r="H422" s="19"/>
      <c r="I422" s="49"/>
    </row>
    <row r="423" spans="4:9" x14ac:dyDescent="0.35">
      <c r="D423" s="20"/>
      <c r="E423" s="20"/>
      <c r="F423" s="20"/>
      <c r="G423" s="20"/>
      <c r="H423" s="19"/>
      <c r="I423" s="49"/>
    </row>
    <row r="424" spans="4:9" x14ac:dyDescent="0.35">
      <c r="D424" s="20"/>
      <c r="E424" s="20"/>
      <c r="F424" s="20"/>
      <c r="G424" s="20"/>
      <c r="H424" s="19"/>
      <c r="I424" s="49"/>
    </row>
    <row r="425" spans="4:9" x14ac:dyDescent="0.35">
      <c r="D425" s="20"/>
      <c r="E425" s="20"/>
      <c r="F425" s="20"/>
      <c r="G425" s="20"/>
      <c r="H425" s="19"/>
      <c r="I425" s="49"/>
    </row>
    <row r="426" spans="4:9" x14ac:dyDescent="0.35">
      <c r="D426" s="20"/>
      <c r="E426" s="20"/>
      <c r="F426" s="20"/>
      <c r="G426" s="20"/>
      <c r="H426" s="19"/>
      <c r="I426" s="49"/>
    </row>
    <row r="427" spans="4:9" x14ac:dyDescent="0.35">
      <c r="D427" s="20"/>
      <c r="E427" s="20"/>
      <c r="F427" s="20"/>
      <c r="G427" s="20"/>
      <c r="H427" s="19"/>
      <c r="I427" s="49"/>
    </row>
    <row r="428" spans="4:9" x14ac:dyDescent="0.35">
      <c r="D428" s="20"/>
      <c r="E428" s="20"/>
      <c r="F428" s="20"/>
      <c r="G428" s="20"/>
      <c r="H428" s="19"/>
      <c r="I428" s="49"/>
    </row>
    <row r="429" spans="4:9" x14ac:dyDescent="0.35">
      <c r="D429" s="20"/>
      <c r="E429" s="20"/>
      <c r="F429" s="20"/>
      <c r="G429" s="20"/>
      <c r="H429" s="19"/>
      <c r="I429" s="49"/>
    </row>
    <row r="430" spans="4:9" x14ac:dyDescent="0.35">
      <c r="D430" s="20"/>
      <c r="E430" s="20"/>
      <c r="F430" s="20"/>
      <c r="G430" s="20"/>
      <c r="H430" s="19"/>
      <c r="I430" s="49"/>
    </row>
    <row r="431" spans="4:9" x14ac:dyDescent="0.35">
      <c r="D431" s="20"/>
      <c r="E431" s="20"/>
      <c r="F431" s="20"/>
      <c r="G431" s="20"/>
      <c r="H431" s="19"/>
      <c r="I431" s="49"/>
    </row>
    <row r="432" spans="4:9" x14ac:dyDescent="0.35">
      <c r="D432" s="20"/>
      <c r="E432" s="20"/>
      <c r="F432" s="20"/>
      <c r="G432" s="20"/>
      <c r="H432" s="19"/>
      <c r="I432" s="49"/>
    </row>
    <row r="433" spans="4:9" x14ac:dyDescent="0.35">
      <c r="D433" s="20"/>
      <c r="E433" s="20"/>
      <c r="F433" s="20"/>
      <c r="G433" s="20"/>
      <c r="H433" s="19"/>
      <c r="I433" s="49"/>
    </row>
    <row r="434" spans="4:9" x14ac:dyDescent="0.35">
      <c r="D434" s="20"/>
      <c r="E434" s="20"/>
      <c r="F434" s="20"/>
      <c r="G434" s="20"/>
      <c r="H434" s="19"/>
      <c r="I434" s="49"/>
    </row>
    <row r="435" spans="4:9" x14ac:dyDescent="0.35">
      <c r="D435" s="20"/>
      <c r="E435" s="20"/>
      <c r="F435" s="20"/>
      <c r="G435" s="20"/>
      <c r="H435" s="19"/>
      <c r="I435" s="49"/>
    </row>
    <row r="436" spans="4:9" x14ac:dyDescent="0.35">
      <c r="D436" s="20"/>
      <c r="E436" s="20"/>
      <c r="F436" s="20"/>
      <c r="G436" s="20"/>
      <c r="H436" s="19"/>
      <c r="I436" s="49"/>
    </row>
    <row r="437" spans="4:9" x14ac:dyDescent="0.35">
      <c r="D437" s="20"/>
      <c r="E437" s="20"/>
      <c r="F437" s="20"/>
      <c r="G437" s="20"/>
      <c r="H437" s="19"/>
      <c r="I437" s="49"/>
    </row>
    <row r="438" spans="4:9" x14ac:dyDescent="0.35">
      <c r="D438" s="20"/>
      <c r="E438" s="20"/>
      <c r="F438" s="20"/>
      <c r="G438" s="20"/>
      <c r="H438" s="19"/>
      <c r="I438" s="49"/>
    </row>
    <row r="439" spans="4:9" x14ac:dyDescent="0.35">
      <c r="D439" s="20"/>
      <c r="E439" s="20"/>
      <c r="F439" s="20"/>
      <c r="G439" s="20"/>
      <c r="H439" s="19"/>
      <c r="I439" s="49"/>
    </row>
    <row r="440" spans="4:9" x14ac:dyDescent="0.35">
      <c r="D440" s="20"/>
      <c r="E440" s="20"/>
      <c r="F440" s="20"/>
      <c r="G440" s="20"/>
      <c r="H440" s="19"/>
      <c r="I440" s="49"/>
    </row>
    <row r="441" spans="4:9" x14ac:dyDescent="0.35">
      <c r="D441" s="20"/>
      <c r="E441" s="20"/>
      <c r="F441" s="20"/>
      <c r="G441" s="20"/>
      <c r="H441" s="19"/>
      <c r="I441" s="49"/>
    </row>
    <row r="442" spans="4:9" x14ac:dyDescent="0.35">
      <c r="D442" s="20"/>
      <c r="E442" s="20"/>
      <c r="F442" s="20"/>
      <c r="G442" s="20"/>
      <c r="H442" s="19"/>
      <c r="I442" s="49"/>
    </row>
    <row r="443" spans="4:9" x14ac:dyDescent="0.35">
      <c r="D443" s="20"/>
      <c r="E443" s="20"/>
      <c r="F443" s="20"/>
      <c r="G443" s="20"/>
      <c r="H443" s="19"/>
      <c r="I443" s="49"/>
    </row>
    <row r="444" spans="4:9" x14ac:dyDescent="0.35">
      <c r="D444" s="20"/>
      <c r="E444" s="20"/>
      <c r="F444" s="20"/>
      <c r="G444" s="20"/>
      <c r="H444" s="19"/>
      <c r="I444" s="49"/>
    </row>
    <row r="445" spans="4:9" x14ac:dyDescent="0.35">
      <c r="D445" s="20"/>
      <c r="E445" s="20"/>
      <c r="F445" s="20"/>
      <c r="G445" s="20"/>
      <c r="H445" s="19"/>
      <c r="I445" s="49"/>
    </row>
    <row r="446" spans="4:9" x14ac:dyDescent="0.35">
      <c r="D446" s="20"/>
      <c r="E446" s="20"/>
      <c r="F446" s="20"/>
      <c r="G446" s="20"/>
      <c r="H446" s="19"/>
      <c r="I446" s="49"/>
    </row>
    <row r="447" spans="4:9" x14ac:dyDescent="0.35">
      <c r="D447" s="20"/>
      <c r="E447" s="20"/>
      <c r="F447" s="20"/>
      <c r="G447" s="20"/>
      <c r="H447" s="19"/>
      <c r="I447" s="49"/>
    </row>
    <row r="448" spans="4:9" x14ac:dyDescent="0.35">
      <c r="D448" s="20"/>
      <c r="E448" s="20"/>
      <c r="F448" s="20"/>
      <c r="G448" s="20"/>
      <c r="H448" s="19"/>
      <c r="I448" s="49"/>
    </row>
    <row r="449" spans="4:9" x14ac:dyDescent="0.35">
      <c r="D449" s="20"/>
      <c r="E449" s="20"/>
      <c r="F449" s="20"/>
      <c r="G449" s="20"/>
      <c r="H449" s="19"/>
      <c r="I449" s="49"/>
    </row>
    <row r="450" spans="4:9" x14ac:dyDescent="0.35">
      <c r="D450" s="20"/>
      <c r="E450" s="20"/>
      <c r="F450" s="20"/>
      <c r="G450" s="20"/>
      <c r="H450" s="19"/>
      <c r="I450" s="49"/>
    </row>
    <row r="451" spans="4:9" x14ac:dyDescent="0.35">
      <c r="D451" s="20"/>
      <c r="E451" s="20"/>
      <c r="F451" s="20"/>
      <c r="G451" s="20"/>
      <c r="H451" s="19"/>
      <c r="I451" s="49"/>
    </row>
    <row r="452" spans="4:9" x14ac:dyDescent="0.35">
      <c r="D452" s="20"/>
      <c r="E452" s="20"/>
      <c r="F452" s="20"/>
      <c r="G452" s="20"/>
      <c r="H452" s="19"/>
      <c r="I452" s="49"/>
    </row>
    <row r="453" spans="4:9" x14ac:dyDescent="0.35">
      <c r="D453" s="20"/>
      <c r="E453" s="20"/>
      <c r="F453" s="20"/>
      <c r="G453" s="20"/>
      <c r="H453" s="19"/>
      <c r="I453" s="49"/>
    </row>
    <row r="454" spans="4:9" x14ac:dyDescent="0.35">
      <c r="D454" s="20"/>
      <c r="E454" s="20"/>
      <c r="F454" s="20"/>
      <c r="G454" s="20"/>
      <c r="H454" s="19"/>
      <c r="I454" s="49"/>
    </row>
    <row r="455" spans="4:9" x14ac:dyDescent="0.35">
      <c r="D455" s="20"/>
      <c r="E455" s="20"/>
      <c r="F455" s="20"/>
      <c r="G455" s="20"/>
      <c r="H455" s="19"/>
      <c r="I455" s="49"/>
    </row>
    <row r="456" spans="4:9" x14ac:dyDescent="0.35">
      <c r="D456" s="20"/>
      <c r="E456" s="20"/>
      <c r="F456" s="20"/>
      <c r="G456" s="20"/>
      <c r="H456" s="19"/>
      <c r="I456" s="49"/>
    </row>
    <row r="457" spans="4:9" x14ac:dyDescent="0.35">
      <c r="D457" s="20"/>
      <c r="E457" s="20"/>
      <c r="F457" s="20"/>
      <c r="G457" s="20"/>
      <c r="H457" s="19"/>
      <c r="I457" s="49"/>
    </row>
    <row r="458" spans="4:9" x14ac:dyDescent="0.35">
      <c r="D458" s="20"/>
      <c r="E458" s="20"/>
      <c r="F458" s="20"/>
      <c r="G458" s="20"/>
      <c r="H458" s="19"/>
      <c r="I458" s="49"/>
    </row>
    <row r="459" spans="4:9" x14ac:dyDescent="0.35">
      <c r="D459" s="20"/>
      <c r="E459" s="20"/>
      <c r="F459" s="20"/>
      <c r="G459" s="20"/>
      <c r="H459" s="19"/>
      <c r="I459" s="49"/>
    </row>
    <row r="460" spans="4:9" x14ac:dyDescent="0.35">
      <c r="D460" s="20"/>
      <c r="E460" s="20"/>
      <c r="F460" s="20"/>
      <c r="G460" s="20"/>
      <c r="H460" s="19"/>
      <c r="I460" s="49"/>
    </row>
    <row r="461" spans="4:9" x14ac:dyDescent="0.35">
      <c r="D461" s="20"/>
      <c r="E461" s="20"/>
      <c r="F461" s="20"/>
      <c r="G461" s="20"/>
      <c r="H461" s="19"/>
      <c r="I461" s="49"/>
    </row>
    <row r="462" spans="4:9" x14ac:dyDescent="0.35">
      <c r="D462" s="20"/>
      <c r="E462" s="20"/>
      <c r="F462" s="20"/>
      <c r="G462" s="20"/>
      <c r="H462" s="19"/>
      <c r="I462" s="49"/>
    </row>
    <row r="463" spans="4:9" x14ac:dyDescent="0.35">
      <c r="D463" s="20"/>
      <c r="E463" s="20"/>
      <c r="F463" s="20"/>
      <c r="G463" s="20"/>
      <c r="H463" s="19"/>
      <c r="I463" s="49"/>
    </row>
    <row r="464" spans="4:9" x14ac:dyDescent="0.35">
      <c r="D464" s="20"/>
      <c r="E464" s="20"/>
      <c r="F464" s="20"/>
      <c r="G464" s="20"/>
      <c r="H464" s="19"/>
      <c r="I464" s="49"/>
    </row>
    <row r="465" spans="4:9" x14ac:dyDescent="0.35">
      <c r="D465" s="20"/>
      <c r="E465" s="20"/>
      <c r="F465" s="20"/>
      <c r="G465" s="20"/>
      <c r="H465" s="19"/>
      <c r="I465" s="49"/>
    </row>
    <row r="466" spans="4:9" x14ac:dyDescent="0.35">
      <c r="D466" s="20"/>
      <c r="E466" s="20"/>
      <c r="F466" s="20"/>
      <c r="G466" s="20"/>
      <c r="H466" s="19"/>
      <c r="I466" s="49"/>
    </row>
    <row r="467" spans="4:9" x14ac:dyDescent="0.35">
      <c r="D467" s="20"/>
      <c r="E467" s="20"/>
      <c r="F467" s="20"/>
      <c r="G467" s="20"/>
      <c r="H467" s="19"/>
      <c r="I467" s="49"/>
    </row>
    <row r="468" spans="4:9" x14ac:dyDescent="0.35">
      <c r="D468" s="20"/>
      <c r="E468" s="20"/>
      <c r="F468" s="20"/>
      <c r="G468" s="20"/>
      <c r="H468" s="19"/>
      <c r="I468" s="49"/>
    </row>
    <row r="469" spans="4:9" x14ac:dyDescent="0.35">
      <c r="D469" s="20"/>
      <c r="E469" s="20"/>
      <c r="F469" s="20"/>
      <c r="G469" s="20"/>
      <c r="H469" s="19"/>
      <c r="I469" s="49"/>
    </row>
    <row r="470" spans="4:9" x14ac:dyDescent="0.35">
      <c r="D470" s="20"/>
      <c r="E470" s="20"/>
      <c r="F470" s="20"/>
      <c r="G470" s="20"/>
      <c r="H470" s="19"/>
      <c r="I470" s="49"/>
    </row>
    <row r="471" spans="4:9" x14ac:dyDescent="0.35">
      <c r="D471" s="20"/>
      <c r="E471" s="20"/>
      <c r="F471" s="20"/>
      <c r="G471" s="20"/>
      <c r="H471" s="19"/>
      <c r="I471" s="49"/>
    </row>
    <row r="472" spans="4:9" x14ac:dyDescent="0.35">
      <c r="D472" s="20"/>
      <c r="E472" s="20"/>
      <c r="F472" s="20"/>
      <c r="G472" s="20"/>
      <c r="H472" s="19"/>
      <c r="I472" s="49"/>
    </row>
    <row r="473" spans="4:9" x14ac:dyDescent="0.35">
      <c r="D473" s="20"/>
      <c r="E473" s="20"/>
      <c r="F473" s="20"/>
      <c r="G473" s="20"/>
      <c r="H473" s="19"/>
      <c r="I473" s="49"/>
    </row>
    <row r="474" spans="4:9" x14ac:dyDescent="0.35">
      <c r="D474" s="20"/>
      <c r="E474" s="20"/>
      <c r="F474" s="20"/>
      <c r="G474" s="20"/>
      <c r="H474" s="19"/>
      <c r="I474" s="49"/>
    </row>
    <row r="475" spans="4:9" x14ac:dyDescent="0.35">
      <c r="D475" s="20"/>
      <c r="E475" s="20"/>
      <c r="F475" s="20"/>
      <c r="G475" s="20"/>
      <c r="H475" s="19"/>
      <c r="I475" s="49"/>
    </row>
    <row r="476" spans="4:9" x14ac:dyDescent="0.35">
      <c r="D476" s="20"/>
      <c r="E476" s="20"/>
      <c r="F476" s="20"/>
      <c r="G476" s="20"/>
      <c r="H476" s="19"/>
      <c r="I476" s="49"/>
    </row>
    <row r="477" spans="4:9" x14ac:dyDescent="0.35">
      <c r="D477" s="20"/>
      <c r="E477" s="20"/>
      <c r="F477" s="20"/>
      <c r="G477" s="20"/>
      <c r="H477" s="19"/>
      <c r="I477" s="49"/>
    </row>
    <row r="478" spans="4:9" x14ac:dyDescent="0.35">
      <c r="D478" s="20"/>
      <c r="E478" s="20"/>
      <c r="F478" s="20"/>
      <c r="G478" s="20"/>
      <c r="H478" s="19"/>
      <c r="I478" s="49"/>
    </row>
    <row r="479" spans="4:9" x14ac:dyDescent="0.35">
      <c r="D479" s="20"/>
      <c r="E479" s="20"/>
      <c r="F479" s="20"/>
      <c r="G479" s="20"/>
      <c r="H479" s="19"/>
      <c r="I479" s="49"/>
    </row>
    <row r="480" spans="4:9" x14ac:dyDescent="0.35">
      <c r="D480" s="20"/>
      <c r="E480" s="20"/>
      <c r="F480" s="20"/>
      <c r="G480" s="20"/>
      <c r="H480" s="19"/>
      <c r="I480" s="49"/>
    </row>
    <row r="481" spans="4:9" x14ac:dyDescent="0.35">
      <c r="D481" s="20"/>
      <c r="E481" s="20"/>
      <c r="F481" s="20"/>
      <c r="G481" s="20"/>
      <c r="H481" s="19"/>
      <c r="I481" s="49"/>
    </row>
    <row r="482" spans="4:9" x14ac:dyDescent="0.35">
      <c r="D482" s="20"/>
      <c r="E482" s="20"/>
      <c r="F482" s="20"/>
      <c r="G482" s="20"/>
      <c r="H482" s="19"/>
      <c r="I482" s="49"/>
    </row>
    <row r="483" spans="4:9" x14ac:dyDescent="0.35">
      <c r="D483" s="20"/>
      <c r="E483" s="20"/>
      <c r="F483" s="20"/>
      <c r="G483" s="20"/>
      <c r="H483" s="19"/>
      <c r="I483" s="49"/>
    </row>
    <row r="484" spans="4:9" x14ac:dyDescent="0.35">
      <c r="D484" s="20"/>
      <c r="E484" s="20"/>
      <c r="F484" s="20"/>
      <c r="G484" s="20"/>
      <c r="H484" s="19"/>
      <c r="I484" s="49"/>
    </row>
    <row r="485" spans="4:9" x14ac:dyDescent="0.35">
      <c r="D485" s="20"/>
      <c r="E485" s="20"/>
      <c r="F485" s="20"/>
      <c r="G485" s="20"/>
      <c r="H485" s="19"/>
      <c r="I485" s="49"/>
    </row>
    <row r="486" spans="4:9" x14ac:dyDescent="0.35">
      <c r="D486" s="20"/>
      <c r="E486" s="20"/>
      <c r="F486" s="20"/>
      <c r="G486" s="20"/>
      <c r="H486" s="19"/>
      <c r="I486" s="49"/>
    </row>
    <row r="487" spans="4:9" x14ac:dyDescent="0.35">
      <c r="D487" s="20"/>
      <c r="E487" s="20"/>
      <c r="F487" s="20"/>
      <c r="G487" s="20"/>
      <c r="H487" s="19"/>
      <c r="I487" s="49"/>
    </row>
    <row r="488" spans="4:9" x14ac:dyDescent="0.35">
      <c r="D488" s="20"/>
      <c r="E488" s="20"/>
      <c r="F488" s="20"/>
      <c r="G488" s="20"/>
      <c r="H488" s="19"/>
      <c r="I488" s="49"/>
    </row>
    <row r="489" spans="4:9" x14ac:dyDescent="0.35">
      <c r="D489" s="20"/>
      <c r="E489" s="20"/>
      <c r="F489" s="20"/>
      <c r="G489" s="20"/>
      <c r="H489" s="19"/>
      <c r="I489" s="49"/>
    </row>
    <row r="490" spans="4:9" x14ac:dyDescent="0.35">
      <c r="D490" s="20"/>
      <c r="E490" s="20"/>
      <c r="F490" s="20"/>
      <c r="G490" s="20"/>
      <c r="H490" s="19"/>
      <c r="I490" s="49"/>
    </row>
    <row r="491" spans="4:9" x14ac:dyDescent="0.35">
      <c r="D491" s="20"/>
      <c r="E491" s="20"/>
      <c r="F491" s="20"/>
      <c r="G491" s="20"/>
      <c r="H491" s="19"/>
      <c r="I491" s="49"/>
    </row>
    <row r="492" spans="4:9" x14ac:dyDescent="0.35">
      <c r="D492" s="20"/>
      <c r="E492" s="20"/>
      <c r="F492" s="20"/>
      <c r="G492" s="20"/>
      <c r="H492" s="19"/>
      <c r="I492" s="49"/>
    </row>
    <row r="493" spans="4:9" x14ac:dyDescent="0.35">
      <c r="D493" s="20"/>
      <c r="E493" s="20"/>
      <c r="F493" s="20"/>
      <c r="G493" s="20"/>
      <c r="H493" s="19"/>
      <c r="I493" s="49"/>
    </row>
    <row r="494" spans="4:9" x14ac:dyDescent="0.35">
      <c r="D494" s="20"/>
      <c r="E494" s="20"/>
      <c r="F494" s="20"/>
      <c r="G494" s="20"/>
      <c r="H494" s="19"/>
      <c r="I494" s="49"/>
    </row>
    <row r="495" spans="4:9" x14ac:dyDescent="0.35">
      <c r="D495" s="20"/>
      <c r="E495" s="20"/>
      <c r="F495" s="20"/>
      <c r="G495" s="20"/>
      <c r="H495" s="19"/>
      <c r="I495" s="49"/>
    </row>
    <row r="496" spans="4:9" x14ac:dyDescent="0.35">
      <c r="D496" s="20"/>
      <c r="E496" s="20"/>
      <c r="F496" s="20"/>
      <c r="G496" s="20"/>
      <c r="H496" s="19"/>
      <c r="I496" s="49"/>
    </row>
    <row r="497" spans="4:9" x14ac:dyDescent="0.35">
      <c r="D497" s="20"/>
      <c r="E497" s="20"/>
      <c r="F497" s="20"/>
      <c r="G497" s="20"/>
      <c r="H497" s="19"/>
      <c r="I497" s="49"/>
    </row>
    <row r="498" spans="4:9" x14ac:dyDescent="0.35">
      <c r="D498" s="20"/>
      <c r="E498" s="20"/>
      <c r="F498" s="20"/>
      <c r="G498" s="20"/>
      <c r="H498" s="19"/>
      <c r="I498" s="49"/>
    </row>
    <row r="499" spans="4:9" x14ac:dyDescent="0.35">
      <c r="D499" s="20"/>
      <c r="E499" s="20"/>
      <c r="F499" s="20"/>
      <c r="G499" s="20"/>
      <c r="H499" s="19"/>
      <c r="I499" s="49"/>
    </row>
    <row r="500" spans="4:9" x14ac:dyDescent="0.35">
      <c r="D500" s="20"/>
      <c r="E500" s="20"/>
      <c r="F500" s="20"/>
      <c r="G500" s="20"/>
      <c r="H500" s="19"/>
      <c r="I500" s="49"/>
    </row>
    <row r="501" spans="4:9" x14ac:dyDescent="0.35">
      <c r="D501" s="20"/>
      <c r="E501" s="20"/>
      <c r="F501" s="20"/>
      <c r="G501" s="20"/>
      <c r="H501" s="19"/>
      <c r="I501" s="49"/>
    </row>
    <row r="502" spans="4:9" x14ac:dyDescent="0.35">
      <c r="D502" s="20"/>
      <c r="E502" s="20"/>
      <c r="F502" s="20"/>
      <c r="G502" s="20"/>
      <c r="H502" s="19"/>
      <c r="I502" s="49"/>
    </row>
    <row r="503" spans="4:9" x14ac:dyDescent="0.35">
      <c r="D503" s="20"/>
      <c r="E503" s="20"/>
      <c r="F503" s="20"/>
      <c r="G503" s="20"/>
      <c r="H503" s="19"/>
      <c r="I503" s="49"/>
    </row>
    <row r="504" spans="4:9" x14ac:dyDescent="0.35">
      <c r="D504" s="20"/>
      <c r="E504" s="20"/>
      <c r="F504" s="20"/>
      <c r="G504" s="20"/>
      <c r="H504" s="19"/>
      <c r="I504" s="49"/>
    </row>
    <row r="505" spans="4:9" x14ac:dyDescent="0.35">
      <c r="D505" s="20"/>
      <c r="E505" s="20"/>
      <c r="F505" s="20"/>
      <c r="G505" s="20"/>
      <c r="H505" s="19"/>
      <c r="I505" s="49"/>
    </row>
    <row r="506" spans="4:9" x14ac:dyDescent="0.35">
      <c r="D506" s="20"/>
      <c r="E506" s="20"/>
      <c r="F506" s="20"/>
      <c r="G506" s="20"/>
      <c r="H506" s="19"/>
      <c r="I506" s="49"/>
    </row>
    <row r="507" spans="4:9" x14ac:dyDescent="0.35">
      <c r="D507" s="20"/>
      <c r="E507" s="20"/>
      <c r="F507" s="20"/>
      <c r="G507" s="20"/>
      <c r="H507" s="19"/>
      <c r="I507" s="49"/>
    </row>
    <row r="508" spans="4:9" x14ac:dyDescent="0.35">
      <c r="D508" s="20"/>
      <c r="E508" s="20"/>
      <c r="F508" s="20"/>
      <c r="G508" s="20"/>
      <c r="H508" s="19"/>
      <c r="I508" s="49"/>
    </row>
    <row r="509" spans="4:9" x14ac:dyDescent="0.35">
      <c r="D509" s="20"/>
      <c r="E509" s="20"/>
      <c r="F509" s="20"/>
      <c r="G509" s="20"/>
      <c r="H509" s="19"/>
      <c r="I509" s="49"/>
    </row>
    <row r="510" spans="4:9" x14ac:dyDescent="0.35">
      <c r="D510" s="20"/>
      <c r="E510" s="20"/>
      <c r="F510" s="20"/>
      <c r="G510" s="20"/>
      <c r="H510" s="19"/>
      <c r="I510" s="49"/>
    </row>
    <row r="511" spans="4:9" x14ac:dyDescent="0.35">
      <c r="D511" s="20"/>
      <c r="E511" s="20"/>
      <c r="F511" s="20"/>
      <c r="G511" s="20"/>
      <c r="H511" s="19"/>
      <c r="I511" s="49"/>
    </row>
    <row r="512" spans="4:9" x14ac:dyDescent="0.35">
      <c r="D512" s="20"/>
      <c r="E512" s="20"/>
      <c r="F512" s="20"/>
      <c r="G512" s="20"/>
      <c r="H512" s="19"/>
      <c r="I512" s="49"/>
    </row>
    <row r="513" spans="4:9" x14ac:dyDescent="0.35">
      <c r="D513" s="20"/>
      <c r="E513" s="20"/>
      <c r="F513" s="20"/>
      <c r="G513" s="20"/>
      <c r="H513" s="19"/>
      <c r="I513" s="49"/>
    </row>
    <row r="514" spans="4:9" x14ac:dyDescent="0.35">
      <c r="D514" s="20"/>
      <c r="E514" s="20"/>
      <c r="F514" s="20"/>
      <c r="G514" s="20"/>
      <c r="H514" s="19"/>
      <c r="I514" s="49"/>
    </row>
    <row r="515" spans="4:9" x14ac:dyDescent="0.35">
      <c r="D515" s="20"/>
      <c r="E515" s="20"/>
      <c r="F515" s="20"/>
      <c r="G515" s="20"/>
      <c r="H515" s="19"/>
      <c r="I515" s="49"/>
    </row>
    <row r="516" spans="4:9" x14ac:dyDescent="0.35">
      <c r="D516" s="20"/>
      <c r="E516" s="20"/>
      <c r="F516" s="20"/>
      <c r="G516" s="20"/>
      <c r="H516" s="19"/>
      <c r="I516" s="49"/>
    </row>
    <row r="517" spans="4:9" x14ac:dyDescent="0.35">
      <c r="D517" s="20"/>
      <c r="E517" s="20"/>
      <c r="F517" s="20"/>
      <c r="G517" s="20"/>
      <c r="H517" s="19"/>
      <c r="I517" s="49"/>
    </row>
    <row r="518" spans="4:9" x14ac:dyDescent="0.35">
      <c r="D518" s="20"/>
      <c r="E518" s="20"/>
      <c r="F518" s="20"/>
      <c r="G518" s="20"/>
      <c r="H518" s="19"/>
      <c r="I518" s="49"/>
    </row>
    <row r="519" spans="4:9" x14ac:dyDescent="0.35">
      <c r="D519" s="20"/>
      <c r="E519" s="20"/>
      <c r="F519" s="20"/>
      <c r="G519" s="20"/>
      <c r="H519" s="19"/>
      <c r="I519" s="49"/>
    </row>
    <row r="520" spans="4:9" x14ac:dyDescent="0.35">
      <c r="D520" s="20"/>
      <c r="E520" s="20"/>
      <c r="F520" s="20"/>
      <c r="G520" s="20"/>
      <c r="H520" s="19"/>
      <c r="I520" s="49"/>
    </row>
    <row r="521" spans="4:9" x14ac:dyDescent="0.35">
      <c r="D521" s="20"/>
      <c r="E521" s="20"/>
      <c r="F521" s="20"/>
      <c r="G521" s="20"/>
      <c r="H521" s="19"/>
      <c r="I521" s="49"/>
    </row>
    <row r="522" spans="4:9" x14ac:dyDescent="0.35">
      <c r="D522" s="20"/>
      <c r="E522" s="20"/>
      <c r="F522" s="20"/>
      <c r="G522" s="20"/>
      <c r="H522" s="19"/>
      <c r="I522" s="49"/>
    </row>
    <row r="523" spans="4:9" x14ac:dyDescent="0.35">
      <c r="D523" s="20"/>
      <c r="E523" s="20"/>
      <c r="F523" s="20"/>
      <c r="G523" s="20"/>
      <c r="H523" s="19"/>
      <c r="I523" s="49"/>
    </row>
    <row r="524" spans="4:9" x14ac:dyDescent="0.35">
      <c r="D524" s="20"/>
      <c r="E524" s="20"/>
      <c r="F524" s="20"/>
      <c r="G524" s="20"/>
      <c r="H524" s="19"/>
      <c r="I524" s="49"/>
    </row>
    <row r="525" spans="4:9" x14ac:dyDescent="0.35">
      <c r="D525" s="20"/>
      <c r="E525" s="20"/>
      <c r="F525" s="20"/>
      <c r="G525" s="20"/>
      <c r="H525" s="19"/>
      <c r="I525" s="49"/>
    </row>
    <row r="526" spans="4:9" x14ac:dyDescent="0.35">
      <c r="D526" s="20"/>
      <c r="E526" s="20"/>
      <c r="F526" s="20"/>
      <c r="G526" s="20"/>
      <c r="H526" s="19"/>
      <c r="I526" s="49"/>
    </row>
    <row r="527" spans="4:9" x14ac:dyDescent="0.35">
      <c r="D527" s="20"/>
      <c r="E527" s="20"/>
      <c r="F527" s="20"/>
      <c r="G527" s="20"/>
      <c r="H527" s="19"/>
      <c r="I527" s="49"/>
    </row>
    <row r="528" spans="4:9" x14ac:dyDescent="0.35">
      <c r="D528" s="20"/>
      <c r="E528" s="20"/>
      <c r="F528" s="20"/>
      <c r="G528" s="20"/>
      <c r="H528" s="19"/>
      <c r="I528" s="49"/>
    </row>
    <row r="529" spans="4:9" x14ac:dyDescent="0.35">
      <c r="D529" s="20"/>
      <c r="E529" s="20"/>
      <c r="F529" s="20"/>
      <c r="G529" s="20"/>
      <c r="H529" s="19"/>
      <c r="I529" s="49"/>
    </row>
    <row r="530" spans="4:9" x14ac:dyDescent="0.35">
      <c r="D530" s="20"/>
      <c r="E530" s="20"/>
      <c r="F530" s="20"/>
      <c r="G530" s="20"/>
      <c r="H530" s="19"/>
      <c r="I530" s="49"/>
    </row>
    <row r="531" spans="4:9" x14ac:dyDescent="0.35">
      <c r="D531" s="20"/>
      <c r="E531" s="20"/>
      <c r="F531" s="20"/>
      <c r="G531" s="20"/>
      <c r="H531" s="19"/>
      <c r="I531" s="49"/>
    </row>
    <row r="532" spans="4:9" x14ac:dyDescent="0.35">
      <c r="D532" s="20"/>
      <c r="E532" s="20"/>
      <c r="F532" s="20"/>
      <c r="G532" s="20"/>
      <c r="H532" s="19"/>
      <c r="I532" s="49"/>
    </row>
    <row r="533" spans="4:9" x14ac:dyDescent="0.35">
      <c r="D533" s="20"/>
      <c r="E533" s="20"/>
      <c r="F533" s="20"/>
      <c r="G533" s="20"/>
      <c r="H533" s="19"/>
      <c r="I533" s="49"/>
    </row>
    <row r="534" spans="4:9" x14ac:dyDescent="0.35">
      <c r="D534" s="20"/>
      <c r="E534" s="20"/>
      <c r="F534" s="20"/>
      <c r="G534" s="20"/>
      <c r="H534" s="19"/>
      <c r="I534" s="49"/>
    </row>
    <row r="535" spans="4:9" x14ac:dyDescent="0.35">
      <c r="D535" s="20"/>
      <c r="E535" s="20"/>
      <c r="F535" s="20"/>
      <c r="G535" s="20"/>
      <c r="H535" s="19"/>
      <c r="I535" s="49"/>
    </row>
    <row r="536" spans="4:9" x14ac:dyDescent="0.35">
      <c r="D536" s="20"/>
      <c r="E536" s="20"/>
      <c r="F536" s="20"/>
      <c r="G536" s="20"/>
      <c r="H536" s="19"/>
      <c r="I536" s="49"/>
    </row>
    <row r="537" spans="4:9" x14ac:dyDescent="0.35">
      <c r="D537" s="20"/>
      <c r="E537" s="20"/>
      <c r="F537" s="20"/>
      <c r="G537" s="20"/>
      <c r="H537" s="19"/>
      <c r="I537" s="49"/>
    </row>
    <row r="538" spans="4:9" x14ac:dyDescent="0.35">
      <c r="D538" s="20"/>
      <c r="E538" s="20"/>
      <c r="F538" s="20"/>
      <c r="G538" s="20"/>
      <c r="H538" s="19"/>
      <c r="I538" s="49"/>
    </row>
    <row r="539" spans="4:9" x14ac:dyDescent="0.35">
      <c r="D539" s="20"/>
      <c r="E539" s="20"/>
      <c r="F539" s="20"/>
      <c r="G539" s="20"/>
      <c r="H539" s="19"/>
      <c r="I539" s="49"/>
    </row>
    <row r="540" spans="4:9" x14ac:dyDescent="0.35">
      <c r="D540" s="20"/>
      <c r="E540" s="20"/>
      <c r="F540" s="20"/>
      <c r="G540" s="20"/>
      <c r="H540" s="19"/>
      <c r="I540" s="49"/>
    </row>
    <row r="541" spans="4:9" x14ac:dyDescent="0.35">
      <c r="D541" s="20"/>
      <c r="E541" s="20"/>
      <c r="F541" s="20"/>
      <c r="G541" s="20"/>
      <c r="H541" s="19"/>
      <c r="I541" s="49"/>
    </row>
    <row r="542" spans="4:9" x14ac:dyDescent="0.35">
      <c r="D542" s="20"/>
      <c r="E542" s="20"/>
      <c r="F542" s="20"/>
      <c r="G542" s="20"/>
      <c r="H542" s="19"/>
      <c r="I542" s="49"/>
    </row>
    <row r="543" spans="4:9" x14ac:dyDescent="0.35">
      <c r="D543" s="20"/>
      <c r="E543" s="20"/>
      <c r="F543" s="20"/>
      <c r="G543" s="20"/>
      <c r="H543" s="19"/>
      <c r="I543" s="49"/>
    </row>
    <row r="544" spans="4:9" x14ac:dyDescent="0.35">
      <c r="D544" s="20"/>
      <c r="E544" s="20"/>
      <c r="F544" s="20"/>
      <c r="G544" s="20"/>
      <c r="H544" s="19"/>
      <c r="I544" s="49"/>
    </row>
    <row r="545" spans="4:9" x14ac:dyDescent="0.35">
      <c r="D545" s="20"/>
      <c r="E545" s="20"/>
      <c r="F545" s="20"/>
      <c r="G545" s="20"/>
      <c r="H545" s="19"/>
      <c r="I545" s="49"/>
    </row>
    <row r="546" spans="4:9" x14ac:dyDescent="0.35">
      <c r="D546" s="20"/>
      <c r="E546" s="20"/>
      <c r="F546" s="20"/>
      <c r="G546" s="20"/>
      <c r="H546" s="19"/>
      <c r="I546" s="49"/>
    </row>
    <row r="547" spans="4:9" x14ac:dyDescent="0.35">
      <c r="D547" s="20"/>
      <c r="E547" s="20"/>
      <c r="F547" s="20"/>
      <c r="G547" s="20"/>
      <c r="H547" s="19"/>
      <c r="I547" s="49"/>
    </row>
    <row r="548" spans="4:9" x14ac:dyDescent="0.35">
      <c r="D548" s="20"/>
      <c r="E548" s="20"/>
      <c r="F548" s="20"/>
      <c r="G548" s="20"/>
      <c r="H548" s="19"/>
      <c r="I548" s="49"/>
    </row>
    <row r="549" spans="4:9" x14ac:dyDescent="0.35">
      <c r="D549" s="20"/>
      <c r="E549" s="20"/>
      <c r="F549" s="20"/>
      <c r="G549" s="20"/>
      <c r="H549" s="19"/>
      <c r="I549" s="49"/>
    </row>
    <row r="550" spans="4:9" x14ac:dyDescent="0.35">
      <c r="D550" s="20"/>
      <c r="E550" s="20"/>
      <c r="F550" s="20"/>
      <c r="G550" s="20"/>
      <c r="H550" s="19"/>
      <c r="I550" s="49"/>
    </row>
    <row r="551" spans="4:9" x14ac:dyDescent="0.35">
      <c r="D551" s="20"/>
      <c r="E551" s="20"/>
      <c r="F551" s="20"/>
      <c r="G551" s="20"/>
      <c r="H551" s="19"/>
      <c r="I551" s="49"/>
    </row>
    <row r="552" spans="4:9" x14ac:dyDescent="0.35">
      <c r="D552" s="20"/>
      <c r="E552" s="20"/>
      <c r="F552" s="20"/>
      <c r="G552" s="20"/>
      <c r="H552" s="19"/>
      <c r="I552" s="49"/>
    </row>
    <row r="553" spans="4:9" x14ac:dyDescent="0.35">
      <c r="D553" s="20"/>
      <c r="E553" s="20"/>
      <c r="F553" s="20"/>
      <c r="G553" s="20"/>
      <c r="H553" s="19"/>
      <c r="I553" s="49"/>
    </row>
    <row r="554" spans="4:9" x14ac:dyDescent="0.35">
      <c r="D554" s="20"/>
      <c r="E554" s="20"/>
      <c r="F554" s="20"/>
      <c r="G554" s="20"/>
      <c r="H554" s="19"/>
      <c r="I554" s="49"/>
    </row>
    <row r="555" spans="4:9" x14ac:dyDescent="0.35">
      <c r="D555" s="20"/>
      <c r="E555" s="20"/>
      <c r="F555" s="20"/>
      <c r="G555" s="20"/>
      <c r="H555" s="19"/>
      <c r="I555" s="49"/>
    </row>
    <row r="556" spans="4:9" x14ac:dyDescent="0.35">
      <c r="D556" s="20"/>
      <c r="E556" s="20"/>
      <c r="F556" s="20"/>
      <c r="G556" s="20"/>
      <c r="H556" s="19"/>
      <c r="I556" s="49"/>
    </row>
    <row r="557" spans="4:9" x14ac:dyDescent="0.35">
      <c r="D557" s="20"/>
      <c r="E557" s="20"/>
      <c r="F557" s="20"/>
      <c r="G557" s="20"/>
      <c r="H557" s="19"/>
      <c r="I557" s="49"/>
    </row>
    <row r="558" spans="4:9" x14ac:dyDescent="0.35">
      <c r="D558" s="20"/>
      <c r="E558" s="20"/>
      <c r="F558" s="20"/>
      <c r="G558" s="20"/>
      <c r="H558" s="19"/>
      <c r="I558" s="49"/>
    </row>
    <row r="559" spans="4:9" x14ac:dyDescent="0.35">
      <c r="D559" s="20"/>
      <c r="E559" s="20"/>
      <c r="F559" s="20"/>
      <c r="G559" s="20"/>
      <c r="H559" s="19"/>
      <c r="I559" s="49"/>
    </row>
    <row r="560" spans="4:9" x14ac:dyDescent="0.35">
      <c r="D560" s="20"/>
      <c r="E560" s="20"/>
      <c r="F560" s="20"/>
      <c r="G560" s="20"/>
      <c r="H560" s="19"/>
      <c r="I560" s="49"/>
    </row>
    <row r="561" spans="4:9" x14ac:dyDescent="0.35">
      <c r="D561" s="20"/>
      <c r="E561" s="20"/>
      <c r="F561" s="20"/>
      <c r="G561" s="20"/>
      <c r="H561" s="19"/>
      <c r="I561" s="49"/>
    </row>
    <row r="562" spans="4:9" x14ac:dyDescent="0.35">
      <c r="D562" s="20"/>
      <c r="E562" s="20"/>
      <c r="F562" s="20"/>
      <c r="G562" s="20"/>
      <c r="H562" s="19"/>
      <c r="I562" s="49"/>
    </row>
    <row r="563" spans="4:9" x14ac:dyDescent="0.35">
      <c r="D563" s="20"/>
      <c r="E563" s="20"/>
      <c r="F563" s="20"/>
      <c r="G563" s="20"/>
      <c r="H563" s="19"/>
      <c r="I563" s="49"/>
    </row>
    <row r="564" spans="4:9" x14ac:dyDescent="0.35">
      <c r="D564" s="20"/>
      <c r="E564" s="20"/>
      <c r="F564" s="20"/>
      <c r="G564" s="20"/>
      <c r="H564" s="19"/>
      <c r="I564" s="49"/>
    </row>
    <row r="565" spans="4:9" x14ac:dyDescent="0.35">
      <c r="D565" s="20"/>
      <c r="E565" s="20"/>
      <c r="F565" s="20"/>
      <c r="G565" s="20"/>
      <c r="H565" s="19"/>
      <c r="I565" s="49"/>
    </row>
    <row r="566" spans="4:9" x14ac:dyDescent="0.35">
      <c r="D566" s="20"/>
      <c r="E566" s="20"/>
      <c r="F566" s="20"/>
      <c r="G566" s="20"/>
      <c r="H566" s="19"/>
      <c r="I566" s="49"/>
    </row>
    <row r="567" spans="4:9" x14ac:dyDescent="0.35">
      <c r="D567" s="20"/>
      <c r="E567" s="20"/>
      <c r="F567" s="20"/>
      <c r="G567" s="20"/>
      <c r="H567" s="19"/>
      <c r="I567" s="49"/>
    </row>
    <row r="568" spans="4:9" x14ac:dyDescent="0.35">
      <c r="D568" s="20"/>
      <c r="E568" s="20"/>
      <c r="F568" s="20"/>
      <c r="G568" s="20"/>
      <c r="H568" s="19"/>
      <c r="I568" s="49"/>
    </row>
    <row r="569" spans="4:9" x14ac:dyDescent="0.35">
      <c r="D569" s="20"/>
      <c r="E569" s="20"/>
      <c r="F569" s="20"/>
      <c r="G569" s="20"/>
      <c r="H569" s="19"/>
      <c r="I569" s="49"/>
    </row>
    <row r="570" spans="4:9" x14ac:dyDescent="0.35">
      <c r="D570" s="20"/>
      <c r="E570" s="20"/>
      <c r="F570" s="20"/>
      <c r="G570" s="20"/>
      <c r="H570" s="19"/>
      <c r="I570" s="49"/>
    </row>
    <row r="571" spans="4:9" x14ac:dyDescent="0.35">
      <c r="D571" s="20"/>
      <c r="E571" s="20"/>
      <c r="F571" s="20"/>
      <c r="G571" s="20"/>
      <c r="H571" s="19"/>
      <c r="I571" s="49"/>
    </row>
    <row r="572" spans="4:9" x14ac:dyDescent="0.35">
      <c r="D572" s="20"/>
      <c r="E572" s="20"/>
      <c r="F572" s="20"/>
      <c r="G572" s="20"/>
      <c r="H572" s="19"/>
      <c r="I572" s="49"/>
    </row>
    <row r="573" spans="4:9" x14ac:dyDescent="0.35">
      <c r="D573" s="20"/>
      <c r="E573" s="20"/>
      <c r="F573" s="20"/>
      <c r="G573" s="20"/>
      <c r="H573" s="19"/>
      <c r="I573" s="49"/>
    </row>
    <row r="574" spans="4:9" x14ac:dyDescent="0.35">
      <c r="D574" s="20"/>
      <c r="E574" s="20"/>
      <c r="F574" s="20"/>
      <c r="G574" s="20"/>
      <c r="H574" s="19"/>
      <c r="I574" s="49"/>
    </row>
    <row r="575" spans="4:9" x14ac:dyDescent="0.35">
      <c r="D575" s="20"/>
      <c r="E575" s="20"/>
      <c r="F575" s="20"/>
      <c r="G575" s="20"/>
      <c r="H575" s="19"/>
      <c r="I575" s="49"/>
    </row>
    <row r="576" spans="4:9" x14ac:dyDescent="0.35">
      <c r="D576" s="20"/>
      <c r="E576" s="20"/>
      <c r="F576" s="20"/>
      <c r="G576" s="20"/>
      <c r="H576" s="19"/>
      <c r="I576" s="49"/>
    </row>
    <row r="577" spans="4:9" x14ac:dyDescent="0.35">
      <c r="D577" s="20"/>
      <c r="E577" s="20"/>
      <c r="F577" s="20"/>
      <c r="G577" s="20"/>
      <c r="H577" s="19"/>
      <c r="I577" s="49"/>
    </row>
    <row r="578" spans="4:9" x14ac:dyDescent="0.35">
      <c r="D578" s="20"/>
      <c r="E578" s="20"/>
      <c r="F578" s="20"/>
      <c r="G578" s="20"/>
      <c r="H578" s="19"/>
      <c r="I578" s="49"/>
    </row>
    <row r="579" spans="4:9" x14ac:dyDescent="0.35">
      <c r="D579" s="20"/>
      <c r="E579" s="20"/>
      <c r="F579" s="20"/>
      <c r="G579" s="20"/>
      <c r="H579" s="19"/>
      <c r="I579" s="49"/>
    </row>
    <row r="580" spans="4:9" x14ac:dyDescent="0.35">
      <c r="D580" s="20"/>
      <c r="E580" s="20"/>
      <c r="F580" s="20"/>
      <c r="G580" s="20"/>
      <c r="H580" s="19"/>
      <c r="I580" s="49"/>
    </row>
    <row r="581" spans="4:9" x14ac:dyDescent="0.35">
      <c r="D581" s="20"/>
      <c r="E581" s="20"/>
      <c r="F581" s="20"/>
      <c r="G581" s="20"/>
      <c r="H581" s="19"/>
      <c r="I581" s="49"/>
    </row>
    <row r="582" spans="4:9" x14ac:dyDescent="0.35">
      <c r="D582" s="20"/>
      <c r="E582" s="20"/>
      <c r="F582" s="20"/>
      <c r="G582" s="20"/>
      <c r="H582" s="19"/>
      <c r="I582" s="49"/>
    </row>
    <row r="583" spans="4:9" x14ac:dyDescent="0.35">
      <c r="D583" s="20"/>
      <c r="E583" s="20"/>
      <c r="F583" s="20"/>
      <c r="G583" s="20"/>
      <c r="H583" s="19"/>
      <c r="I583" s="49"/>
    </row>
    <row r="584" spans="4:9" x14ac:dyDescent="0.35">
      <c r="D584" s="20"/>
      <c r="E584" s="20"/>
      <c r="F584" s="20"/>
      <c r="G584" s="20"/>
      <c r="H584" s="19"/>
      <c r="I584" s="49"/>
    </row>
    <row r="585" spans="4:9" x14ac:dyDescent="0.35">
      <c r="D585" s="20"/>
      <c r="E585" s="20"/>
      <c r="F585" s="20"/>
      <c r="G585" s="20"/>
      <c r="H585" s="19"/>
      <c r="I585" s="49"/>
    </row>
    <row r="586" spans="4:9" x14ac:dyDescent="0.35">
      <c r="D586" s="20"/>
      <c r="E586" s="20"/>
      <c r="F586" s="20"/>
      <c r="G586" s="20"/>
      <c r="H586" s="19"/>
      <c r="I586" s="49"/>
    </row>
    <row r="587" spans="4:9" x14ac:dyDescent="0.35">
      <c r="D587" s="20"/>
      <c r="E587" s="20"/>
      <c r="F587" s="20"/>
      <c r="G587" s="20"/>
      <c r="H587" s="19"/>
      <c r="I587" s="49"/>
    </row>
    <row r="588" spans="4:9" x14ac:dyDescent="0.35">
      <c r="D588" s="20"/>
      <c r="E588" s="20"/>
      <c r="F588" s="20"/>
      <c r="G588" s="20"/>
      <c r="H588" s="19"/>
      <c r="I588" s="49"/>
    </row>
    <row r="589" spans="4:9" x14ac:dyDescent="0.35">
      <c r="D589" s="20"/>
      <c r="E589" s="20"/>
      <c r="F589" s="20"/>
      <c r="G589" s="20"/>
      <c r="H589" s="19"/>
      <c r="I589" s="49"/>
    </row>
    <row r="590" spans="4:9" x14ac:dyDescent="0.35">
      <c r="D590" s="20"/>
      <c r="E590" s="20"/>
      <c r="F590" s="20"/>
      <c r="G590" s="20"/>
      <c r="H590" s="19"/>
      <c r="I590" s="49"/>
    </row>
    <row r="591" spans="4:9" x14ac:dyDescent="0.35">
      <c r="D591" s="20"/>
      <c r="E591" s="20"/>
      <c r="F591" s="20"/>
      <c r="G591" s="20"/>
      <c r="H591" s="19"/>
      <c r="I591" s="49"/>
    </row>
    <row r="592" spans="4:9" x14ac:dyDescent="0.35">
      <c r="D592" s="20"/>
      <c r="E592" s="20"/>
      <c r="F592" s="20"/>
      <c r="G592" s="20"/>
      <c r="H592" s="19"/>
      <c r="I592" s="49"/>
    </row>
    <row r="593" spans="4:9" x14ac:dyDescent="0.35">
      <c r="D593" s="20"/>
      <c r="E593" s="20"/>
      <c r="F593" s="20"/>
      <c r="G593" s="20"/>
      <c r="H593" s="19"/>
      <c r="I593" s="49"/>
    </row>
    <row r="594" spans="4:9" x14ac:dyDescent="0.35">
      <c r="D594" s="20"/>
      <c r="E594" s="20"/>
      <c r="F594" s="20"/>
      <c r="G594" s="20"/>
      <c r="H594" s="19"/>
      <c r="I594" s="49"/>
    </row>
    <row r="595" spans="4:9" x14ac:dyDescent="0.35">
      <c r="D595" s="20"/>
      <c r="E595" s="20"/>
      <c r="F595" s="20"/>
      <c r="G595" s="20"/>
      <c r="H595" s="19"/>
      <c r="I595" s="49"/>
    </row>
    <row r="596" spans="4:9" x14ac:dyDescent="0.35">
      <c r="D596" s="20"/>
      <c r="E596" s="20"/>
      <c r="F596" s="20"/>
      <c r="G596" s="20"/>
      <c r="H596" s="19"/>
      <c r="I596" s="49"/>
    </row>
    <row r="597" spans="4:9" x14ac:dyDescent="0.35">
      <c r="D597" s="20"/>
      <c r="E597" s="20"/>
      <c r="F597" s="20"/>
      <c r="G597" s="20"/>
      <c r="H597" s="19"/>
      <c r="I597" s="49"/>
    </row>
    <row r="598" spans="4:9" x14ac:dyDescent="0.35">
      <c r="D598" s="20"/>
      <c r="E598" s="20"/>
      <c r="F598" s="20"/>
      <c r="G598" s="20"/>
      <c r="H598" s="19"/>
      <c r="I598" s="49"/>
    </row>
    <row r="599" spans="4:9" x14ac:dyDescent="0.35">
      <c r="D599" s="20"/>
      <c r="E599" s="20"/>
      <c r="F599" s="20"/>
      <c r="G599" s="20"/>
      <c r="H599" s="19"/>
      <c r="I599" s="49"/>
    </row>
    <row r="600" spans="4:9" x14ac:dyDescent="0.35">
      <c r="D600" s="20"/>
      <c r="E600" s="20"/>
      <c r="F600" s="20"/>
      <c r="G600" s="20"/>
      <c r="H600" s="19"/>
      <c r="I600" s="49"/>
    </row>
  </sheetData>
  <mergeCells count="1">
    <mergeCell ref="M4:P4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1FCB43B5C69B4D8600F8B2DBC19837" ma:contentTypeVersion="12" ma:contentTypeDescription="Create a new document." ma:contentTypeScope="" ma:versionID="4a52fac52652c5f7c6d0a914b5daa97b">
  <xsd:schema xmlns:xsd="http://www.w3.org/2001/XMLSchema" xmlns:xs="http://www.w3.org/2001/XMLSchema" xmlns:p="http://schemas.microsoft.com/office/2006/metadata/properties" xmlns:ns2="d8370d76-2870-4a26-b6b0-c06bc31d5172" xmlns:ns3="b3725233-ec48-41dd-951c-0978fbff1cf9" targetNamespace="http://schemas.microsoft.com/office/2006/metadata/properties" ma:root="true" ma:fieldsID="fc9928a082963c078a8205507ec9608a" ns2:_="" ns3:_="">
    <xsd:import namespace="d8370d76-2870-4a26-b6b0-c06bc31d5172"/>
    <xsd:import namespace="b3725233-ec48-41dd-951c-0978fbff1cf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370d76-2870-4a26-b6b0-c06bc31d51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46d2300-d914-4c88-8d6b-80fe9429e1e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725233-ec48-41dd-951c-0978fbff1cf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ddca385-91f0-4fa3-bfc3-6654300f4145}" ma:internalName="TaxCatchAll" ma:showField="CatchAllData" ma:web="b3725233-ec48-41dd-951c-0978fbff1cf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8370d76-2870-4a26-b6b0-c06bc31d5172">
      <Terms xmlns="http://schemas.microsoft.com/office/infopath/2007/PartnerControls"/>
    </lcf76f155ced4ddcb4097134ff3c332f>
    <TaxCatchAll xmlns="b3725233-ec48-41dd-951c-0978fbff1cf9" xsi:nil="true"/>
  </documentManagement>
</p:properties>
</file>

<file path=customXml/itemProps1.xml><?xml version="1.0" encoding="utf-8"?>
<ds:datastoreItem xmlns:ds="http://schemas.openxmlformats.org/officeDocument/2006/customXml" ds:itemID="{00BD30E2-7F92-4AE1-BC19-F8B54665EE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395E33B-8FC3-4D67-979E-C8400748C7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370d76-2870-4a26-b6b0-c06bc31d5172"/>
    <ds:schemaRef ds:uri="b3725233-ec48-41dd-951c-0978fbff1c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412BC9-7B93-43C3-A13C-28596442B466}">
  <ds:schemaRefs>
    <ds:schemaRef ds:uri="http://schemas.microsoft.com/office/2006/metadata/properties"/>
    <ds:schemaRef ds:uri="http://schemas.microsoft.com/office/infopath/2007/PartnerControls"/>
    <ds:schemaRef ds:uri="d8370d76-2870-4a26-b6b0-c06bc31d5172"/>
    <ds:schemaRef ds:uri="b3725233-ec48-41dd-951c-0978fbff1cf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14</vt:i4>
      </vt:variant>
    </vt:vector>
  </HeadingPairs>
  <TitlesOfParts>
    <vt:vector size="41" baseType="lpstr">
      <vt:lpstr>Parts Quote</vt:lpstr>
      <vt:lpstr>Warranty Repairs </vt:lpstr>
      <vt:lpstr>Quote (Est.) Template</vt:lpstr>
      <vt:lpstr>Quote Summary Sheet</vt:lpstr>
      <vt:lpstr>Sales Order Sheet - NEW QUOTES</vt:lpstr>
      <vt:lpstr>Guidance Document</vt:lpstr>
      <vt:lpstr>Doors - Step 1</vt:lpstr>
      <vt:lpstr>Door - Step 2</vt:lpstr>
      <vt:lpstr>Cost Sheet</vt:lpstr>
      <vt:lpstr>Calculation Sheet - BOM </vt:lpstr>
      <vt:lpstr>Accessories Install - Labour</vt:lpstr>
      <vt:lpstr>Door and Panel Labor Exp. </vt:lpstr>
      <vt:lpstr>Quotation - Door 2</vt:lpstr>
      <vt:lpstr>Quotation - Door 3</vt:lpstr>
      <vt:lpstr>Quotation - Door 4</vt:lpstr>
      <vt:lpstr>Quotation - Door 5</vt:lpstr>
      <vt:lpstr>Quotation - Door 6</vt:lpstr>
      <vt:lpstr>Quotation - Summary Sheet ROOMS</vt:lpstr>
      <vt:lpstr>Quotation Structure - Room</vt:lpstr>
      <vt:lpstr>Cal. Sheet Door 2</vt:lpstr>
      <vt:lpstr>Cal. Sheet Door 3</vt:lpstr>
      <vt:lpstr>Cal. Sheet Door 4</vt:lpstr>
      <vt:lpstr>Cal. Sheet Door 5</vt:lpstr>
      <vt:lpstr>Cal. Sheet Door 6</vt:lpstr>
      <vt:lpstr>Door Table</vt:lpstr>
      <vt:lpstr>Product Mark-up</vt:lpstr>
      <vt:lpstr>Controller</vt:lpstr>
      <vt:lpstr>Category</vt:lpstr>
      <vt:lpstr>Dinch</vt:lpstr>
      <vt:lpstr>Door_Type</vt:lpstr>
      <vt:lpstr>Hinch</vt:lpstr>
      <vt:lpstr>in2ft</vt:lpstr>
      <vt:lpstr>in2ft2</vt:lpstr>
      <vt:lpstr>'Cal. Sheet Door 4'!Material_Option_Type</vt:lpstr>
      <vt:lpstr>'Cal. Sheet Door 5'!Material_Option_Type</vt:lpstr>
      <vt:lpstr>'Cal. Sheet Door 6'!Material_Option_Type</vt:lpstr>
      <vt:lpstr>'Quotation - Door 6'!Material_Option_Type</vt:lpstr>
      <vt:lpstr>Material_Option_Type</vt:lpstr>
      <vt:lpstr>'Door - Step 2'!Print_Area</vt:lpstr>
      <vt:lpstr>'Quote (Est.) Template'!Print_Area</vt:lpstr>
      <vt:lpstr>Winch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ABajpai@dcp-management.ca;AnupamB@coldmatic.com</dc:creator>
  <cp:keywords/>
  <dc:description/>
  <cp:lastModifiedBy>Anupam Bajpai</cp:lastModifiedBy>
  <cp:revision/>
  <dcterms:created xsi:type="dcterms:W3CDTF">2013-01-04T16:58:59Z</dcterms:created>
  <dcterms:modified xsi:type="dcterms:W3CDTF">2025-05-27T17:51:50Z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0x010100AC1FCB43B5C69B4D8600F8B2DBC19837</vt:lpwstr>
  </property>
  <property fmtid="{D5CDD505-2E9C-101B-9397-08002B2CF9AE}" pid="3" name="MediaServiceImageTags">
    <vt:lpwstr/>
  </property>
</Properties>
</file>